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dministrator\Desktop\"/>
    </mc:Choice>
  </mc:AlternateContent>
  <xr:revisionPtr revIDLastSave="0" documentId="13_ncr:1_{04B0337A-CD15-4B2B-87F5-D4CE060D7D73}" xr6:coauthVersionLast="47" xr6:coauthVersionMax="47" xr10:uidLastSave="{00000000-0000-0000-0000-000000000000}"/>
  <bookViews>
    <workbookView xWindow="-108" yWindow="-108" windowWidth="23256" windowHeight="12576" tabRatio="804" firstSheet="1" activeTab="1" xr2:uid="{00000000-000D-0000-FFFF-FFFF00000000}"/>
  </bookViews>
  <sheets>
    <sheet name="DataLog" sheetId="13" state="hidden" r:id="rId1"/>
    <sheet name="MAIN" sheetId="9" r:id="rId2"/>
    <sheet name="TPS data" sheetId="4" r:id="rId3"/>
    <sheet name="IAP data" sheetId="5" r:id="rId4"/>
    <sheet name="TPS Current" sheetId="1" r:id="rId5"/>
    <sheet name="IAP Current" sheetId="2" r:id="rId6"/>
    <sheet name="Des TPS AFR" sheetId="3" r:id="rId7"/>
    <sheet name="Des IAP AFR" sheetId="8" r:id="rId8"/>
    <sheet name="TPS Correction" sheetId="6" r:id="rId9"/>
    <sheet name="IAP Correction" sheetId="7" r:id="rId10"/>
    <sheet name="Auto Correct TPS" sheetId="11" r:id="rId11"/>
    <sheet name="Auto Correct IAP" sheetId="12" r:id="rId12"/>
  </sheets>
  <definedNames>
    <definedName name="DataChannelCountSetting">#REF!</definedName>
    <definedName name="DataDelaySetting">#REF!</definedName>
    <definedName name="DataOrientationSetting">#REF!</definedName>
    <definedName name="DataRowCountSetting">#REF!</definedName>
    <definedName name="Manifest_BaudRate">#REF!</definedName>
    <definedName name="Manifest_DataInterval">#REF!</definedName>
    <definedName name="Manifest_Generated">#REF!</definedName>
    <definedName name="Manifest_Id">#REF!</definedName>
    <definedName name="Manifest_Schem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3" i="7" l="1"/>
  <c r="B3" i="12" s="1"/>
  <c r="C3" i="7"/>
  <c r="C3" i="12" s="1"/>
  <c r="D3" i="7"/>
  <c r="D3" i="12" s="1"/>
  <c r="E3" i="7"/>
  <c r="F3" i="7"/>
  <c r="F3" i="12" s="1"/>
  <c r="G3" i="7"/>
  <c r="G3" i="12" s="1"/>
  <c r="H3" i="7"/>
  <c r="H3" i="12" s="1"/>
  <c r="I3" i="7"/>
  <c r="I3" i="12" s="1"/>
  <c r="J3" i="7"/>
  <c r="J3" i="12" s="1"/>
  <c r="K3" i="7"/>
  <c r="K3" i="12" s="1"/>
  <c r="L3" i="7"/>
  <c r="L3" i="12" s="1"/>
  <c r="M3" i="7"/>
  <c r="M3" i="12" s="1"/>
  <c r="N3" i="7"/>
  <c r="N3" i="12" s="1"/>
  <c r="O3" i="7"/>
  <c r="O3" i="12" s="1"/>
  <c r="P3" i="7"/>
  <c r="P3" i="12" s="1"/>
  <c r="Q3" i="7"/>
  <c r="Q3" i="12" s="1"/>
  <c r="R3" i="7"/>
  <c r="R3" i="12" s="1"/>
  <c r="S3" i="7"/>
  <c r="S3" i="12" s="1"/>
  <c r="T3" i="7"/>
  <c r="T3" i="12" s="1"/>
  <c r="U3" i="7"/>
  <c r="U3" i="12" s="1"/>
  <c r="V3" i="7"/>
  <c r="V3" i="12" s="1"/>
  <c r="B4" i="7"/>
  <c r="B4" i="12" s="1"/>
  <c r="C4" i="7"/>
  <c r="C4" i="12" s="1"/>
  <c r="D4" i="7"/>
  <c r="D4" i="12" s="1"/>
  <c r="E4" i="7"/>
  <c r="E4" i="12" s="1"/>
  <c r="F4" i="7"/>
  <c r="F4" i="12" s="1"/>
  <c r="G4" i="7"/>
  <c r="G4" i="12" s="1"/>
  <c r="H4" i="7"/>
  <c r="H4" i="12" s="1"/>
  <c r="I4" i="7"/>
  <c r="I4" i="12" s="1"/>
  <c r="J4" i="7"/>
  <c r="J4" i="12" s="1"/>
  <c r="K4" i="7"/>
  <c r="K4" i="12" s="1"/>
  <c r="L4" i="7"/>
  <c r="L4" i="12" s="1"/>
  <c r="M4" i="7"/>
  <c r="M4" i="12" s="1"/>
  <c r="N4" i="7"/>
  <c r="N4" i="12" s="1"/>
  <c r="O4" i="7"/>
  <c r="O4" i="12" s="1"/>
  <c r="P4" i="7"/>
  <c r="P4" i="12" s="1"/>
  <c r="Q4" i="7"/>
  <c r="Q4" i="12" s="1"/>
  <c r="R4" i="7"/>
  <c r="R4" i="12" s="1"/>
  <c r="S4" i="7"/>
  <c r="S4" i="12" s="1"/>
  <c r="T4" i="7"/>
  <c r="T4" i="12" s="1"/>
  <c r="U4" i="7"/>
  <c r="U4" i="12" s="1"/>
  <c r="V4" i="7"/>
  <c r="V4" i="12" s="1"/>
  <c r="B5" i="7"/>
  <c r="B5" i="12" s="1"/>
  <c r="C5" i="7"/>
  <c r="C5" i="12" s="1"/>
  <c r="D5" i="7"/>
  <c r="D5" i="12" s="1"/>
  <c r="E5" i="7"/>
  <c r="E5" i="12" s="1"/>
  <c r="F5" i="7"/>
  <c r="F5" i="12" s="1"/>
  <c r="G5" i="7"/>
  <c r="G5" i="12" s="1"/>
  <c r="H5" i="7"/>
  <c r="H5" i="12" s="1"/>
  <c r="I5" i="7"/>
  <c r="I5" i="12" s="1"/>
  <c r="J5" i="7"/>
  <c r="J5" i="12" s="1"/>
  <c r="K5" i="7"/>
  <c r="K5" i="12" s="1"/>
  <c r="L5" i="7"/>
  <c r="L5" i="12" s="1"/>
  <c r="M5" i="7"/>
  <c r="M5" i="12" s="1"/>
  <c r="N5" i="7"/>
  <c r="N5" i="12" s="1"/>
  <c r="O5" i="7"/>
  <c r="O5" i="12" s="1"/>
  <c r="P5" i="7"/>
  <c r="P5" i="12" s="1"/>
  <c r="Q5" i="7"/>
  <c r="Q5" i="12" s="1"/>
  <c r="R5" i="7"/>
  <c r="R5" i="12" s="1"/>
  <c r="S5" i="7"/>
  <c r="S5" i="12" s="1"/>
  <c r="T5" i="7"/>
  <c r="T5" i="12" s="1"/>
  <c r="U5" i="7"/>
  <c r="U5" i="12" s="1"/>
  <c r="V5" i="7"/>
  <c r="V5" i="12" s="1"/>
  <c r="B6" i="7"/>
  <c r="B6" i="12" s="1"/>
  <c r="C6" i="7"/>
  <c r="C6" i="12" s="1"/>
  <c r="D6" i="7"/>
  <c r="D6" i="12" s="1"/>
  <c r="E6" i="7"/>
  <c r="E6" i="12" s="1"/>
  <c r="F6" i="7"/>
  <c r="F6" i="12" s="1"/>
  <c r="G6" i="7"/>
  <c r="G6" i="12" s="1"/>
  <c r="H6" i="7"/>
  <c r="H6" i="12" s="1"/>
  <c r="I6" i="7"/>
  <c r="I6" i="12" s="1"/>
  <c r="J6" i="7"/>
  <c r="J6" i="12" s="1"/>
  <c r="K6" i="7"/>
  <c r="K6" i="12" s="1"/>
  <c r="L6" i="7"/>
  <c r="L6" i="12" s="1"/>
  <c r="M6" i="7"/>
  <c r="M6" i="12" s="1"/>
  <c r="N6" i="7"/>
  <c r="O6" i="7"/>
  <c r="O6" i="12" s="1"/>
  <c r="P6" i="7"/>
  <c r="P6" i="12" s="1"/>
  <c r="Q6" i="7"/>
  <c r="Q6" i="12" s="1"/>
  <c r="R6" i="7"/>
  <c r="R6" i="12" s="1"/>
  <c r="S6" i="7"/>
  <c r="S6" i="12" s="1"/>
  <c r="T6" i="7"/>
  <c r="T6" i="12" s="1"/>
  <c r="U6" i="7"/>
  <c r="U6" i="12" s="1"/>
  <c r="V6" i="7"/>
  <c r="V6" i="12" s="1"/>
  <c r="B7" i="7"/>
  <c r="B7" i="12" s="1"/>
  <c r="C7" i="7"/>
  <c r="C7" i="12" s="1"/>
  <c r="D7" i="7"/>
  <c r="D7" i="12" s="1"/>
  <c r="E7" i="7"/>
  <c r="E7" i="12" s="1"/>
  <c r="F7" i="7"/>
  <c r="F7" i="12" s="1"/>
  <c r="G7" i="7"/>
  <c r="G7" i="12" s="1"/>
  <c r="H7" i="7"/>
  <c r="H7" i="12" s="1"/>
  <c r="I7" i="7"/>
  <c r="I7" i="12" s="1"/>
  <c r="J7" i="7"/>
  <c r="J7" i="12" s="1"/>
  <c r="K7" i="7"/>
  <c r="K7" i="12" s="1"/>
  <c r="L7" i="7"/>
  <c r="L7" i="12" s="1"/>
  <c r="M7" i="7"/>
  <c r="M7" i="12" s="1"/>
  <c r="N7" i="7"/>
  <c r="N7" i="12" s="1"/>
  <c r="O7" i="7"/>
  <c r="O7" i="12" s="1"/>
  <c r="P7" i="7"/>
  <c r="P7" i="12" s="1"/>
  <c r="Q7" i="7"/>
  <c r="Q7" i="12" s="1"/>
  <c r="R7" i="7"/>
  <c r="R7" i="12" s="1"/>
  <c r="S7" i="7"/>
  <c r="S7" i="12" s="1"/>
  <c r="T7" i="7"/>
  <c r="T7" i="12" s="1"/>
  <c r="U7" i="7"/>
  <c r="U7" i="12" s="1"/>
  <c r="V7" i="7"/>
  <c r="V7" i="12" s="1"/>
  <c r="B8" i="7"/>
  <c r="B8" i="12" s="1"/>
  <c r="C8" i="7"/>
  <c r="C8" i="12" s="1"/>
  <c r="D8" i="7"/>
  <c r="D8" i="12" s="1"/>
  <c r="E8" i="7"/>
  <c r="E8" i="12" s="1"/>
  <c r="F8" i="7"/>
  <c r="F8" i="12" s="1"/>
  <c r="G8" i="7"/>
  <c r="G8" i="12" s="1"/>
  <c r="H8" i="7"/>
  <c r="H8" i="12" s="1"/>
  <c r="I8" i="7"/>
  <c r="I8" i="12" s="1"/>
  <c r="J8" i="7"/>
  <c r="J8" i="12" s="1"/>
  <c r="K8" i="7"/>
  <c r="K8" i="12" s="1"/>
  <c r="L8" i="7"/>
  <c r="L8" i="12" s="1"/>
  <c r="M8" i="7"/>
  <c r="M8" i="12" s="1"/>
  <c r="N8" i="7"/>
  <c r="N8" i="12" s="1"/>
  <c r="O8" i="7"/>
  <c r="O8" i="12" s="1"/>
  <c r="P8" i="7"/>
  <c r="P8" i="12" s="1"/>
  <c r="Q8" i="7"/>
  <c r="Q8" i="12" s="1"/>
  <c r="R8" i="7"/>
  <c r="R8" i="12" s="1"/>
  <c r="S8" i="7"/>
  <c r="S8" i="12" s="1"/>
  <c r="T8" i="7"/>
  <c r="T8" i="12" s="1"/>
  <c r="U8" i="7"/>
  <c r="U8" i="12" s="1"/>
  <c r="V8" i="7"/>
  <c r="V8" i="12" s="1"/>
  <c r="B9" i="7"/>
  <c r="B9" i="12" s="1"/>
  <c r="C9" i="7"/>
  <c r="C9" i="12" s="1"/>
  <c r="D9" i="7"/>
  <c r="D9" i="12" s="1"/>
  <c r="E9" i="7"/>
  <c r="E9" i="12" s="1"/>
  <c r="F9" i="7"/>
  <c r="F9" i="12" s="1"/>
  <c r="G9" i="7"/>
  <c r="G9" i="12" s="1"/>
  <c r="H9" i="7"/>
  <c r="H9" i="12" s="1"/>
  <c r="I9" i="7"/>
  <c r="I9" i="12" s="1"/>
  <c r="J9" i="7"/>
  <c r="J9" i="12" s="1"/>
  <c r="K9" i="7"/>
  <c r="K9" i="12" s="1"/>
  <c r="L9" i="7"/>
  <c r="L9" i="12" s="1"/>
  <c r="M9" i="7"/>
  <c r="M9" i="12" s="1"/>
  <c r="N9" i="7"/>
  <c r="N9" i="12" s="1"/>
  <c r="O9" i="7"/>
  <c r="O9" i="12" s="1"/>
  <c r="P9" i="7"/>
  <c r="P9" i="12" s="1"/>
  <c r="Q9" i="7"/>
  <c r="Q9" i="12" s="1"/>
  <c r="R9" i="7"/>
  <c r="R9" i="12" s="1"/>
  <c r="S9" i="7"/>
  <c r="S9" i="12" s="1"/>
  <c r="T9" i="7"/>
  <c r="T9" i="12" s="1"/>
  <c r="U9" i="7"/>
  <c r="U9" i="12" s="1"/>
  <c r="V9" i="7"/>
  <c r="V9" i="12" s="1"/>
  <c r="B10" i="7"/>
  <c r="C10" i="7"/>
  <c r="C10" i="12" s="1"/>
  <c r="D10" i="7"/>
  <c r="D10" i="12" s="1"/>
  <c r="E10" i="7"/>
  <c r="E10" i="12" s="1"/>
  <c r="F10" i="7"/>
  <c r="F10" i="12" s="1"/>
  <c r="G10" i="7"/>
  <c r="G10" i="12" s="1"/>
  <c r="H10" i="7"/>
  <c r="H10" i="12" s="1"/>
  <c r="I10" i="7"/>
  <c r="I10" i="12" s="1"/>
  <c r="J10" i="7"/>
  <c r="J10" i="12" s="1"/>
  <c r="K10" i="7"/>
  <c r="K10" i="12" s="1"/>
  <c r="L10" i="7"/>
  <c r="L10" i="12" s="1"/>
  <c r="M10" i="7"/>
  <c r="M10" i="12" s="1"/>
  <c r="N10" i="7"/>
  <c r="N10" i="12" s="1"/>
  <c r="O10" i="7"/>
  <c r="O10" i="12" s="1"/>
  <c r="P10" i="7"/>
  <c r="P10" i="12" s="1"/>
  <c r="Q10" i="7"/>
  <c r="Q10" i="12" s="1"/>
  <c r="R10" i="7"/>
  <c r="R10" i="12" s="1"/>
  <c r="S10" i="7"/>
  <c r="S10" i="12" s="1"/>
  <c r="T10" i="7"/>
  <c r="T10" i="12" s="1"/>
  <c r="U10" i="7"/>
  <c r="U10" i="12" s="1"/>
  <c r="V10" i="7"/>
  <c r="V10" i="12" s="1"/>
  <c r="B11" i="7"/>
  <c r="B11" i="12" s="1"/>
  <c r="C11" i="7"/>
  <c r="C11" i="12" s="1"/>
  <c r="D11" i="7"/>
  <c r="D11" i="12" s="1"/>
  <c r="E11" i="7"/>
  <c r="E11" i="12" s="1"/>
  <c r="F11" i="7"/>
  <c r="F11" i="12" s="1"/>
  <c r="G11" i="7"/>
  <c r="G11" i="12" s="1"/>
  <c r="H11" i="7"/>
  <c r="H11" i="12" s="1"/>
  <c r="I11" i="7"/>
  <c r="I11" i="12" s="1"/>
  <c r="J11" i="7"/>
  <c r="J11" i="12" s="1"/>
  <c r="K11" i="7"/>
  <c r="K11" i="12" s="1"/>
  <c r="L11" i="7"/>
  <c r="L11" i="12" s="1"/>
  <c r="M11" i="7"/>
  <c r="M11" i="12" s="1"/>
  <c r="N11" i="7"/>
  <c r="N11" i="12" s="1"/>
  <c r="O11" i="7"/>
  <c r="O11" i="12" s="1"/>
  <c r="P11" i="7"/>
  <c r="P11" i="12" s="1"/>
  <c r="Q11" i="7"/>
  <c r="Q11" i="12" s="1"/>
  <c r="R11" i="7"/>
  <c r="R11" i="12" s="1"/>
  <c r="S11" i="7"/>
  <c r="S11" i="12" s="1"/>
  <c r="T11" i="7"/>
  <c r="T11" i="12" s="1"/>
  <c r="U11" i="7"/>
  <c r="U11" i="12" s="1"/>
  <c r="V11" i="7"/>
  <c r="V11" i="12" s="1"/>
  <c r="B12" i="7"/>
  <c r="B12" i="12" s="1"/>
  <c r="C12" i="7"/>
  <c r="C12" i="12" s="1"/>
  <c r="D12" i="7"/>
  <c r="D12" i="12" s="1"/>
  <c r="E12" i="7"/>
  <c r="E12" i="12" s="1"/>
  <c r="F12" i="7"/>
  <c r="F12" i="12" s="1"/>
  <c r="G12" i="7"/>
  <c r="G12" i="12" s="1"/>
  <c r="H12" i="7"/>
  <c r="H12" i="12" s="1"/>
  <c r="I12" i="7"/>
  <c r="I12" i="12" s="1"/>
  <c r="J12" i="7"/>
  <c r="J12" i="12" s="1"/>
  <c r="K12" i="7"/>
  <c r="K12" i="12" s="1"/>
  <c r="L12" i="7"/>
  <c r="L12" i="12" s="1"/>
  <c r="M12" i="7"/>
  <c r="M12" i="12" s="1"/>
  <c r="N12" i="7"/>
  <c r="N12" i="12" s="1"/>
  <c r="O12" i="7"/>
  <c r="O12" i="12" s="1"/>
  <c r="P12" i="7"/>
  <c r="P12" i="12" s="1"/>
  <c r="Q12" i="7"/>
  <c r="Q12" i="12" s="1"/>
  <c r="R12" i="7"/>
  <c r="R12" i="12" s="1"/>
  <c r="S12" i="7"/>
  <c r="S12" i="12" s="1"/>
  <c r="T12" i="7"/>
  <c r="T12" i="12" s="1"/>
  <c r="U12" i="7"/>
  <c r="U12" i="12" s="1"/>
  <c r="V12" i="7"/>
  <c r="V12" i="12" s="1"/>
  <c r="B13" i="7"/>
  <c r="B13" i="12" s="1"/>
  <c r="C13" i="7"/>
  <c r="C13" i="12" s="1"/>
  <c r="D13" i="7"/>
  <c r="D13" i="12" s="1"/>
  <c r="E13" i="7"/>
  <c r="E13" i="12" s="1"/>
  <c r="F13" i="7"/>
  <c r="F13" i="12" s="1"/>
  <c r="G13" i="7"/>
  <c r="G13" i="12" s="1"/>
  <c r="H13" i="7"/>
  <c r="H13" i="12" s="1"/>
  <c r="I13" i="7"/>
  <c r="I13" i="12" s="1"/>
  <c r="J13" i="7"/>
  <c r="J13" i="12" s="1"/>
  <c r="K13" i="7"/>
  <c r="K13" i="12" s="1"/>
  <c r="L13" i="7"/>
  <c r="L13" i="12" s="1"/>
  <c r="M13" i="7"/>
  <c r="M13" i="12" s="1"/>
  <c r="N13" i="7"/>
  <c r="N13" i="12" s="1"/>
  <c r="O13" i="7"/>
  <c r="O13" i="12" s="1"/>
  <c r="P13" i="7"/>
  <c r="P13" i="12" s="1"/>
  <c r="Q13" i="7"/>
  <c r="Q13" i="12" s="1"/>
  <c r="R13" i="7"/>
  <c r="R13" i="12" s="1"/>
  <c r="S13" i="7"/>
  <c r="S13" i="12" s="1"/>
  <c r="T13" i="7"/>
  <c r="T13" i="12" s="1"/>
  <c r="U13" i="7"/>
  <c r="U13" i="12" s="1"/>
  <c r="V13" i="7"/>
  <c r="V13" i="12" s="1"/>
  <c r="B14" i="7"/>
  <c r="B14" i="12" s="1"/>
  <c r="C14" i="7"/>
  <c r="C14" i="12" s="1"/>
  <c r="D14" i="7"/>
  <c r="D14" i="12" s="1"/>
  <c r="E14" i="7"/>
  <c r="E14" i="12" s="1"/>
  <c r="F14" i="7"/>
  <c r="F14" i="12" s="1"/>
  <c r="G14" i="7"/>
  <c r="G14" i="12" s="1"/>
  <c r="H14" i="7"/>
  <c r="H14" i="12" s="1"/>
  <c r="I14" i="7"/>
  <c r="I14" i="12" s="1"/>
  <c r="J14" i="7"/>
  <c r="J14" i="12" s="1"/>
  <c r="K14" i="7"/>
  <c r="K14" i="12" s="1"/>
  <c r="L14" i="7"/>
  <c r="L14" i="12" s="1"/>
  <c r="M14" i="7"/>
  <c r="M14" i="12" s="1"/>
  <c r="N14" i="7"/>
  <c r="N14" i="12" s="1"/>
  <c r="O14" i="7"/>
  <c r="O14" i="12" s="1"/>
  <c r="P14" i="7"/>
  <c r="P14" i="12" s="1"/>
  <c r="Q14" i="7"/>
  <c r="Q14" i="12" s="1"/>
  <c r="R14" i="7"/>
  <c r="R14" i="12" s="1"/>
  <c r="S14" i="7"/>
  <c r="S14" i="12" s="1"/>
  <c r="T14" i="7"/>
  <c r="T14" i="12" s="1"/>
  <c r="U14" i="7"/>
  <c r="U14" i="12" s="1"/>
  <c r="V14" i="7"/>
  <c r="V14" i="12" s="1"/>
  <c r="B15" i="7"/>
  <c r="B15" i="12" s="1"/>
  <c r="C15" i="7"/>
  <c r="C15" i="12" s="1"/>
  <c r="D15" i="7"/>
  <c r="D15" i="12" s="1"/>
  <c r="E15" i="7"/>
  <c r="E15" i="12" s="1"/>
  <c r="F15" i="7"/>
  <c r="F15" i="12" s="1"/>
  <c r="G15" i="7"/>
  <c r="G15" i="12" s="1"/>
  <c r="H15" i="7"/>
  <c r="H15" i="12" s="1"/>
  <c r="I15" i="7"/>
  <c r="I15" i="12" s="1"/>
  <c r="J15" i="7"/>
  <c r="J15" i="12" s="1"/>
  <c r="K15" i="7"/>
  <c r="K15" i="12" s="1"/>
  <c r="L15" i="7"/>
  <c r="L15" i="12" s="1"/>
  <c r="M15" i="7"/>
  <c r="M15" i="12" s="1"/>
  <c r="N15" i="7"/>
  <c r="N15" i="12" s="1"/>
  <c r="O15" i="7"/>
  <c r="O15" i="12" s="1"/>
  <c r="P15" i="7"/>
  <c r="Q15" i="7"/>
  <c r="Q15" i="12" s="1"/>
  <c r="R15" i="7"/>
  <c r="R15" i="12" s="1"/>
  <c r="S15" i="7"/>
  <c r="S15" i="12" s="1"/>
  <c r="T15" i="7"/>
  <c r="T15" i="12" s="1"/>
  <c r="U15" i="7"/>
  <c r="U15" i="12" s="1"/>
  <c r="V15" i="7"/>
  <c r="V15" i="12" s="1"/>
  <c r="B16" i="7"/>
  <c r="B16" i="12" s="1"/>
  <c r="C16" i="7"/>
  <c r="C16" i="12" s="1"/>
  <c r="D16" i="7"/>
  <c r="D16" i="12" s="1"/>
  <c r="E16" i="7"/>
  <c r="E16" i="12" s="1"/>
  <c r="F16" i="7"/>
  <c r="F16" i="12" s="1"/>
  <c r="G16" i="7"/>
  <c r="G16" i="12" s="1"/>
  <c r="H16" i="7"/>
  <c r="H16" i="12" s="1"/>
  <c r="I16" i="7"/>
  <c r="I16" i="12" s="1"/>
  <c r="J16" i="7"/>
  <c r="J16" i="12" s="1"/>
  <c r="K16" i="7"/>
  <c r="K16" i="12" s="1"/>
  <c r="L16" i="7"/>
  <c r="L16" i="12" s="1"/>
  <c r="M16" i="7"/>
  <c r="M16" i="12" s="1"/>
  <c r="N16" i="7"/>
  <c r="N16" i="12" s="1"/>
  <c r="O16" i="7"/>
  <c r="O16" i="12" s="1"/>
  <c r="P16" i="7"/>
  <c r="P16" i="12" s="1"/>
  <c r="Q16" i="7"/>
  <c r="Q16" i="12" s="1"/>
  <c r="R16" i="7"/>
  <c r="R16" i="12" s="1"/>
  <c r="S16" i="7"/>
  <c r="S16" i="12" s="1"/>
  <c r="T16" i="7"/>
  <c r="T16" i="12" s="1"/>
  <c r="U16" i="7"/>
  <c r="U16" i="12" s="1"/>
  <c r="V16" i="7"/>
  <c r="V16" i="12" s="1"/>
  <c r="B17" i="7"/>
  <c r="B17" i="12" s="1"/>
  <c r="C17" i="7"/>
  <c r="C17" i="12" s="1"/>
  <c r="D17" i="7"/>
  <c r="D17" i="12" s="1"/>
  <c r="E17" i="7"/>
  <c r="E17" i="12" s="1"/>
  <c r="F17" i="7"/>
  <c r="F17" i="12" s="1"/>
  <c r="G17" i="7"/>
  <c r="G17" i="12" s="1"/>
  <c r="H17" i="7"/>
  <c r="H17" i="12" s="1"/>
  <c r="I17" i="7"/>
  <c r="I17" i="12" s="1"/>
  <c r="J17" i="7"/>
  <c r="J17" i="12" s="1"/>
  <c r="K17" i="7"/>
  <c r="K17" i="12" s="1"/>
  <c r="L17" i="7"/>
  <c r="L17" i="12" s="1"/>
  <c r="M17" i="7"/>
  <c r="M17" i="12" s="1"/>
  <c r="N17" i="7"/>
  <c r="N17" i="12" s="1"/>
  <c r="O17" i="7"/>
  <c r="O17" i="12" s="1"/>
  <c r="P17" i="7"/>
  <c r="P17" i="12" s="1"/>
  <c r="Q17" i="7"/>
  <c r="Q17" i="12" s="1"/>
  <c r="R17" i="7"/>
  <c r="R17" i="12" s="1"/>
  <c r="S17" i="7"/>
  <c r="S17" i="12" s="1"/>
  <c r="T17" i="7"/>
  <c r="T17" i="12" s="1"/>
  <c r="U17" i="7"/>
  <c r="U17" i="12" s="1"/>
  <c r="V17" i="7"/>
  <c r="V17" i="12" s="1"/>
  <c r="B18" i="7"/>
  <c r="B18" i="12" s="1"/>
  <c r="C18" i="7"/>
  <c r="C18" i="12" s="1"/>
  <c r="D18" i="7"/>
  <c r="D18" i="12" s="1"/>
  <c r="E18" i="7"/>
  <c r="E18" i="12" s="1"/>
  <c r="F18" i="7"/>
  <c r="F18" i="12" s="1"/>
  <c r="G18" i="7"/>
  <c r="G18" i="12" s="1"/>
  <c r="H18" i="7"/>
  <c r="H18" i="12" s="1"/>
  <c r="I18" i="7"/>
  <c r="I18" i="12" s="1"/>
  <c r="J18" i="7"/>
  <c r="J18" i="12" s="1"/>
  <c r="K18" i="7"/>
  <c r="K18" i="12" s="1"/>
  <c r="L18" i="7"/>
  <c r="L18" i="12" s="1"/>
  <c r="M18" i="7"/>
  <c r="M18" i="12" s="1"/>
  <c r="N18" i="7"/>
  <c r="N18" i="12" s="1"/>
  <c r="O18" i="7"/>
  <c r="O18" i="12" s="1"/>
  <c r="P18" i="7"/>
  <c r="P18" i="12" s="1"/>
  <c r="Q18" i="7"/>
  <c r="Q18" i="12" s="1"/>
  <c r="R18" i="7"/>
  <c r="R18" i="12" s="1"/>
  <c r="S18" i="7"/>
  <c r="S18" i="12" s="1"/>
  <c r="T18" i="7"/>
  <c r="T18" i="12" s="1"/>
  <c r="U18" i="7"/>
  <c r="U18" i="12" s="1"/>
  <c r="V18" i="7"/>
  <c r="V18" i="12" s="1"/>
  <c r="B19" i="7"/>
  <c r="B19" i="12" s="1"/>
  <c r="C19" i="7"/>
  <c r="C19" i="12" s="1"/>
  <c r="D19" i="7"/>
  <c r="D19" i="12" s="1"/>
  <c r="E19" i="7"/>
  <c r="F19" i="7"/>
  <c r="F19" i="12" s="1"/>
  <c r="G19" i="7"/>
  <c r="G19" i="12" s="1"/>
  <c r="H19" i="7"/>
  <c r="H19" i="12" s="1"/>
  <c r="I19" i="7"/>
  <c r="I19" i="12" s="1"/>
  <c r="J19" i="7"/>
  <c r="J19" i="12" s="1"/>
  <c r="K19" i="7"/>
  <c r="K19" i="12" s="1"/>
  <c r="L19" i="7"/>
  <c r="L19" i="12" s="1"/>
  <c r="M19" i="7"/>
  <c r="M19" i="12" s="1"/>
  <c r="N19" i="7"/>
  <c r="N19" i="12" s="1"/>
  <c r="O19" i="7"/>
  <c r="O19" i="12" s="1"/>
  <c r="P19" i="7"/>
  <c r="P19" i="12" s="1"/>
  <c r="Q19" i="7"/>
  <c r="Q19" i="12" s="1"/>
  <c r="R19" i="7"/>
  <c r="R19" i="12" s="1"/>
  <c r="S19" i="7"/>
  <c r="S19" i="12" s="1"/>
  <c r="T19" i="7"/>
  <c r="T19" i="12" s="1"/>
  <c r="U19" i="7"/>
  <c r="U19" i="12" s="1"/>
  <c r="V19" i="7"/>
  <c r="V19" i="12" s="1"/>
  <c r="B20" i="7"/>
  <c r="B20" i="12" s="1"/>
  <c r="C20" i="7"/>
  <c r="C20" i="12" s="1"/>
  <c r="D20" i="7"/>
  <c r="D20" i="12" s="1"/>
  <c r="E20" i="7"/>
  <c r="E20" i="12" s="1"/>
  <c r="F20" i="7"/>
  <c r="F20" i="12" s="1"/>
  <c r="G20" i="7"/>
  <c r="G20" i="12" s="1"/>
  <c r="H20" i="7"/>
  <c r="H20" i="12" s="1"/>
  <c r="I20" i="7"/>
  <c r="I20" i="12" s="1"/>
  <c r="J20" i="7"/>
  <c r="J20" i="12" s="1"/>
  <c r="K20" i="7"/>
  <c r="K20" i="12" s="1"/>
  <c r="L20" i="7"/>
  <c r="L20" i="12" s="1"/>
  <c r="M20" i="7"/>
  <c r="M20" i="12" s="1"/>
  <c r="N20" i="7"/>
  <c r="N20" i="12" s="1"/>
  <c r="O20" i="7"/>
  <c r="O20" i="12" s="1"/>
  <c r="P20" i="7"/>
  <c r="P20" i="12" s="1"/>
  <c r="Q20" i="7"/>
  <c r="Q20" i="12" s="1"/>
  <c r="R20" i="7"/>
  <c r="R20" i="12" s="1"/>
  <c r="S20" i="7"/>
  <c r="S20" i="12" s="1"/>
  <c r="T20" i="7"/>
  <c r="T20" i="12" s="1"/>
  <c r="U20" i="7"/>
  <c r="U20" i="12" s="1"/>
  <c r="V20" i="7"/>
  <c r="V20" i="12" s="1"/>
  <c r="B21" i="7"/>
  <c r="B21" i="12" s="1"/>
  <c r="C21" i="7"/>
  <c r="C21" i="12" s="1"/>
  <c r="D21" i="7"/>
  <c r="D21" i="12" s="1"/>
  <c r="E21" i="7"/>
  <c r="E21" i="12" s="1"/>
  <c r="F21" i="7"/>
  <c r="F21" i="12" s="1"/>
  <c r="G21" i="7"/>
  <c r="G21" i="12" s="1"/>
  <c r="H21" i="7"/>
  <c r="H21" i="12" s="1"/>
  <c r="I21" i="7"/>
  <c r="I21" i="12" s="1"/>
  <c r="J21" i="7"/>
  <c r="J21" i="12" s="1"/>
  <c r="K21" i="7"/>
  <c r="K21" i="12" s="1"/>
  <c r="L21" i="7"/>
  <c r="L21" i="12" s="1"/>
  <c r="M21" i="7"/>
  <c r="M21" i="12" s="1"/>
  <c r="N21" i="7"/>
  <c r="N21" i="12" s="1"/>
  <c r="O21" i="7"/>
  <c r="O21" i="12" s="1"/>
  <c r="P21" i="7"/>
  <c r="P21" i="12" s="1"/>
  <c r="Q21" i="7"/>
  <c r="Q21" i="12" s="1"/>
  <c r="R21" i="7"/>
  <c r="R21" i="12" s="1"/>
  <c r="S21" i="7"/>
  <c r="S21" i="12" s="1"/>
  <c r="T21" i="7"/>
  <c r="T21" i="12" s="1"/>
  <c r="U21" i="7"/>
  <c r="U21" i="12" s="1"/>
  <c r="V21" i="7"/>
  <c r="V21" i="12" s="1"/>
  <c r="B22" i="7"/>
  <c r="B22" i="12" s="1"/>
  <c r="C22" i="7"/>
  <c r="C22" i="12" s="1"/>
  <c r="D22" i="7"/>
  <c r="D22" i="12" s="1"/>
  <c r="E22" i="7"/>
  <c r="E22" i="12" s="1"/>
  <c r="F22" i="7"/>
  <c r="F22" i="12" s="1"/>
  <c r="G22" i="7"/>
  <c r="G22" i="12" s="1"/>
  <c r="H22" i="7"/>
  <c r="H22" i="12" s="1"/>
  <c r="I22" i="7"/>
  <c r="I22" i="12" s="1"/>
  <c r="J22" i="7"/>
  <c r="J22" i="12" s="1"/>
  <c r="K22" i="7"/>
  <c r="K22" i="12" s="1"/>
  <c r="L22" i="7"/>
  <c r="L22" i="12" s="1"/>
  <c r="M22" i="7"/>
  <c r="M22" i="12" s="1"/>
  <c r="N22" i="7"/>
  <c r="N22" i="12" s="1"/>
  <c r="O22" i="7"/>
  <c r="O22" i="12" s="1"/>
  <c r="P22" i="7"/>
  <c r="P22" i="12" s="1"/>
  <c r="Q22" i="7"/>
  <c r="Q22" i="12" s="1"/>
  <c r="R22" i="7"/>
  <c r="R22" i="12" s="1"/>
  <c r="S22" i="7"/>
  <c r="S22" i="12" s="1"/>
  <c r="T22" i="7"/>
  <c r="T22" i="12" s="1"/>
  <c r="U22" i="7"/>
  <c r="U22" i="12" s="1"/>
  <c r="V22" i="7"/>
  <c r="V22" i="12" s="1"/>
  <c r="B23" i="7"/>
  <c r="B23" i="12" s="1"/>
  <c r="C23" i="7"/>
  <c r="C23" i="12" s="1"/>
  <c r="D23" i="7"/>
  <c r="D23" i="12" s="1"/>
  <c r="E23" i="7"/>
  <c r="E23" i="12" s="1"/>
  <c r="F23" i="7"/>
  <c r="F23" i="12" s="1"/>
  <c r="G23" i="7"/>
  <c r="G23" i="12" s="1"/>
  <c r="H23" i="7"/>
  <c r="H23" i="12" s="1"/>
  <c r="I23" i="7"/>
  <c r="I23" i="12" s="1"/>
  <c r="J23" i="7"/>
  <c r="J23" i="12" s="1"/>
  <c r="K23" i="7"/>
  <c r="K23" i="12" s="1"/>
  <c r="L23" i="7"/>
  <c r="L23" i="12" s="1"/>
  <c r="M23" i="7"/>
  <c r="M23" i="12" s="1"/>
  <c r="N23" i="7"/>
  <c r="N23" i="12" s="1"/>
  <c r="O23" i="7"/>
  <c r="O23" i="12" s="1"/>
  <c r="P23" i="7"/>
  <c r="P23" i="12" s="1"/>
  <c r="Q23" i="7"/>
  <c r="Q23" i="12" s="1"/>
  <c r="R23" i="7"/>
  <c r="R23" i="12" s="1"/>
  <c r="S23" i="7"/>
  <c r="S23" i="12" s="1"/>
  <c r="T23" i="7"/>
  <c r="T23" i="12" s="1"/>
  <c r="U23" i="7"/>
  <c r="U23" i="12" s="1"/>
  <c r="V23" i="7"/>
  <c r="V23" i="12" s="1"/>
  <c r="B24" i="7"/>
  <c r="B24" i="12" s="1"/>
  <c r="C24" i="7"/>
  <c r="C24" i="12" s="1"/>
  <c r="D24" i="7"/>
  <c r="D24" i="12" s="1"/>
  <c r="E24" i="7"/>
  <c r="E24" i="12" s="1"/>
  <c r="F24" i="7"/>
  <c r="F24" i="12" s="1"/>
  <c r="G24" i="7"/>
  <c r="G24" i="12" s="1"/>
  <c r="H24" i="7"/>
  <c r="H24" i="12" s="1"/>
  <c r="I24" i="7"/>
  <c r="I24" i="12" s="1"/>
  <c r="J24" i="7"/>
  <c r="J24" i="12" s="1"/>
  <c r="K24" i="7"/>
  <c r="K24" i="12" s="1"/>
  <c r="L24" i="7"/>
  <c r="L24" i="12" s="1"/>
  <c r="M24" i="7"/>
  <c r="M24" i="12" s="1"/>
  <c r="N24" i="7"/>
  <c r="N24" i="12" s="1"/>
  <c r="O24" i="7"/>
  <c r="O24" i="12" s="1"/>
  <c r="P24" i="7"/>
  <c r="P24" i="12" s="1"/>
  <c r="Q24" i="7"/>
  <c r="Q24" i="12" s="1"/>
  <c r="R24" i="7"/>
  <c r="R24" i="12" s="1"/>
  <c r="S24" i="7"/>
  <c r="S24" i="12" s="1"/>
  <c r="T24" i="7"/>
  <c r="T24" i="12" s="1"/>
  <c r="U24" i="7"/>
  <c r="U24" i="12" s="1"/>
  <c r="V24" i="7"/>
  <c r="V24" i="12" s="1"/>
  <c r="B25" i="7"/>
  <c r="B25" i="12" s="1"/>
  <c r="C25" i="7"/>
  <c r="C25" i="12" s="1"/>
  <c r="D25" i="7"/>
  <c r="D25" i="12" s="1"/>
  <c r="E25" i="7"/>
  <c r="E25" i="12" s="1"/>
  <c r="F25" i="7"/>
  <c r="F25" i="12" s="1"/>
  <c r="G25" i="7"/>
  <c r="G25" i="12" s="1"/>
  <c r="H25" i="7"/>
  <c r="H25" i="12" s="1"/>
  <c r="I25" i="7"/>
  <c r="I25" i="12" s="1"/>
  <c r="J25" i="7"/>
  <c r="J25" i="12" s="1"/>
  <c r="K25" i="7"/>
  <c r="K25" i="12" s="1"/>
  <c r="L25" i="7"/>
  <c r="L25" i="12" s="1"/>
  <c r="M25" i="7"/>
  <c r="M25" i="12" s="1"/>
  <c r="N25" i="7"/>
  <c r="N25" i="12" s="1"/>
  <c r="O25" i="7"/>
  <c r="O25" i="12" s="1"/>
  <c r="P25" i="7"/>
  <c r="P25" i="12" s="1"/>
  <c r="Q25" i="7"/>
  <c r="Q25" i="12" s="1"/>
  <c r="R25" i="7"/>
  <c r="R25" i="12" s="1"/>
  <c r="S25" i="7"/>
  <c r="S25" i="12" s="1"/>
  <c r="T25" i="7"/>
  <c r="T25" i="12" s="1"/>
  <c r="U25" i="7"/>
  <c r="U25" i="12" s="1"/>
  <c r="V25" i="7"/>
  <c r="V25" i="12" s="1"/>
  <c r="B26" i="7"/>
  <c r="B26" i="12" s="1"/>
  <c r="C26" i="7"/>
  <c r="C26" i="12" s="1"/>
  <c r="D26" i="7"/>
  <c r="D26" i="12" s="1"/>
  <c r="E26" i="7"/>
  <c r="E26" i="12" s="1"/>
  <c r="F26" i="7"/>
  <c r="F26" i="12" s="1"/>
  <c r="G26" i="7"/>
  <c r="G26" i="12" s="1"/>
  <c r="H26" i="7"/>
  <c r="H26" i="12" s="1"/>
  <c r="I26" i="7"/>
  <c r="I26" i="12" s="1"/>
  <c r="J26" i="7"/>
  <c r="J26" i="12" s="1"/>
  <c r="K26" i="7"/>
  <c r="K26" i="12" s="1"/>
  <c r="L26" i="7"/>
  <c r="L26" i="12" s="1"/>
  <c r="M26" i="7"/>
  <c r="M26" i="12" s="1"/>
  <c r="N26" i="7"/>
  <c r="N26" i="12" s="1"/>
  <c r="O26" i="7"/>
  <c r="O26" i="12" s="1"/>
  <c r="P26" i="7"/>
  <c r="P26" i="12" s="1"/>
  <c r="Q26" i="7"/>
  <c r="Q26" i="12" s="1"/>
  <c r="R26" i="7"/>
  <c r="R26" i="12" s="1"/>
  <c r="S26" i="7"/>
  <c r="S26" i="12" s="1"/>
  <c r="T26" i="7"/>
  <c r="T26" i="12" s="1"/>
  <c r="U26" i="7"/>
  <c r="U26" i="12" s="1"/>
  <c r="V26" i="7"/>
  <c r="V26" i="12" s="1"/>
  <c r="B27" i="7"/>
  <c r="B27" i="12" s="1"/>
  <c r="C27" i="7"/>
  <c r="C27" i="12" s="1"/>
  <c r="D27" i="7"/>
  <c r="D27" i="12" s="1"/>
  <c r="E27" i="7"/>
  <c r="E27" i="12" s="1"/>
  <c r="F27" i="7"/>
  <c r="F27" i="12" s="1"/>
  <c r="G27" i="7"/>
  <c r="G27" i="12" s="1"/>
  <c r="H27" i="7"/>
  <c r="H27" i="12" s="1"/>
  <c r="I27" i="7"/>
  <c r="I27" i="12" s="1"/>
  <c r="J27" i="7"/>
  <c r="J27" i="12" s="1"/>
  <c r="K27" i="7"/>
  <c r="K27" i="12" s="1"/>
  <c r="L27" i="7"/>
  <c r="L27" i="12" s="1"/>
  <c r="M27" i="7"/>
  <c r="M27" i="12" s="1"/>
  <c r="N27" i="7"/>
  <c r="N27" i="12" s="1"/>
  <c r="O27" i="7"/>
  <c r="O27" i="12" s="1"/>
  <c r="P27" i="7"/>
  <c r="P27" i="12" s="1"/>
  <c r="Q27" i="7"/>
  <c r="Q27" i="12" s="1"/>
  <c r="R27" i="7"/>
  <c r="R27" i="12" s="1"/>
  <c r="S27" i="7"/>
  <c r="S27" i="12" s="1"/>
  <c r="T27" i="7"/>
  <c r="T27" i="12" s="1"/>
  <c r="U27" i="7"/>
  <c r="U27" i="12" s="1"/>
  <c r="V27" i="7"/>
  <c r="V27" i="12" s="1"/>
  <c r="B28" i="7"/>
  <c r="B28" i="12" s="1"/>
  <c r="C28" i="7"/>
  <c r="C28" i="12" s="1"/>
  <c r="D28" i="7"/>
  <c r="D28" i="12" s="1"/>
  <c r="E28" i="7"/>
  <c r="E28" i="12" s="1"/>
  <c r="F28" i="7"/>
  <c r="F28" i="12" s="1"/>
  <c r="G28" i="7"/>
  <c r="G28" i="12" s="1"/>
  <c r="H28" i="7"/>
  <c r="H28" i="12" s="1"/>
  <c r="I28" i="7"/>
  <c r="I28" i="12" s="1"/>
  <c r="J28" i="7"/>
  <c r="J28" i="12" s="1"/>
  <c r="K28" i="7"/>
  <c r="K28" i="12" s="1"/>
  <c r="L28" i="7"/>
  <c r="L28" i="12" s="1"/>
  <c r="M28" i="7"/>
  <c r="M28" i="12" s="1"/>
  <c r="N28" i="7"/>
  <c r="N28" i="12" s="1"/>
  <c r="O28" i="7"/>
  <c r="O28" i="12" s="1"/>
  <c r="P28" i="7"/>
  <c r="P28" i="12" s="1"/>
  <c r="Q28" i="7"/>
  <c r="Q28" i="12" s="1"/>
  <c r="R28" i="7"/>
  <c r="R28" i="12" s="1"/>
  <c r="S28" i="7"/>
  <c r="S28" i="12" s="1"/>
  <c r="T28" i="7"/>
  <c r="T28" i="12" s="1"/>
  <c r="U28" i="7"/>
  <c r="U28" i="12" s="1"/>
  <c r="V28" i="7"/>
  <c r="V28" i="12" s="1"/>
  <c r="B29" i="7"/>
  <c r="B29" i="12" s="1"/>
  <c r="C29" i="7"/>
  <c r="C29" i="12" s="1"/>
  <c r="D29" i="7"/>
  <c r="D29" i="12" s="1"/>
  <c r="E29" i="7"/>
  <c r="E29" i="12" s="1"/>
  <c r="F29" i="7"/>
  <c r="F29" i="12" s="1"/>
  <c r="G29" i="7"/>
  <c r="G29" i="12" s="1"/>
  <c r="H29" i="7"/>
  <c r="H29" i="12" s="1"/>
  <c r="I29" i="7"/>
  <c r="I29" i="12" s="1"/>
  <c r="J29" i="7"/>
  <c r="J29" i="12" s="1"/>
  <c r="K29" i="7"/>
  <c r="K29" i="12" s="1"/>
  <c r="L29" i="7"/>
  <c r="L29" i="12" s="1"/>
  <c r="M29" i="7"/>
  <c r="M29" i="12" s="1"/>
  <c r="N29" i="7"/>
  <c r="N29" i="12" s="1"/>
  <c r="O29" i="7"/>
  <c r="O29" i="12" s="1"/>
  <c r="P29" i="7"/>
  <c r="P29" i="12" s="1"/>
  <c r="Q29" i="7"/>
  <c r="Q29" i="12" s="1"/>
  <c r="R29" i="7"/>
  <c r="R29" i="12" s="1"/>
  <c r="S29" i="7"/>
  <c r="S29" i="12" s="1"/>
  <c r="T29" i="7"/>
  <c r="T29" i="12" s="1"/>
  <c r="U29" i="7"/>
  <c r="U29" i="12" s="1"/>
  <c r="V29" i="7"/>
  <c r="V29" i="12" s="1"/>
  <c r="B30" i="7"/>
  <c r="B30" i="12" s="1"/>
  <c r="C30" i="7"/>
  <c r="C30" i="12" s="1"/>
  <c r="D30" i="7"/>
  <c r="D30" i="12" s="1"/>
  <c r="E30" i="7"/>
  <c r="E30" i="12" s="1"/>
  <c r="F30" i="7"/>
  <c r="F30" i="12" s="1"/>
  <c r="G30" i="7"/>
  <c r="G30" i="12" s="1"/>
  <c r="H30" i="7"/>
  <c r="H30" i="12" s="1"/>
  <c r="I30" i="7"/>
  <c r="I30" i="12" s="1"/>
  <c r="J30" i="7"/>
  <c r="J30" i="12" s="1"/>
  <c r="K30" i="7"/>
  <c r="K30" i="12" s="1"/>
  <c r="L30" i="7"/>
  <c r="L30" i="12" s="1"/>
  <c r="M30" i="7"/>
  <c r="M30" i="12" s="1"/>
  <c r="N30" i="7"/>
  <c r="N30" i="12" s="1"/>
  <c r="O30" i="7"/>
  <c r="O30" i="12" s="1"/>
  <c r="P30" i="7"/>
  <c r="P30" i="12" s="1"/>
  <c r="Q30" i="7"/>
  <c r="Q30" i="12" s="1"/>
  <c r="R30" i="7"/>
  <c r="R30" i="12" s="1"/>
  <c r="S30" i="7"/>
  <c r="S30" i="12" s="1"/>
  <c r="T30" i="7"/>
  <c r="T30" i="12" s="1"/>
  <c r="U30" i="7"/>
  <c r="U30" i="12" s="1"/>
  <c r="V30" i="7"/>
  <c r="V30" i="12" s="1"/>
  <c r="B31" i="7"/>
  <c r="B31" i="12" s="1"/>
  <c r="C31" i="7"/>
  <c r="C31" i="12" s="1"/>
  <c r="D31" i="7"/>
  <c r="D31" i="12" s="1"/>
  <c r="E31" i="7"/>
  <c r="E31" i="12" s="1"/>
  <c r="F31" i="7"/>
  <c r="F31" i="12" s="1"/>
  <c r="G31" i="7"/>
  <c r="G31" i="12" s="1"/>
  <c r="H31" i="7"/>
  <c r="H31" i="12" s="1"/>
  <c r="I31" i="7"/>
  <c r="I31" i="12" s="1"/>
  <c r="J31" i="7"/>
  <c r="J31" i="12" s="1"/>
  <c r="K31" i="7"/>
  <c r="K31" i="12" s="1"/>
  <c r="L31" i="7"/>
  <c r="L31" i="12" s="1"/>
  <c r="M31" i="7"/>
  <c r="M31" i="12" s="1"/>
  <c r="N31" i="7"/>
  <c r="N31" i="12" s="1"/>
  <c r="O31" i="7"/>
  <c r="O31" i="12" s="1"/>
  <c r="P31" i="7"/>
  <c r="P31" i="12" s="1"/>
  <c r="Q31" i="7"/>
  <c r="Q31" i="12" s="1"/>
  <c r="R31" i="7"/>
  <c r="R31" i="12" s="1"/>
  <c r="S31" i="7"/>
  <c r="S31" i="12" s="1"/>
  <c r="T31" i="7"/>
  <c r="T31" i="12" s="1"/>
  <c r="U31" i="7"/>
  <c r="U31" i="12" s="1"/>
  <c r="V31" i="7"/>
  <c r="V31" i="12" s="1"/>
  <c r="B32" i="7"/>
  <c r="B32" i="12" s="1"/>
  <c r="C32" i="7"/>
  <c r="C32" i="12" s="1"/>
  <c r="D32" i="7"/>
  <c r="D32" i="12" s="1"/>
  <c r="E32" i="7"/>
  <c r="E32" i="12" s="1"/>
  <c r="F32" i="7"/>
  <c r="F32" i="12" s="1"/>
  <c r="G32" i="7"/>
  <c r="G32" i="12" s="1"/>
  <c r="H32" i="7"/>
  <c r="H32" i="12" s="1"/>
  <c r="I32" i="7"/>
  <c r="I32" i="12" s="1"/>
  <c r="J32" i="7"/>
  <c r="J32" i="12" s="1"/>
  <c r="K32" i="7"/>
  <c r="K32" i="12" s="1"/>
  <c r="L32" i="7"/>
  <c r="L32" i="12" s="1"/>
  <c r="M32" i="7"/>
  <c r="M32" i="12" s="1"/>
  <c r="N32" i="7"/>
  <c r="N32" i="12" s="1"/>
  <c r="O32" i="7"/>
  <c r="O32" i="12" s="1"/>
  <c r="P32" i="7"/>
  <c r="P32" i="12" s="1"/>
  <c r="Q32" i="7"/>
  <c r="Q32" i="12" s="1"/>
  <c r="R32" i="7"/>
  <c r="R32" i="12" s="1"/>
  <c r="S32" i="7"/>
  <c r="S32" i="12" s="1"/>
  <c r="T32" i="7"/>
  <c r="T32" i="12" s="1"/>
  <c r="U32" i="7"/>
  <c r="U32" i="12" s="1"/>
  <c r="V32" i="7"/>
  <c r="V32" i="12" s="1"/>
  <c r="B33" i="7"/>
  <c r="B33" i="12" s="1"/>
  <c r="C33" i="7"/>
  <c r="C33" i="12" s="1"/>
  <c r="D33" i="7"/>
  <c r="D33" i="12" s="1"/>
  <c r="E33" i="7"/>
  <c r="E33" i="12" s="1"/>
  <c r="F33" i="7"/>
  <c r="F33" i="12" s="1"/>
  <c r="G33" i="7"/>
  <c r="G33" i="12" s="1"/>
  <c r="H33" i="7"/>
  <c r="H33" i="12" s="1"/>
  <c r="I33" i="7"/>
  <c r="I33" i="12" s="1"/>
  <c r="J33" i="7"/>
  <c r="J33" i="12" s="1"/>
  <c r="K33" i="7"/>
  <c r="K33" i="12" s="1"/>
  <c r="L33" i="7"/>
  <c r="L33" i="12" s="1"/>
  <c r="M33" i="7"/>
  <c r="M33" i="12" s="1"/>
  <c r="N33" i="7"/>
  <c r="N33" i="12" s="1"/>
  <c r="O33" i="7"/>
  <c r="O33" i="12" s="1"/>
  <c r="P33" i="7"/>
  <c r="P33" i="12" s="1"/>
  <c r="Q33" i="7"/>
  <c r="Q33" i="12" s="1"/>
  <c r="R33" i="7"/>
  <c r="R33" i="12" s="1"/>
  <c r="S33" i="7"/>
  <c r="S33" i="12" s="1"/>
  <c r="T33" i="7"/>
  <c r="T33" i="12" s="1"/>
  <c r="U33" i="7"/>
  <c r="U33" i="12" s="1"/>
  <c r="V33" i="7"/>
  <c r="V33" i="12" s="1"/>
  <c r="B34" i="7"/>
  <c r="B34" i="12" s="1"/>
  <c r="C34" i="7"/>
  <c r="C34" i="12" s="1"/>
  <c r="D34" i="7"/>
  <c r="D34" i="12" s="1"/>
  <c r="E34" i="7"/>
  <c r="E34" i="12" s="1"/>
  <c r="F34" i="7"/>
  <c r="F34" i="12" s="1"/>
  <c r="G34" i="7"/>
  <c r="G34" i="12" s="1"/>
  <c r="H34" i="7"/>
  <c r="H34" i="12" s="1"/>
  <c r="I34" i="7"/>
  <c r="I34" i="12" s="1"/>
  <c r="J34" i="7"/>
  <c r="J34" i="12" s="1"/>
  <c r="K34" i="7"/>
  <c r="K34" i="12" s="1"/>
  <c r="L34" i="7"/>
  <c r="L34" i="12" s="1"/>
  <c r="M34" i="7"/>
  <c r="M34" i="12" s="1"/>
  <c r="N34" i="7"/>
  <c r="N34" i="12" s="1"/>
  <c r="O34" i="7"/>
  <c r="O34" i="12" s="1"/>
  <c r="P34" i="7"/>
  <c r="P34" i="12" s="1"/>
  <c r="Q34" i="7"/>
  <c r="Q34" i="12" s="1"/>
  <c r="R34" i="7"/>
  <c r="R34" i="12" s="1"/>
  <c r="S34" i="7"/>
  <c r="S34" i="12" s="1"/>
  <c r="T34" i="7"/>
  <c r="T34" i="12" s="1"/>
  <c r="U34" i="7"/>
  <c r="U34" i="12" s="1"/>
  <c r="V34" i="7"/>
  <c r="V34" i="12" s="1"/>
  <c r="B35" i="7"/>
  <c r="B35" i="12" s="1"/>
  <c r="C35" i="7"/>
  <c r="C35" i="12" s="1"/>
  <c r="D35" i="7"/>
  <c r="D35" i="12" s="1"/>
  <c r="E35" i="7"/>
  <c r="E35" i="12" s="1"/>
  <c r="F35" i="7"/>
  <c r="F35" i="12" s="1"/>
  <c r="G35" i="7"/>
  <c r="G35" i="12" s="1"/>
  <c r="H35" i="7"/>
  <c r="H35" i="12" s="1"/>
  <c r="I35" i="7"/>
  <c r="I35" i="12" s="1"/>
  <c r="J35" i="7"/>
  <c r="J35" i="12" s="1"/>
  <c r="K35" i="7"/>
  <c r="K35" i="12" s="1"/>
  <c r="L35" i="7"/>
  <c r="L35" i="12" s="1"/>
  <c r="M35" i="7"/>
  <c r="M35" i="12" s="1"/>
  <c r="N35" i="7"/>
  <c r="N35" i="12" s="1"/>
  <c r="O35" i="7"/>
  <c r="O35" i="12" s="1"/>
  <c r="P35" i="7"/>
  <c r="P35" i="12" s="1"/>
  <c r="Q35" i="7"/>
  <c r="Q35" i="12" s="1"/>
  <c r="R35" i="7"/>
  <c r="R35" i="12" s="1"/>
  <c r="S35" i="7"/>
  <c r="S35" i="12" s="1"/>
  <c r="T35" i="7"/>
  <c r="T35" i="12" s="1"/>
  <c r="U35" i="7"/>
  <c r="U35" i="12" s="1"/>
  <c r="V35" i="7"/>
  <c r="V35" i="12" s="1"/>
  <c r="B36" i="7"/>
  <c r="B36" i="12" s="1"/>
  <c r="C36" i="7"/>
  <c r="C36" i="12" s="1"/>
  <c r="D36" i="7"/>
  <c r="D36" i="12" s="1"/>
  <c r="E36" i="7"/>
  <c r="E36" i="12" s="1"/>
  <c r="F36" i="7"/>
  <c r="F36" i="12" s="1"/>
  <c r="G36" i="7"/>
  <c r="G36" i="12" s="1"/>
  <c r="H36" i="7"/>
  <c r="H36" i="12" s="1"/>
  <c r="I36" i="7"/>
  <c r="I36" i="12" s="1"/>
  <c r="J36" i="7"/>
  <c r="J36" i="12" s="1"/>
  <c r="K36" i="7"/>
  <c r="K36" i="12" s="1"/>
  <c r="L36" i="7"/>
  <c r="L36" i="12" s="1"/>
  <c r="M36" i="7"/>
  <c r="M36" i="12" s="1"/>
  <c r="N36" i="7"/>
  <c r="N36" i="12" s="1"/>
  <c r="O36" i="7"/>
  <c r="O36" i="12" s="1"/>
  <c r="P36" i="7"/>
  <c r="P36" i="12" s="1"/>
  <c r="Q36" i="7"/>
  <c r="Q36" i="12" s="1"/>
  <c r="R36" i="7"/>
  <c r="R36" i="12" s="1"/>
  <c r="S36" i="7"/>
  <c r="S36" i="12" s="1"/>
  <c r="T36" i="7"/>
  <c r="T36" i="12" s="1"/>
  <c r="U36" i="7"/>
  <c r="U36" i="12" s="1"/>
  <c r="V36" i="7"/>
  <c r="V36" i="12" s="1"/>
  <c r="B37" i="7"/>
  <c r="B37" i="12" s="1"/>
  <c r="C37" i="7"/>
  <c r="C37" i="12" s="1"/>
  <c r="D37" i="7"/>
  <c r="D37" i="12" s="1"/>
  <c r="E37" i="7"/>
  <c r="E37" i="12" s="1"/>
  <c r="F37" i="7"/>
  <c r="F37" i="12" s="1"/>
  <c r="G37" i="7"/>
  <c r="G37" i="12" s="1"/>
  <c r="H37" i="7"/>
  <c r="H37" i="12" s="1"/>
  <c r="I37" i="7"/>
  <c r="I37" i="12" s="1"/>
  <c r="J37" i="7"/>
  <c r="J37" i="12" s="1"/>
  <c r="K37" i="7"/>
  <c r="K37" i="12" s="1"/>
  <c r="L37" i="7"/>
  <c r="L37" i="12" s="1"/>
  <c r="M37" i="7"/>
  <c r="M37" i="12" s="1"/>
  <c r="N37" i="7"/>
  <c r="N37" i="12" s="1"/>
  <c r="O37" i="7"/>
  <c r="O37" i="12" s="1"/>
  <c r="P37" i="7"/>
  <c r="P37" i="12" s="1"/>
  <c r="Q37" i="7"/>
  <c r="Q37" i="12" s="1"/>
  <c r="R37" i="7"/>
  <c r="R37" i="12" s="1"/>
  <c r="S37" i="7"/>
  <c r="S37" i="12" s="1"/>
  <c r="T37" i="7"/>
  <c r="T37" i="12" s="1"/>
  <c r="U37" i="7"/>
  <c r="U37" i="12" s="1"/>
  <c r="V37" i="7"/>
  <c r="V37" i="12" s="1"/>
  <c r="B38" i="7"/>
  <c r="B38" i="12" s="1"/>
  <c r="C38" i="7"/>
  <c r="C38" i="12" s="1"/>
  <c r="D38" i="7"/>
  <c r="D38" i="12" s="1"/>
  <c r="E38" i="7"/>
  <c r="E38" i="12" s="1"/>
  <c r="F38" i="7"/>
  <c r="F38" i="12" s="1"/>
  <c r="G38" i="7"/>
  <c r="G38" i="12" s="1"/>
  <c r="H38" i="7"/>
  <c r="H38" i="12" s="1"/>
  <c r="I38" i="7"/>
  <c r="I38" i="12" s="1"/>
  <c r="J38" i="7"/>
  <c r="J38" i="12" s="1"/>
  <c r="K38" i="7"/>
  <c r="K38" i="12" s="1"/>
  <c r="L38" i="7"/>
  <c r="L38" i="12" s="1"/>
  <c r="M38" i="7"/>
  <c r="M38" i="12" s="1"/>
  <c r="N38" i="7"/>
  <c r="N38" i="12" s="1"/>
  <c r="O38" i="7"/>
  <c r="O38" i="12" s="1"/>
  <c r="P38" i="7"/>
  <c r="P38" i="12" s="1"/>
  <c r="Q38" i="7"/>
  <c r="Q38" i="12" s="1"/>
  <c r="R38" i="7"/>
  <c r="R38" i="12" s="1"/>
  <c r="S38" i="7"/>
  <c r="S38" i="12" s="1"/>
  <c r="T38" i="7"/>
  <c r="T38" i="12" s="1"/>
  <c r="U38" i="7"/>
  <c r="U38" i="12" s="1"/>
  <c r="V38" i="7"/>
  <c r="V38" i="12" s="1"/>
  <c r="B39" i="7"/>
  <c r="B39" i="12" s="1"/>
  <c r="C39" i="7"/>
  <c r="C39" i="12" s="1"/>
  <c r="D39" i="7"/>
  <c r="D39" i="12" s="1"/>
  <c r="E39" i="7"/>
  <c r="E39" i="12" s="1"/>
  <c r="F39" i="7"/>
  <c r="F39" i="12" s="1"/>
  <c r="G39" i="7"/>
  <c r="G39" i="12" s="1"/>
  <c r="H39" i="7"/>
  <c r="H39" i="12" s="1"/>
  <c r="I39" i="7"/>
  <c r="I39" i="12" s="1"/>
  <c r="J39" i="7"/>
  <c r="J39" i="12" s="1"/>
  <c r="K39" i="7"/>
  <c r="K39" i="12" s="1"/>
  <c r="L39" i="7"/>
  <c r="L39" i="12" s="1"/>
  <c r="M39" i="7"/>
  <c r="M39" i="12" s="1"/>
  <c r="N39" i="7"/>
  <c r="N39" i="12" s="1"/>
  <c r="O39" i="7"/>
  <c r="O39" i="12" s="1"/>
  <c r="P39" i="7"/>
  <c r="P39" i="12" s="1"/>
  <c r="Q39" i="7"/>
  <c r="Q39" i="12" s="1"/>
  <c r="R39" i="7"/>
  <c r="R39" i="12" s="1"/>
  <c r="S39" i="7"/>
  <c r="S39" i="12" s="1"/>
  <c r="T39" i="7"/>
  <c r="T39" i="12" s="1"/>
  <c r="U39" i="7"/>
  <c r="U39" i="12" s="1"/>
  <c r="V39" i="7"/>
  <c r="V39" i="12" s="1"/>
  <c r="B40" i="7"/>
  <c r="B40" i="12" s="1"/>
  <c r="C40" i="7"/>
  <c r="C40" i="12" s="1"/>
  <c r="D40" i="7"/>
  <c r="D40" i="12" s="1"/>
  <c r="E40" i="7"/>
  <c r="E40" i="12" s="1"/>
  <c r="F40" i="7"/>
  <c r="F40" i="12" s="1"/>
  <c r="G40" i="7"/>
  <c r="G40" i="12" s="1"/>
  <c r="H40" i="7"/>
  <c r="H40" i="12" s="1"/>
  <c r="I40" i="7"/>
  <c r="I40" i="12" s="1"/>
  <c r="J40" i="7"/>
  <c r="J40" i="12" s="1"/>
  <c r="K40" i="7"/>
  <c r="K40" i="12" s="1"/>
  <c r="L40" i="7"/>
  <c r="L40" i="12" s="1"/>
  <c r="M40" i="7"/>
  <c r="M40" i="12" s="1"/>
  <c r="N40" i="7"/>
  <c r="N40" i="12" s="1"/>
  <c r="O40" i="7"/>
  <c r="O40" i="12" s="1"/>
  <c r="P40" i="7"/>
  <c r="P40" i="12" s="1"/>
  <c r="Q40" i="7"/>
  <c r="Q40" i="12" s="1"/>
  <c r="R40" i="7"/>
  <c r="R40" i="12" s="1"/>
  <c r="S40" i="7"/>
  <c r="S40" i="12" s="1"/>
  <c r="T40" i="7"/>
  <c r="T40" i="12" s="1"/>
  <c r="U40" i="7"/>
  <c r="U40" i="12" s="1"/>
  <c r="V40" i="7"/>
  <c r="V40" i="12" s="1"/>
  <c r="B41" i="7"/>
  <c r="B41" i="12" s="1"/>
  <c r="C41" i="7"/>
  <c r="C41" i="12" s="1"/>
  <c r="D41" i="7"/>
  <c r="D41" i="12" s="1"/>
  <c r="E41" i="7"/>
  <c r="E41" i="12" s="1"/>
  <c r="F41" i="7"/>
  <c r="F41" i="12" s="1"/>
  <c r="G41" i="7"/>
  <c r="G41" i="12" s="1"/>
  <c r="H41" i="7"/>
  <c r="H41" i="12" s="1"/>
  <c r="I41" i="7"/>
  <c r="I41" i="12" s="1"/>
  <c r="J41" i="7"/>
  <c r="J41" i="12" s="1"/>
  <c r="K41" i="7"/>
  <c r="K41" i="12" s="1"/>
  <c r="L41" i="7"/>
  <c r="L41" i="12" s="1"/>
  <c r="M41" i="7"/>
  <c r="M41" i="12" s="1"/>
  <c r="N41" i="7"/>
  <c r="N41" i="12" s="1"/>
  <c r="O41" i="7"/>
  <c r="O41" i="12" s="1"/>
  <c r="P41" i="7"/>
  <c r="P41" i="12" s="1"/>
  <c r="Q41" i="7"/>
  <c r="Q41" i="12" s="1"/>
  <c r="R41" i="7"/>
  <c r="R41" i="12" s="1"/>
  <c r="S41" i="7"/>
  <c r="S41" i="12" s="1"/>
  <c r="T41" i="7"/>
  <c r="T41" i="12" s="1"/>
  <c r="U41" i="7"/>
  <c r="U41" i="12" s="1"/>
  <c r="V41" i="7"/>
  <c r="V41" i="12" s="1"/>
  <c r="B42" i="7"/>
  <c r="B42" i="12" s="1"/>
  <c r="C42" i="7"/>
  <c r="C42" i="12" s="1"/>
  <c r="D42" i="7"/>
  <c r="D42" i="12" s="1"/>
  <c r="E42" i="7"/>
  <c r="E42" i="12" s="1"/>
  <c r="F42" i="7"/>
  <c r="F42" i="12" s="1"/>
  <c r="G42" i="7"/>
  <c r="G42" i="12" s="1"/>
  <c r="H42" i="7"/>
  <c r="H42" i="12" s="1"/>
  <c r="I42" i="7"/>
  <c r="I42" i="12" s="1"/>
  <c r="J42" i="7"/>
  <c r="J42" i="12" s="1"/>
  <c r="K42" i="7"/>
  <c r="K42" i="12" s="1"/>
  <c r="L42" i="7"/>
  <c r="L42" i="12" s="1"/>
  <c r="M42" i="7"/>
  <c r="M42" i="12" s="1"/>
  <c r="N42" i="7"/>
  <c r="N42" i="12" s="1"/>
  <c r="O42" i="7"/>
  <c r="O42" i="12" s="1"/>
  <c r="P42" i="7"/>
  <c r="P42" i="12" s="1"/>
  <c r="Q42" i="7"/>
  <c r="Q42" i="12" s="1"/>
  <c r="R42" i="7"/>
  <c r="R42" i="12" s="1"/>
  <c r="S42" i="7"/>
  <c r="S42" i="12" s="1"/>
  <c r="T42" i="7"/>
  <c r="T42" i="12" s="1"/>
  <c r="U42" i="7"/>
  <c r="U42" i="12" s="1"/>
  <c r="V42" i="7"/>
  <c r="V42" i="12" s="1"/>
  <c r="B43" i="7"/>
  <c r="B43" i="12" s="1"/>
  <c r="C43" i="7"/>
  <c r="C43" i="12" s="1"/>
  <c r="D43" i="7"/>
  <c r="D43" i="12" s="1"/>
  <c r="E43" i="7"/>
  <c r="E43" i="12" s="1"/>
  <c r="F43" i="7"/>
  <c r="F43" i="12" s="1"/>
  <c r="G43" i="7"/>
  <c r="G43" i="12" s="1"/>
  <c r="H43" i="7"/>
  <c r="H43" i="12" s="1"/>
  <c r="I43" i="7"/>
  <c r="I43" i="12" s="1"/>
  <c r="J43" i="7"/>
  <c r="J43" i="12" s="1"/>
  <c r="K43" i="7"/>
  <c r="K43" i="12" s="1"/>
  <c r="L43" i="7"/>
  <c r="L43" i="12" s="1"/>
  <c r="M43" i="7"/>
  <c r="M43" i="12" s="1"/>
  <c r="N43" i="7"/>
  <c r="N43" i="12" s="1"/>
  <c r="O43" i="7"/>
  <c r="O43" i="12" s="1"/>
  <c r="P43" i="7"/>
  <c r="P43" i="12" s="1"/>
  <c r="Q43" i="7"/>
  <c r="Q43" i="12" s="1"/>
  <c r="R43" i="7"/>
  <c r="R43" i="12" s="1"/>
  <c r="S43" i="7"/>
  <c r="S43" i="12" s="1"/>
  <c r="T43" i="7"/>
  <c r="T43" i="12" s="1"/>
  <c r="U43" i="7"/>
  <c r="U43" i="12" s="1"/>
  <c r="V43" i="7"/>
  <c r="V43" i="12" s="1"/>
  <c r="C2" i="7"/>
  <c r="C2" i="12" s="1"/>
  <c r="D2" i="7"/>
  <c r="D2" i="12" s="1"/>
  <c r="E2" i="7"/>
  <c r="E2" i="12" s="1"/>
  <c r="F2" i="7"/>
  <c r="F2" i="12" s="1"/>
  <c r="G2" i="7"/>
  <c r="G2" i="12" s="1"/>
  <c r="H2" i="7"/>
  <c r="H2" i="12" s="1"/>
  <c r="I2" i="7"/>
  <c r="I2" i="12" s="1"/>
  <c r="J2" i="7"/>
  <c r="J2" i="12" s="1"/>
  <c r="K2" i="7"/>
  <c r="K2" i="12" s="1"/>
  <c r="L2" i="7"/>
  <c r="L2" i="12" s="1"/>
  <c r="M2" i="7"/>
  <c r="M2" i="12" s="1"/>
  <c r="N2" i="7"/>
  <c r="N2" i="12" s="1"/>
  <c r="O2" i="7"/>
  <c r="O2" i="12" s="1"/>
  <c r="P2" i="7"/>
  <c r="P2" i="12" s="1"/>
  <c r="Q2" i="7"/>
  <c r="Q2" i="12" s="1"/>
  <c r="R2" i="7"/>
  <c r="R2" i="12" s="1"/>
  <c r="S2" i="7"/>
  <c r="S2" i="12" s="1"/>
  <c r="T2" i="7"/>
  <c r="T2" i="12" s="1"/>
  <c r="U2" i="7"/>
  <c r="U2" i="12" s="1"/>
  <c r="V2" i="7"/>
  <c r="V2" i="12" s="1"/>
  <c r="B2" i="7"/>
  <c r="B2" i="12" s="1"/>
  <c r="E3" i="12"/>
  <c r="N6" i="12"/>
  <c r="B10" i="12"/>
  <c r="P15" i="12"/>
  <c r="E19" i="12"/>
  <c r="B3" i="6"/>
  <c r="B3" i="11" s="1"/>
  <c r="C3" i="6"/>
  <c r="C3" i="11" s="1"/>
  <c r="D3" i="6"/>
  <c r="D3" i="11" s="1"/>
  <c r="E3" i="6"/>
  <c r="E3" i="11" s="1"/>
  <c r="F3" i="6"/>
  <c r="F3" i="11" s="1"/>
  <c r="G3" i="6"/>
  <c r="G3" i="11" s="1"/>
  <c r="H3" i="6"/>
  <c r="I3" i="6"/>
  <c r="J3" i="6"/>
  <c r="K3" i="6"/>
  <c r="K3" i="11" s="1"/>
  <c r="L3" i="6"/>
  <c r="L3" i="11" s="1"/>
  <c r="M3" i="6"/>
  <c r="M3" i="11" s="1"/>
  <c r="N3" i="6"/>
  <c r="N3" i="11" s="1"/>
  <c r="O3" i="6"/>
  <c r="O3" i="11" s="1"/>
  <c r="P3" i="6"/>
  <c r="P3" i="11" s="1"/>
  <c r="Q3" i="6"/>
  <c r="Q3" i="11" s="1"/>
  <c r="R3" i="6"/>
  <c r="R3" i="11" s="1"/>
  <c r="S3" i="6"/>
  <c r="S3" i="11" s="1"/>
  <c r="T3" i="6"/>
  <c r="T3" i="11" s="1"/>
  <c r="U3" i="6"/>
  <c r="U3" i="11" s="1"/>
  <c r="V3" i="6"/>
  <c r="V3" i="11" s="1"/>
  <c r="W3" i="6"/>
  <c r="W3" i="11" s="1"/>
  <c r="X3" i="6"/>
  <c r="X3" i="11" s="1"/>
  <c r="B4" i="6"/>
  <c r="B4" i="11" s="1"/>
  <c r="C4" i="6"/>
  <c r="C4" i="11" s="1"/>
  <c r="D4" i="6"/>
  <c r="D4" i="11" s="1"/>
  <c r="E4" i="6"/>
  <c r="E4" i="11" s="1"/>
  <c r="F4" i="6"/>
  <c r="F4" i="11" s="1"/>
  <c r="G4" i="6"/>
  <c r="G4" i="11" s="1"/>
  <c r="H4" i="6"/>
  <c r="H4" i="11" s="1"/>
  <c r="I4" i="6"/>
  <c r="I4" i="11" s="1"/>
  <c r="J4" i="6"/>
  <c r="J4" i="11" s="1"/>
  <c r="K4" i="6"/>
  <c r="K4" i="11" s="1"/>
  <c r="L4" i="6"/>
  <c r="L4" i="11" s="1"/>
  <c r="M4" i="6"/>
  <c r="M4" i="11" s="1"/>
  <c r="N4" i="6"/>
  <c r="N4" i="11" s="1"/>
  <c r="O4" i="6"/>
  <c r="O4" i="11" s="1"/>
  <c r="P4" i="6"/>
  <c r="P4" i="11" s="1"/>
  <c r="Q4" i="6"/>
  <c r="Q4" i="11" s="1"/>
  <c r="R4" i="6"/>
  <c r="R4" i="11" s="1"/>
  <c r="S4" i="6"/>
  <c r="S4" i="11" s="1"/>
  <c r="T4" i="6"/>
  <c r="T4" i="11" s="1"/>
  <c r="U4" i="6"/>
  <c r="U4" i="11" s="1"/>
  <c r="V4" i="6"/>
  <c r="V4" i="11" s="1"/>
  <c r="W4" i="6"/>
  <c r="W4" i="11" s="1"/>
  <c r="X4" i="6"/>
  <c r="X4" i="11" s="1"/>
  <c r="B5" i="6"/>
  <c r="B5" i="11" s="1"/>
  <c r="C5" i="6"/>
  <c r="C5" i="11" s="1"/>
  <c r="D5" i="6"/>
  <c r="D5" i="11" s="1"/>
  <c r="E5" i="6"/>
  <c r="E5" i="11" s="1"/>
  <c r="F5" i="6"/>
  <c r="F5" i="11" s="1"/>
  <c r="G5" i="6"/>
  <c r="G5" i="11" s="1"/>
  <c r="H5" i="6"/>
  <c r="H5" i="11" s="1"/>
  <c r="I5" i="6"/>
  <c r="I5" i="11" s="1"/>
  <c r="J5" i="6"/>
  <c r="J5" i="11" s="1"/>
  <c r="K5" i="6"/>
  <c r="K5" i="11" s="1"/>
  <c r="L5" i="6"/>
  <c r="L5" i="11" s="1"/>
  <c r="M5" i="6"/>
  <c r="M5" i="11" s="1"/>
  <c r="N5" i="6"/>
  <c r="N5" i="11" s="1"/>
  <c r="O5" i="6"/>
  <c r="O5" i="11" s="1"/>
  <c r="P5" i="6"/>
  <c r="P5" i="11" s="1"/>
  <c r="Q5" i="6"/>
  <c r="Q5" i="11" s="1"/>
  <c r="R5" i="6"/>
  <c r="R5" i="11" s="1"/>
  <c r="S5" i="6"/>
  <c r="S5" i="11" s="1"/>
  <c r="T5" i="6"/>
  <c r="T5" i="11" s="1"/>
  <c r="U5" i="6"/>
  <c r="U5" i="11" s="1"/>
  <c r="V5" i="6"/>
  <c r="V5" i="11" s="1"/>
  <c r="W5" i="6"/>
  <c r="W5" i="11" s="1"/>
  <c r="X5" i="6"/>
  <c r="X5" i="11" s="1"/>
  <c r="B6" i="6"/>
  <c r="B6" i="11" s="1"/>
  <c r="C6" i="6"/>
  <c r="C6" i="11" s="1"/>
  <c r="D6" i="6"/>
  <c r="D6" i="11" s="1"/>
  <c r="E6" i="6"/>
  <c r="E6" i="11" s="1"/>
  <c r="F6" i="6"/>
  <c r="F6" i="11" s="1"/>
  <c r="G6" i="6"/>
  <c r="G6" i="11" s="1"/>
  <c r="H6" i="6"/>
  <c r="H6" i="11" s="1"/>
  <c r="I6" i="6"/>
  <c r="I6" i="11" s="1"/>
  <c r="J6" i="6"/>
  <c r="J6" i="11" s="1"/>
  <c r="K6" i="6"/>
  <c r="K6" i="11" s="1"/>
  <c r="L6" i="6"/>
  <c r="L6" i="11" s="1"/>
  <c r="M6" i="6"/>
  <c r="M6" i="11" s="1"/>
  <c r="N6" i="6"/>
  <c r="N6" i="11" s="1"/>
  <c r="O6" i="6"/>
  <c r="O6" i="11" s="1"/>
  <c r="P6" i="6"/>
  <c r="P6" i="11" s="1"/>
  <c r="Q6" i="6"/>
  <c r="Q6" i="11" s="1"/>
  <c r="R6" i="6"/>
  <c r="R6" i="11" s="1"/>
  <c r="S6" i="6"/>
  <c r="S6" i="11" s="1"/>
  <c r="T6" i="6"/>
  <c r="T6" i="11" s="1"/>
  <c r="U6" i="6"/>
  <c r="U6" i="11" s="1"/>
  <c r="V6" i="6"/>
  <c r="V6" i="11" s="1"/>
  <c r="W6" i="6"/>
  <c r="W6" i="11" s="1"/>
  <c r="X6" i="6"/>
  <c r="X6" i="11" s="1"/>
  <c r="B7" i="6"/>
  <c r="B7" i="11" s="1"/>
  <c r="C7" i="6"/>
  <c r="C7" i="11" s="1"/>
  <c r="D7" i="6"/>
  <c r="D7" i="11" s="1"/>
  <c r="E7" i="6"/>
  <c r="E7" i="11" s="1"/>
  <c r="F7" i="6"/>
  <c r="F7" i="11" s="1"/>
  <c r="G7" i="6"/>
  <c r="G7" i="11" s="1"/>
  <c r="H7" i="6"/>
  <c r="H7" i="11" s="1"/>
  <c r="I7" i="6"/>
  <c r="I7" i="11" s="1"/>
  <c r="J7" i="6"/>
  <c r="J7" i="11" s="1"/>
  <c r="K7" i="6"/>
  <c r="K7" i="11" s="1"/>
  <c r="L7" i="6"/>
  <c r="L7" i="11" s="1"/>
  <c r="M7" i="6"/>
  <c r="M7" i="11" s="1"/>
  <c r="N7" i="6"/>
  <c r="N7" i="11" s="1"/>
  <c r="O7" i="6"/>
  <c r="O7" i="11" s="1"/>
  <c r="P7" i="6"/>
  <c r="P7" i="11" s="1"/>
  <c r="Q7" i="6"/>
  <c r="Q7" i="11" s="1"/>
  <c r="R7" i="6"/>
  <c r="R7" i="11" s="1"/>
  <c r="S7" i="6"/>
  <c r="S7" i="11" s="1"/>
  <c r="T7" i="6"/>
  <c r="T7" i="11" s="1"/>
  <c r="U7" i="6"/>
  <c r="U7" i="11" s="1"/>
  <c r="V7" i="6"/>
  <c r="V7" i="11" s="1"/>
  <c r="W7" i="6"/>
  <c r="W7" i="11" s="1"/>
  <c r="X7" i="6"/>
  <c r="X7" i="11" s="1"/>
  <c r="B8" i="6"/>
  <c r="B8" i="11" s="1"/>
  <c r="C8" i="6"/>
  <c r="C8" i="11" s="1"/>
  <c r="D8" i="6"/>
  <c r="D8" i="11" s="1"/>
  <c r="E8" i="6"/>
  <c r="E8" i="11" s="1"/>
  <c r="F8" i="6"/>
  <c r="F8" i="11" s="1"/>
  <c r="G8" i="6"/>
  <c r="G8" i="11" s="1"/>
  <c r="H8" i="6"/>
  <c r="H8" i="11" s="1"/>
  <c r="I8" i="6"/>
  <c r="I8" i="11" s="1"/>
  <c r="J8" i="6"/>
  <c r="J8" i="11" s="1"/>
  <c r="K8" i="6"/>
  <c r="K8" i="11" s="1"/>
  <c r="L8" i="6"/>
  <c r="L8" i="11" s="1"/>
  <c r="M8" i="6"/>
  <c r="M8" i="11" s="1"/>
  <c r="N8" i="6"/>
  <c r="N8" i="11" s="1"/>
  <c r="O8" i="6"/>
  <c r="O8" i="11" s="1"/>
  <c r="P8" i="6"/>
  <c r="P8" i="11" s="1"/>
  <c r="Q8" i="6"/>
  <c r="Q8" i="11" s="1"/>
  <c r="R8" i="6"/>
  <c r="R8" i="11" s="1"/>
  <c r="S8" i="6"/>
  <c r="S8" i="11" s="1"/>
  <c r="T8" i="6"/>
  <c r="T8" i="11" s="1"/>
  <c r="U8" i="6"/>
  <c r="U8" i="11" s="1"/>
  <c r="V8" i="6"/>
  <c r="V8" i="11" s="1"/>
  <c r="W8" i="6"/>
  <c r="W8" i="11" s="1"/>
  <c r="X8" i="6"/>
  <c r="X8" i="11" s="1"/>
  <c r="B9" i="6"/>
  <c r="B9" i="11" s="1"/>
  <c r="C9" i="6"/>
  <c r="C9" i="11" s="1"/>
  <c r="D9" i="6"/>
  <c r="D9" i="11" s="1"/>
  <c r="E9" i="6"/>
  <c r="E9" i="11" s="1"/>
  <c r="F9" i="6"/>
  <c r="F9" i="11" s="1"/>
  <c r="G9" i="6"/>
  <c r="G9" i="11" s="1"/>
  <c r="H9" i="6"/>
  <c r="H9" i="11" s="1"/>
  <c r="I9" i="6"/>
  <c r="I9" i="11" s="1"/>
  <c r="J9" i="6"/>
  <c r="J9" i="11" s="1"/>
  <c r="K9" i="6"/>
  <c r="K9" i="11" s="1"/>
  <c r="L9" i="6"/>
  <c r="L9" i="11" s="1"/>
  <c r="M9" i="6"/>
  <c r="M9" i="11" s="1"/>
  <c r="N9" i="6"/>
  <c r="N9" i="11" s="1"/>
  <c r="O9" i="6"/>
  <c r="O9" i="11" s="1"/>
  <c r="P9" i="6"/>
  <c r="P9" i="11" s="1"/>
  <c r="Q9" i="6"/>
  <c r="Q9" i="11" s="1"/>
  <c r="R9" i="6"/>
  <c r="R9" i="11" s="1"/>
  <c r="S9" i="6"/>
  <c r="S9" i="11" s="1"/>
  <c r="T9" i="6"/>
  <c r="T9" i="11" s="1"/>
  <c r="U9" i="6"/>
  <c r="U9" i="11" s="1"/>
  <c r="V9" i="6"/>
  <c r="V9" i="11" s="1"/>
  <c r="W9" i="6"/>
  <c r="W9" i="11" s="1"/>
  <c r="X9" i="6"/>
  <c r="X9" i="11" s="1"/>
  <c r="B10" i="6"/>
  <c r="B10" i="11" s="1"/>
  <c r="C10" i="6"/>
  <c r="C10" i="11" s="1"/>
  <c r="D10" i="6"/>
  <c r="D10" i="11" s="1"/>
  <c r="E10" i="6"/>
  <c r="E10" i="11" s="1"/>
  <c r="F10" i="6"/>
  <c r="F10" i="11" s="1"/>
  <c r="G10" i="6"/>
  <c r="G10" i="11" s="1"/>
  <c r="H10" i="6"/>
  <c r="H10" i="11" s="1"/>
  <c r="I10" i="6"/>
  <c r="I10" i="11" s="1"/>
  <c r="J10" i="6"/>
  <c r="J10" i="11" s="1"/>
  <c r="K10" i="6"/>
  <c r="K10" i="11" s="1"/>
  <c r="L10" i="6"/>
  <c r="L10" i="11" s="1"/>
  <c r="M10" i="6"/>
  <c r="M10" i="11" s="1"/>
  <c r="N10" i="6"/>
  <c r="N10" i="11" s="1"/>
  <c r="O10" i="6"/>
  <c r="O10" i="11" s="1"/>
  <c r="P10" i="6"/>
  <c r="P10" i="11" s="1"/>
  <c r="Q10" i="6"/>
  <c r="Q10" i="11" s="1"/>
  <c r="R10" i="6"/>
  <c r="R10" i="11" s="1"/>
  <c r="S10" i="6"/>
  <c r="S10" i="11" s="1"/>
  <c r="T10" i="6"/>
  <c r="T10" i="11" s="1"/>
  <c r="U10" i="6"/>
  <c r="U10" i="11" s="1"/>
  <c r="V10" i="6"/>
  <c r="V10" i="11" s="1"/>
  <c r="W10" i="6"/>
  <c r="W10" i="11" s="1"/>
  <c r="X10" i="6"/>
  <c r="X10" i="11" s="1"/>
  <c r="B11" i="6"/>
  <c r="B11" i="11" s="1"/>
  <c r="C11" i="6"/>
  <c r="C11" i="11" s="1"/>
  <c r="D11" i="6"/>
  <c r="D11" i="11" s="1"/>
  <c r="E11" i="6"/>
  <c r="E11" i="11" s="1"/>
  <c r="F11" i="6"/>
  <c r="F11" i="11" s="1"/>
  <c r="G11" i="6"/>
  <c r="G11" i="11" s="1"/>
  <c r="H11" i="6"/>
  <c r="H11" i="11" s="1"/>
  <c r="I11" i="6"/>
  <c r="I11" i="11" s="1"/>
  <c r="J11" i="6"/>
  <c r="J11" i="11" s="1"/>
  <c r="K11" i="6"/>
  <c r="K11" i="11" s="1"/>
  <c r="L11" i="6"/>
  <c r="L11" i="11" s="1"/>
  <c r="M11" i="6"/>
  <c r="M11" i="11" s="1"/>
  <c r="N11" i="6"/>
  <c r="N11" i="11" s="1"/>
  <c r="O11" i="6"/>
  <c r="O11" i="11" s="1"/>
  <c r="P11" i="6"/>
  <c r="P11" i="11" s="1"/>
  <c r="Q11" i="6"/>
  <c r="Q11" i="11" s="1"/>
  <c r="R11" i="6"/>
  <c r="R11" i="11" s="1"/>
  <c r="S11" i="6"/>
  <c r="S11" i="11" s="1"/>
  <c r="T11" i="6"/>
  <c r="T11" i="11" s="1"/>
  <c r="U11" i="6"/>
  <c r="U11" i="11" s="1"/>
  <c r="V11" i="6"/>
  <c r="V11" i="11" s="1"/>
  <c r="W11" i="6"/>
  <c r="W11" i="11" s="1"/>
  <c r="X11" i="6"/>
  <c r="X11" i="11" s="1"/>
  <c r="B12" i="6"/>
  <c r="B12" i="11" s="1"/>
  <c r="C12" i="6"/>
  <c r="C12" i="11" s="1"/>
  <c r="D12" i="6"/>
  <c r="D12" i="11" s="1"/>
  <c r="E12" i="6"/>
  <c r="E12" i="11" s="1"/>
  <c r="F12" i="6"/>
  <c r="F12" i="11" s="1"/>
  <c r="G12" i="6"/>
  <c r="G12" i="11" s="1"/>
  <c r="H12" i="6"/>
  <c r="H12" i="11" s="1"/>
  <c r="I12" i="6"/>
  <c r="I12" i="11" s="1"/>
  <c r="J12" i="6"/>
  <c r="J12" i="11" s="1"/>
  <c r="K12" i="6"/>
  <c r="K12" i="11" s="1"/>
  <c r="L12" i="6"/>
  <c r="L12" i="11" s="1"/>
  <c r="M12" i="6"/>
  <c r="M12" i="11" s="1"/>
  <c r="N12" i="6"/>
  <c r="N12" i="11" s="1"/>
  <c r="O12" i="6"/>
  <c r="O12" i="11" s="1"/>
  <c r="P12" i="6"/>
  <c r="P12" i="11" s="1"/>
  <c r="Q12" i="6"/>
  <c r="Q12" i="11" s="1"/>
  <c r="R12" i="6"/>
  <c r="R12" i="11" s="1"/>
  <c r="S12" i="6"/>
  <c r="S12" i="11" s="1"/>
  <c r="T12" i="6"/>
  <c r="T12" i="11" s="1"/>
  <c r="U12" i="6"/>
  <c r="U12" i="11" s="1"/>
  <c r="V12" i="6"/>
  <c r="V12" i="11" s="1"/>
  <c r="W12" i="6"/>
  <c r="W12" i="11" s="1"/>
  <c r="X12" i="6"/>
  <c r="X12" i="11" s="1"/>
  <c r="B13" i="6"/>
  <c r="B13" i="11" s="1"/>
  <c r="C13" i="6"/>
  <c r="C13" i="11" s="1"/>
  <c r="D13" i="6"/>
  <c r="D13" i="11" s="1"/>
  <c r="E13" i="6"/>
  <c r="E13" i="11" s="1"/>
  <c r="F13" i="6"/>
  <c r="F13" i="11" s="1"/>
  <c r="G13" i="6"/>
  <c r="G13" i="11" s="1"/>
  <c r="H13" i="6"/>
  <c r="H13" i="11" s="1"/>
  <c r="I13" i="6"/>
  <c r="I13" i="11" s="1"/>
  <c r="J13" i="6"/>
  <c r="J13" i="11" s="1"/>
  <c r="K13" i="6"/>
  <c r="K13" i="11" s="1"/>
  <c r="L13" i="6"/>
  <c r="L13" i="11" s="1"/>
  <c r="M13" i="6"/>
  <c r="M13" i="11" s="1"/>
  <c r="N13" i="6"/>
  <c r="N13" i="11" s="1"/>
  <c r="O13" i="6"/>
  <c r="O13" i="11" s="1"/>
  <c r="P13" i="6"/>
  <c r="P13" i="11" s="1"/>
  <c r="Q13" i="6"/>
  <c r="Q13" i="11" s="1"/>
  <c r="R13" i="6"/>
  <c r="R13" i="11" s="1"/>
  <c r="S13" i="6"/>
  <c r="S13" i="11" s="1"/>
  <c r="T13" i="6"/>
  <c r="T13" i="11" s="1"/>
  <c r="U13" i="6"/>
  <c r="U13" i="11" s="1"/>
  <c r="V13" i="6"/>
  <c r="V13" i="11" s="1"/>
  <c r="W13" i="6"/>
  <c r="W13" i="11" s="1"/>
  <c r="X13" i="6"/>
  <c r="X13" i="11" s="1"/>
  <c r="B14" i="6"/>
  <c r="B14" i="11" s="1"/>
  <c r="C14" i="6"/>
  <c r="C14" i="11" s="1"/>
  <c r="D14" i="6"/>
  <c r="D14" i="11" s="1"/>
  <c r="E14" i="6"/>
  <c r="E14" i="11" s="1"/>
  <c r="F14" i="6"/>
  <c r="F14" i="11" s="1"/>
  <c r="G14" i="6"/>
  <c r="G14" i="11" s="1"/>
  <c r="H14" i="6"/>
  <c r="H14" i="11" s="1"/>
  <c r="I14" i="6"/>
  <c r="I14" i="11" s="1"/>
  <c r="J14" i="6"/>
  <c r="J14" i="11" s="1"/>
  <c r="K14" i="6"/>
  <c r="K14" i="11" s="1"/>
  <c r="L14" i="6"/>
  <c r="L14" i="11" s="1"/>
  <c r="M14" i="6"/>
  <c r="M14" i="11" s="1"/>
  <c r="N14" i="6"/>
  <c r="N14" i="11" s="1"/>
  <c r="O14" i="6"/>
  <c r="O14" i="11" s="1"/>
  <c r="P14" i="6"/>
  <c r="P14" i="11" s="1"/>
  <c r="Q14" i="6"/>
  <c r="Q14" i="11" s="1"/>
  <c r="R14" i="6"/>
  <c r="R14" i="11" s="1"/>
  <c r="S14" i="6"/>
  <c r="S14" i="11" s="1"/>
  <c r="T14" i="6"/>
  <c r="T14" i="11" s="1"/>
  <c r="U14" i="6"/>
  <c r="U14" i="11" s="1"/>
  <c r="V14" i="6"/>
  <c r="V14" i="11" s="1"/>
  <c r="W14" i="6"/>
  <c r="W14" i="11" s="1"/>
  <c r="X14" i="6"/>
  <c r="X14" i="11" s="1"/>
  <c r="B15" i="6"/>
  <c r="B15" i="11" s="1"/>
  <c r="C15" i="6"/>
  <c r="C15" i="11" s="1"/>
  <c r="D15" i="6"/>
  <c r="D15" i="11" s="1"/>
  <c r="E15" i="6"/>
  <c r="E15" i="11" s="1"/>
  <c r="F15" i="6"/>
  <c r="F15" i="11" s="1"/>
  <c r="G15" i="6"/>
  <c r="G15" i="11" s="1"/>
  <c r="H15" i="6"/>
  <c r="H15" i="11" s="1"/>
  <c r="I15" i="6"/>
  <c r="I15" i="11" s="1"/>
  <c r="J15" i="6"/>
  <c r="J15" i="11" s="1"/>
  <c r="K15" i="6"/>
  <c r="K15" i="11" s="1"/>
  <c r="L15" i="6"/>
  <c r="L15" i="11" s="1"/>
  <c r="M15" i="6"/>
  <c r="M15" i="11" s="1"/>
  <c r="N15" i="6"/>
  <c r="N15" i="11" s="1"/>
  <c r="O15" i="6"/>
  <c r="O15" i="11" s="1"/>
  <c r="P15" i="6"/>
  <c r="P15" i="11" s="1"/>
  <c r="Q15" i="6"/>
  <c r="Q15" i="11" s="1"/>
  <c r="R15" i="6"/>
  <c r="R15" i="11" s="1"/>
  <c r="S15" i="6"/>
  <c r="S15" i="11" s="1"/>
  <c r="T15" i="6"/>
  <c r="T15" i="11" s="1"/>
  <c r="U15" i="6"/>
  <c r="U15" i="11" s="1"/>
  <c r="V15" i="6"/>
  <c r="V15" i="11" s="1"/>
  <c r="W15" i="6"/>
  <c r="X15" i="6"/>
  <c r="X15" i="11" s="1"/>
  <c r="B16" i="6"/>
  <c r="B16" i="11" s="1"/>
  <c r="C16" i="6"/>
  <c r="C16" i="11" s="1"/>
  <c r="D16" i="6"/>
  <c r="D16" i="11" s="1"/>
  <c r="E16" i="6"/>
  <c r="E16" i="11" s="1"/>
  <c r="F16" i="6"/>
  <c r="F16" i="11" s="1"/>
  <c r="G16" i="6"/>
  <c r="G16" i="11" s="1"/>
  <c r="H16" i="6"/>
  <c r="H16" i="11" s="1"/>
  <c r="I16" i="6"/>
  <c r="I16" i="11" s="1"/>
  <c r="J16" i="6"/>
  <c r="J16" i="11" s="1"/>
  <c r="K16" i="6"/>
  <c r="K16" i="11" s="1"/>
  <c r="L16" i="6"/>
  <c r="L16" i="11" s="1"/>
  <c r="M16" i="6"/>
  <c r="M16" i="11" s="1"/>
  <c r="N16" i="6"/>
  <c r="N16" i="11" s="1"/>
  <c r="O16" i="6"/>
  <c r="O16" i="11" s="1"/>
  <c r="P16" i="6"/>
  <c r="P16" i="11" s="1"/>
  <c r="Q16" i="6"/>
  <c r="Q16" i="11" s="1"/>
  <c r="R16" i="6"/>
  <c r="R16" i="11" s="1"/>
  <c r="S16" i="6"/>
  <c r="S16" i="11" s="1"/>
  <c r="T16" i="6"/>
  <c r="T16" i="11" s="1"/>
  <c r="U16" i="6"/>
  <c r="U16" i="11" s="1"/>
  <c r="V16" i="6"/>
  <c r="V16" i="11" s="1"/>
  <c r="W16" i="6"/>
  <c r="W16" i="11" s="1"/>
  <c r="X16" i="6"/>
  <c r="X16" i="11" s="1"/>
  <c r="B17" i="6"/>
  <c r="B17" i="11" s="1"/>
  <c r="C17" i="6"/>
  <c r="C17" i="11" s="1"/>
  <c r="D17" i="6"/>
  <c r="D17" i="11" s="1"/>
  <c r="E17" i="6"/>
  <c r="E17" i="11" s="1"/>
  <c r="F17" i="6"/>
  <c r="F17" i="11" s="1"/>
  <c r="G17" i="6"/>
  <c r="G17" i="11" s="1"/>
  <c r="H17" i="6"/>
  <c r="H17" i="11" s="1"/>
  <c r="I17" i="6"/>
  <c r="I17" i="11" s="1"/>
  <c r="J17" i="6"/>
  <c r="J17" i="11" s="1"/>
  <c r="K17" i="6"/>
  <c r="K17" i="11" s="1"/>
  <c r="L17" i="6"/>
  <c r="L17" i="11" s="1"/>
  <c r="M17" i="6"/>
  <c r="M17" i="11" s="1"/>
  <c r="N17" i="6"/>
  <c r="N17" i="11" s="1"/>
  <c r="O17" i="6"/>
  <c r="O17" i="11" s="1"/>
  <c r="P17" i="6"/>
  <c r="P17" i="11" s="1"/>
  <c r="Q17" i="6"/>
  <c r="Q17" i="11" s="1"/>
  <c r="R17" i="6"/>
  <c r="R17" i="11" s="1"/>
  <c r="S17" i="6"/>
  <c r="S17" i="11" s="1"/>
  <c r="T17" i="6"/>
  <c r="T17" i="11" s="1"/>
  <c r="U17" i="6"/>
  <c r="U17" i="11" s="1"/>
  <c r="V17" i="6"/>
  <c r="V17" i="11" s="1"/>
  <c r="W17" i="6"/>
  <c r="W17" i="11" s="1"/>
  <c r="X17" i="6"/>
  <c r="X17" i="11" s="1"/>
  <c r="B18" i="6"/>
  <c r="B18" i="11" s="1"/>
  <c r="C18" i="6"/>
  <c r="C18" i="11" s="1"/>
  <c r="D18" i="6"/>
  <c r="D18" i="11" s="1"/>
  <c r="E18" i="6"/>
  <c r="E18" i="11" s="1"/>
  <c r="F18" i="6"/>
  <c r="F18" i="11" s="1"/>
  <c r="G18" i="6"/>
  <c r="G18" i="11" s="1"/>
  <c r="H18" i="6"/>
  <c r="H18" i="11" s="1"/>
  <c r="I18" i="6"/>
  <c r="I18" i="11" s="1"/>
  <c r="J18" i="6"/>
  <c r="J18" i="11" s="1"/>
  <c r="K18" i="6"/>
  <c r="K18" i="11" s="1"/>
  <c r="L18" i="6"/>
  <c r="L18" i="11" s="1"/>
  <c r="M18" i="6"/>
  <c r="M18" i="11" s="1"/>
  <c r="N18" i="6"/>
  <c r="N18" i="11" s="1"/>
  <c r="O18" i="6"/>
  <c r="O18" i="11" s="1"/>
  <c r="P18" i="6"/>
  <c r="P18" i="11" s="1"/>
  <c r="Q18" i="6"/>
  <c r="Q18" i="11" s="1"/>
  <c r="R18" i="6"/>
  <c r="R18" i="11" s="1"/>
  <c r="S18" i="6"/>
  <c r="S18" i="11" s="1"/>
  <c r="T18" i="6"/>
  <c r="T18" i="11" s="1"/>
  <c r="U18" i="6"/>
  <c r="U18" i="11" s="1"/>
  <c r="V18" i="6"/>
  <c r="V18" i="11" s="1"/>
  <c r="W18" i="6"/>
  <c r="W18" i="11" s="1"/>
  <c r="X18" i="6"/>
  <c r="X18" i="11" s="1"/>
  <c r="B19" i="6"/>
  <c r="B19" i="11" s="1"/>
  <c r="C19" i="6"/>
  <c r="C19" i="11" s="1"/>
  <c r="D19" i="6"/>
  <c r="D19" i="11" s="1"/>
  <c r="E19" i="6"/>
  <c r="E19" i="11" s="1"/>
  <c r="F19" i="6"/>
  <c r="F19" i="11" s="1"/>
  <c r="G19" i="6"/>
  <c r="G19" i="11" s="1"/>
  <c r="H19" i="6"/>
  <c r="H19" i="11" s="1"/>
  <c r="I19" i="6"/>
  <c r="I19" i="11" s="1"/>
  <c r="J19" i="6"/>
  <c r="J19" i="11" s="1"/>
  <c r="K19" i="6"/>
  <c r="K19" i="11" s="1"/>
  <c r="L19" i="6"/>
  <c r="L19" i="11" s="1"/>
  <c r="M19" i="6"/>
  <c r="M19" i="11" s="1"/>
  <c r="N19" i="6"/>
  <c r="N19" i="11" s="1"/>
  <c r="O19" i="6"/>
  <c r="O19" i="11" s="1"/>
  <c r="P19" i="6"/>
  <c r="P19" i="11" s="1"/>
  <c r="Q19" i="6"/>
  <c r="Q19" i="11" s="1"/>
  <c r="R19" i="6"/>
  <c r="R19" i="11" s="1"/>
  <c r="S19" i="6"/>
  <c r="S19" i="11" s="1"/>
  <c r="T19" i="6"/>
  <c r="T19" i="11" s="1"/>
  <c r="U19" i="6"/>
  <c r="U19" i="11" s="1"/>
  <c r="V19" i="6"/>
  <c r="V19" i="11" s="1"/>
  <c r="W19" i="6"/>
  <c r="W19" i="11" s="1"/>
  <c r="X19" i="6"/>
  <c r="X19" i="11" s="1"/>
  <c r="B20" i="6"/>
  <c r="B20" i="11" s="1"/>
  <c r="C20" i="6"/>
  <c r="C20" i="11" s="1"/>
  <c r="D20" i="6"/>
  <c r="D20" i="11" s="1"/>
  <c r="E20" i="6"/>
  <c r="E20" i="11" s="1"/>
  <c r="F20" i="6"/>
  <c r="F20" i="11" s="1"/>
  <c r="G20" i="6"/>
  <c r="G20" i="11" s="1"/>
  <c r="H20" i="6"/>
  <c r="H20" i="11" s="1"/>
  <c r="I20" i="6"/>
  <c r="I20" i="11" s="1"/>
  <c r="J20" i="6"/>
  <c r="J20" i="11" s="1"/>
  <c r="K20" i="6"/>
  <c r="K20" i="11" s="1"/>
  <c r="L20" i="6"/>
  <c r="L20" i="11" s="1"/>
  <c r="M20" i="6"/>
  <c r="M20" i="11" s="1"/>
  <c r="N20" i="6"/>
  <c r="N20" i="11" s="1"/>
  <c r="O20" i="6"/>
  <c r="O20" i="11" s="1"/>
  <c r="P20" i="6"/>
  <c r="P20" i="11" s="1"/>
  <c r="Q20" i="6"/>
  <c r="Q20" i="11" s="1"/>
  <c r="R20" i="6"/>
  <c r="R20" i="11" s="1"/>
  <c r="S20" i="6"/>
  <c r="S20" i="11" s="1"/>
  <c r="T20" i="6"/>
  <c r="T20" i="11" s="1"/>
  <c r="U20" i="6"/>
  <c r="U20" i="11" s="1"/>
  <c r="V20" i="6"/>
  <c r="V20" i="11" s="1"/>
  <c r="W20" i="6"/>
  <c r="W20" i="11" s="1"/>
  <c r="X20" i="6"/>
  <c r="X20" i="11" s="1"/>
  <c r="B21" i="6"/>
  <c r="B21" i="11" s="1"/>
  <c r="C21" i="6"/>
  <c r="C21" i="11" s="1"/>
  <c r="D21" i="6"/>
  <c r="D21" i="11" s="1"/>
  <c r="E21" i="6"/>
  <c r="E21" i="11" s="1"/>
  <c r="F21" i="6"/>
  <c r="F21" i="11" s="1"/>
  <c r="G21" i="6"/>
  <c r="G21" i="11" s="1"/>
  <c r="H21" i="6"/>
  <c r="H21" i="11" s="1"/>
  <c r="I21" i="6"/>
  <c r="I21" i="11" s="1"/>
  <c r="J21" i="6"/>
  <c r="J21" i="11" s="1"/>
  <c r="K21" i="6"/>
  <c r="K21" i="11" s="1"/>
  <c r="L21" i="6"/>
  <c r="L21" i="11" s="1"/>
  <c r="M21" i="6"/>
  <c r="M21" i="11" s="1"/>
  <c r="N21" i="6"/>
  <c r="N21" i="11" s="1"/>
  <c r="O21" i="6"/>
  <c r="O21" i="11" s="1"/>
  <c r="P21" i="6"/>
  <c r="P21" i="11" s="1"/>
  <c r="Q21" i="6"/>
  <c r="Q21" i="11" s="1"/>
  <c r="R21" i="6"/>
  <c r="R21" i="11" s="1"/>
  <c r="S21" i="6"/>
  <c r="S21" i="11" s="1"/>
  <c r="T21" i="6"/>
  <c r="T21" i="11" s="1"/>
  <c r="U21" i="6"/>
  <c r="U21" i="11" s="1"/>
  <c r="V21" i="6"/>
  <c r="V21" i="11" s="1"/>
  <c r="W21" i="6"/>
  <c r="W21" i="11" s="1"/>
  <c r="X21" i="6"/>
  <c r="X21" i="11" s="1"/>
  <c r="B22" i="6"/>
  <c r="B22" i="11" s="1"/>
  <c r="C22" i="6"/>
  <c r="C22" i="11" s="1"/>
  <c r="D22" i="6"/>
  <c r="D22" i="11" s="1"/>
  <c r="E22" i="6"/>
  <c r="E22" i="11" s="1"/>
  <c r="F22" i="6"/>
  <c r="F22" i="11" s="1"/>
  <c r="G22" i="6"/>
  <c r="G22" i="11" s="1"/>
  <c r="H22" i="6"/>
  <c r="H22" i="11" s="1"/>
  <c r="I22" i="6"/>
  <c r="I22" i="11" s="1"/>
  <c r="J22" i="6"/>
  <c r="J22" i="11" s="1"/>
  <c r="K22" i="6"/>
  <c r="K22" i="11" s="1"/>
  <c r="L22" i="6"/>
  <c r="L22" i="11" s="1"/>
  <c r="M22" i="6"/>
  <c r="M22" i="11" s="1"/>
  <c r="N22" i="6"/>
  <c r="N22" i="11" s="1"/>
  <c r="O22" i="6"/>
  <c r="O22" i="11" s="1"/>
  <c r="P22" i="6"/>
  <c r="P22" i="11" s="1"/>
  <c r="Q22" i="6"/>
  <c r="Q22" i="11" s="1"/>
  <c r="R22" i="6"/>
  <c r="R22" i="11" s="1"/>
  <c r="S22" i="6"/>
  <c r="S22" i="11" s="1"/>
  <c r="T22" i="6"/>
  <c r="T22" i="11" s="1"/>
  <c r="U22" i="6"/>
  <c r="U22" i="11" s="1"/>
  <c r="V22" i="6"/>
  <c r="V22" i="11" s="1"/>
  <c r="W22" i="6"/>
  <c r="W22" i="11" s="1"/>
  <c r="X22" i="6"/>
  <c r="X22" i="11" s="1"/>
  <c r="B23" i="6"/>
  <c r="B23" i="11" s="1"/>
  <c r="C23" i="6"/>
  <c r="C23" i="11" s="1"/>
  <c r="D23" i="6"/>
  <c r="D23" i="11" s="1"/>
  <c r="E23" i="6"/>
  <c r="E23" i="11" s="1"/>
  <c r="F23" i="6"/>
  <c r="F23" i="11" s="1"/>
  <c r="G23" i="6"/>
  <c r="G23" i="11" s="1"/>
  <c r="H23" i="6"/>
  <c r="H23" i="11" s="1"/>
  <c r="I23" i="6"/>
  <c r="I23" i="11" s="1"/>
  <c r="J23" i="6"/>
  <c r="J23" i="11" s="1"/>
  <c r="K23" i="6"/>
  <c r="K23" i="11" s="1"/>
  <c r="L23" i="6"/>
  <c r="L23" i="11" s="1"/>
  <c r="M23" i="6"/>
  <c r="M23" i="11" s="1"/>
  <c r="N23" i="6"/>
  <c r="N23" i="11" s="1"/>
  <c r="O23" i="6"/>
  <c r="O23" i="11" s="1"/>
  <c r="P23" i="6"/>
  <c r="P23" i="11" s="1"/>
  <c r="Q23" i="6"/>
  <c r="Q23" i="11" s="1"/>
  <c r="R23" i="6"/>
  <c r="R23" i="11" s="1"/>
  <c r="S23" i="6"/>
  <c r="S23" i="11" s="1"/>
  <c r="T23" i="6"/>
  <c r="T23" i="11" s="1"/>
  <c r="U23" i="6"/>
  <c r="U23" i="11" s="1"/>
  <c r="V23" i="6"/>
  <c r="V23" i="11" s="1"/>
  <c r="W23" i="6"/>
  <c r="W23" i="11" s="1"/>
  <c r="X23" i="6"/>
  <c r="X23" i="11" s="1"/>
  <c r="B24" i="6"/>
  <c r="B24" i="11" s="1"/>
  <c r="C24" i="6"/>
  <c r="C24" i="11" s="1"/>
  <c r="D24" i="6"/>
  <c r="D24" i="11" s="1"/>
  <c r="E24" i="6"/>
  <c r="E24" i="11" s="1"/>
  <c r="F24" i="6"/>
  <c r="F24" i="11" s="1"/>
  <c r="G24" i="6"/>
  <c r="G24" i="11" s="1"/>
  <c r="H24" i="6"/>
  <c r="H24" i="11" s="1"/>
  <c r="I24" i="6"/>
  <c r="I24" i="11" s="1"/>
  <c r="J24" i="6"/>
  <c r="J24" i="11" s="1"/>
  <c r="K24" i="6"/>
  <c r="K24" i="11" s="1"/>
  <c r="L24" i="6"/>
  <c r="L24" i="11" s="1"/>
  <c r="M24" i="6"/>
  <c r="M24" i="11" s="1"/>
  <c r="N24" i="6"/>
  <c r="N24" i="11" s="1"/>
  <c r="O24" i="6"/>
  <c r="O24" i="11" s="1"/>
  <c r="P24" i="6"/>
  <c r="P24" i="11" s="1"/>
  <c r="Q24" i="6"/>
  <c r="Q24" i="11" s="1"/>
  <c r="R24" i="6"/>
  <c r="R24" i="11" s="1"/>
  <c r="S24" i="6"/>
  <c r="S24" i="11" s="1"/>
  <c r="T24" i="6"/>
  <c r="T24" i="11" s="1"/>
  <c r="U24" i="6"/>
  <c r="U24" i="11" s="1"/>
  <c r="V24" i="6"/>
  <c r="V24" i="11" s="1"/>
  <c r="W24" i="6"/>
  <c r="W24" i="11" s="1"/>
  <c r="X24" i="6"/>
  <c r="X24" i="11" s="1"/>
  <c r="B25" i="6"/>
  <c r="B25" i="11" s="1"/>
  <c r="C25" i="6"/>
  <c r="C25" i="11" s="1"/>
  <c r="D25" i="6"/>
  <c r="D25" i="11" s="1"/>
  <c r="E25" i="6"/>
  <c r="E25" i="11" s="1"/>
  <c r="F25" i="6"/>
  <c r="F25" i="11" s="1"/>
  <c r="G25" i="6"/>
  <c r="G25" i="11" s="1"/>
  <c r="H25" i="6"/>
  <c r="H25" i="11" s="1"/>
  <c r="I25" i="6"/>
  <c r="I25" i="11" s="1"/>
  <c r="J25" i="6"/>
  <c r="J25" i="11" s="1"/>
  <c r="K25" i="6"/>
  <c r="K25" i="11" s="1"/>
  <c r="L25" i="6"/>
  <c r="L25" i="11" s="1"/>
  <c r="M25" i="6"/>
  <c r="M25" i="11" s="1"/>
  <c r="N25" i="6"/>
  <c r="N25" i="11" s="1"/>
  <c r="O25" i="6"/>
  <c r="O25" i="11" s="1"/>
  <c r="P25" i="6"/>
  <c r="P25" i="11" s="1"/>
  <c r="Q25" i="6"/>
  <c r="Q25" i="11" s="1"/>
  <c r="R25" i="6"/>
  <c r="R25" i="11" s="1"/>
  <c r="S25" i="6"/>
  <c r="S25" i="11" s="1"/>
  <c r="T25" i="6"/>
  <c r="T25" i="11" s="1"/>
  <c r="U25" i="6"/>
  <c r="U25" i="11" s="1"/>
  <c r="V25" i="6"/>
  <c r="V25" i="11" s="1"/>
  <c r="W25" i="6"/>
  <c r="W25" i="11" s="1"/>
  <c r="X25" i="6"/>
  <c r="X25" i="11" s="1"/>
  <c r="B26" i="6"/>
  <c r="B26" i="11" s="1"/>
  <c r="C26" i="6"/>
  <c r="C26" i="11" s="1"/>
  <c r="D26" i="6"/>
  <c r="D26" i="11" s="1"/>
  <c r="E26" i="6"/>
  <c r="E26" i="11" s="1"/>
  <c r="F26" i="6"/>
  <c r="F26" i="11" s="1"/>
  <c r="G26" i="6"/>
  <c r="G26" i="11" s="1"/>
  <c r="H26" i="6"/>
  <c r="H26" i="11" s="1"/>
  <c r="I26" i="6"/>
  <c r="I26" i="11" s="1"/>
  <c r="J26" i="6"/>
  <c r="J26" i="11" s="1"/>
  <c r="K26" i="6"/>
  <c r="K26" i="11" s="1"/>
  <c r="L26" i="6"/>
  <c r="L26" i="11" s="1"/>
  <c r="M26" i="6"/>
  <c r="M26" i="11" s="1"/>
  <c r="N26" i="6"/>
  <c r="N26" i="11" s="1"/>
  <c r="O26" i="6"/>
  <c r="O26" i="11" s="1"/>
  <c r="P26" i="6"/>
  <c r="P26" i="11" s="1"/>
  <c r="Q26" i="6"/>
  <c r="Q26" i="11" s="1"/>
  <c r="R26" i="6"/>
  <c r="R26" i="11" s="1"/>
  <c r="S26" i="6"/>
  <c r="S26" i="11" s="1"/>
  <c r="T26" i="6"/>
  <c r="T26" i="11" s="1"/>
  <c r="U26" i="6"/>
  <c r="U26" i="11" s="1"/>
  <c r="V26" i="6"/>
  <c r="V26" i="11" s="1"/>
  <c r="W26" i="6"/>
  <c r="W26" i="11" s="1"/>
  <c r="X26" i="6"/>
  <c r="X26" i="11" s="1"/>
  <c r="B27" i="6"/>
  <c r="B27" i="11" s="1"/>
  <c r="C27" i="6"/>
  <c r="C27" i="11" s="1"/>
  <c r="D27" i="6"/>
  <c r="D27" i="11" s="1"/>
  <c r="E27" i="6"/>
  <c r="E27" i="11" s="1"/>
  <c r="F27" i="6"/>
  <c r="F27" i="11" s="1"/>
  <c r="G27" i="6"/>
  <c r="G27" i="11" s="1"/>
  <c r="H27" i="6"/>
  <c r="H27" i="11" s="1"/>
  <c r="I27" i="6"/>
  <c r="I27" i="11" s="1"/>
  <c r="J27" i="6"/>
  <c r="J27" i="11" s="1"/>
  <c r="K27" i="6"/>
  <c r="K27" i="11" s="1"/>
  <c r="L27" i="6"/>
  <c r="L27" i="11" s="1"/>
  <c r="M27" i="6"/>
  <c r="M27" i="11" s="1"/>
  <c r="N27" i="6"/>
  <c r="N27" i="11" s="1"/>
  <c r="O27" i="6"/>
  <c r="O27" i="11" s="1"/>
  <c r="P27" i="6"/>
  <c r="P27" i="11" s="1"/>
  <c r="Q27" i="6"/>
  <c r="Q27" i="11" s="1"/>
  <c r="R27" i="6"/>
  <c r="R27" i="11" s="1"/>
  <c r="S27" i="6"/>
  <c r="S27" i="11" s="1"/>
  <c r="T27" i="6"/>
  <c r="T27" i="11" s="1"/>
  <c r="U27" i="6"/>
  <c r="U27" i="11" s="1"/>
  <c r="V27" i="6"/>
  <c r="V27" i="11" s="1"/>
  <c r="W27" i="6"/>
  <c r="W27" i="11" s="1"/>
  <c r="X27" i="6"/>
  <c r="X27" i="11" s="1"/>
  <c r="B28" i="6"/>
  <c r="B28" i="11" s="1"/>
  <c r="C28" i="6"/>
  <c r="C28" i="11" s="1"/>
  <c r="D28" i="6"/>
  <c r="D28" i="11" s="1"/>
  <c r="E28" i="6"/>
  <c r="E28" i="11" s="1"/>
  <c r="F28" i="6"/>
  <c r="F28" i="11" s="1"/>
  <c r="G28" i="6"/>
  <c r="G28" i="11" s="1"/>
  <c r="H28" i="6"/>
  <c r="H28" i="11" s="1"/>
  <c r="I28" i="6"/>
  <c r="I28" i="11" s="1"/>
  <c r="J28" i="6"/>
  <c r="J28" i="11" s="1"/>
  <c r="K28" i="6"/>
  <c r="K28" i="11" s="1"/>
  <c r="L28" i="6"/>
  <c r="L28" i="11" s="1"/>
  <c r="M28" i="6"/>
  <c r="M28" i="11" s="1"/>
  <c r="N28" i="6"/>
  <c r="N28" i="11" s="1"/>
  <c r="O28" i="6"/>
  <c r="O28" i="11" s="1"/>
  <c r="P28" i="6"/>
  <c r="P28" i="11" s="1"/>
  <c r="Q28" i="6"/>
  <c r="Q28" i="11" s="1"/>
  <c r="R28" i="6"/>
  <c r="R28" i="11" s="1"/>
  <c r="S28" i="6"/>
  <c r="S28" i="11" s="1"/>
  <c r="T28" i="6"/>
  <c r="T28" i="11" s="1"/>
  <c r="U28" i="6"/>
  <c r="U28" i="11" s="1"/>
  <c r="V28" i="6"/>
  <c r="V28" i="11" s="1"/>
  <c r="W28" i="6"/>
  <c r="W28" i="11" s="1"/>
  <c r="X28" i="6"/>
  <c r="X28" i="11" s="1"/>
  <c r="B29" i="6"/>
  <c r="B29" i="11" s="1"/>
  <c r="C29" i="6"/>
  <c r="C29" i="11" s="1"/>
  <c r="D29" i="6"/>
  <c r="D29" i="11" s="1"/>
  <c r="E29" i="6"/>
  <c r="E29" i="11" s="1"/>
  <c r="F29" i="6"/>
  <c r="F29" i="11" s="1"/>
  <c r="G29" i="6"/>
  <c r="G29" i="11" s="1"/>
  <c r="H29" i="6"/>
  <c r="H29" i="11" s="1"/>
  <c r="I29" i="6"/>
  <c r="I29" i="11" s="1"/>
  <c r="J29" i="6"/>
  <c r="J29" i="11" s="1"/>
  <c r="K29" i="6"/>
  <c r="K29" i="11" s="1"/>
  <c r="L29" i="6"/>
  <c r="L29" i="11" s="1"/>
  <c r="M29" i="6"/>
  <c r="M29" i="11" s="1"/>
  <c r="N29" i="6"/>
  <c r="N29" i="11" s="1"/>
  <c r="O29" i="6"/>
  <c r="O29" i="11" s="1"/>
  <c r="P29" i="6"/>
  <c r="P29" i="11" s="1"/>
  <c r="Q29" i="6"/>
  <c r="Q29" i="11" s="1"/>
  <c r="R29" i="6"/>
  <c r="R29" i="11" s="1"/>
  <c r="S29" i="6"/>
  <c r="S29" i="11" s="1"/>
  <c r="T29" i="6"/>
  <c r="T29" i="11" s="1"/>
  <c r="U29" i="6"/>
  <c r="U29" i="11" s="1"/>
  <c r="V29" i="6"/>
  <c r="V29" i="11" s="1"/>
  <c r="W29" i="6"/>
  <c r="W29" i="11" s="1"/>
  <c r="X29" i="6"/>
  <c r="X29" i="11" s="1"/>
  <c r="B30" i="6"/>
  <c r="B30" i="11" s="1"/>
  <c r="C30" i="6"/>
  <c r="C30" i="11" s="1"/>
  <c r="D30" i="6"/>
  <c r="D30" i="11" s="1"/>
  <c r="E30" i="6"/>
  <c r="E30" i="11" s="1"/>
  <c r="F30" i="6"/>
  <c r="F30" i="11" s="1"/>
  <c r="G30" i="6"/>
  <c r="G30" i="11" s="1"/>
  <c r="H30" i="6"/>
  <c r="H30" i="11" s="1"/>
  <c r="I30" i="6"/>
  <c r="I30" i="11" s="1"/>
  <c r="J30" i="6"/>
  <c r="J30" i="11" s="1"/>
  <c r="K30" i="6"/>
  <c r="K30" i="11" s="1"/>
  <c r="L30" i="6"/>
  <c r="L30" i="11" s="1"/>
  <c r="M30" i="6"/>
  <c r="M30" i="11" s="1"/>
  <c r="N30" i="6"/>
  <c r="N30" i="11" s="1"/>
  <c r="O30" i="6"/>
  <c r="O30" i="11" s="1"/>
  <c r="P30" i="6"/>
  <c r="P30" i="11" s="1"/>
  <c r="Q30" i="6"/>
  <c r="Q30" i="11" s="1"/>
  <c r="R30" i="6"/>
  <c r="R30" i="11" s="1"/>
  <c r="S30" i="6"/>
  <c r="S30" i="11" s="1"/>
  <c r="T30" i="6"/>
  <c r="T30" i="11" s="1"/>
  <c r="U30" i="6"/>
  <c r="U30" i="11" s="1"/>
  <c r="V30" i="6"/>
  <c r="V30" i="11" s="1"/>
  <c r="W30" i="6"/>
  <c r="W30" i="11" s="1"/>
  <c r="X30" i="6"/>
  <c r="X30" i="11" s="1"/>
  <c r="B31" i="6"/>
  <c r="B31" i="11" s="1"/>
  <c r="C31" i="6"/>
  <c r="C31" i="11" s="1"/>
  <c r="D31" i="6"/>
  <c r="D31" i="11" s="1"/>
  <c r="E31" i="6"/>
  <c r="E31" i="11" s="1"/>
  <c r="F31" i="6"/>
  <c r="F31" i="11" s="1"/>
  <c r="G31" i="6"/>
  <c r="G31" i="11" s="1"/>
  <c r="H31" i="6"/>
  <c r="H31" i="11" s="1"/>
  <c r="I31" i="6"/>
  <c r="I31" i="11" s="1"/>
  <c r="J31" i="6"/>
  <c r="J31" i="11" s="1"/>
  <c r="K31" i="6"/>
  <c r="K31" i="11" s="1"/>
  <c r="L31" i="6"/>
  <c r="L31" i="11" s="1"/>
  <c r="M31" i="6"/>
  <c r="M31" i="11" s="1"/>
  <c r="N31" i="6"/>
  <c r="N31" i="11" s="1"/>
  <c r="O31" i="6"/>
  <c r="O31" i="11" s="1"/>
  <c r="P31" i="6"/>
  <c r="P31" i="11" s="1"/>
  <c r="Q31" i="6"/>
  <c r="Q31" i="11" s="1"/>
  <c r="R31" i="6"/>
  <c r="R31" i="11" s="1"/>
  <c r="S31" i="6"/>
  <c r="S31" i="11" s="1"/>
  <c r="T31" i="6"/>
  <c r="T31" i="11" s="1"/>
  <c r="U31" i="6"/>
  <c r="U31" i="11" s="1"/>
  <c r="V31" i="6"/>
  <c r="V31" i="11" s="1"/>
  <c r="W31" i="6"/>
  <c r="W31" i="11" s="1"/>
  <c r="X31" i="6"/>
  <c r="X31" i="11" s="1"/>
  <c r="B32" i="6"/>
  <c r="B32" i="11" s="1"/>
  <c r="C32" i="6"/>
  <c r="C32" i="11" s="1"/>
  <c r="D32" i="6"/>
  <c r="D32" i="11" s="1"/>
  <c r="E32" i="6"/>
  <c r="E32" i="11" s="1"/>
  <c r="F32" i="6"/>
  <c r="F32" i="11" s="1"/>
  <c r="G32" i="6"/>
  <c r="G32" i="11" s="1"/>
  <c r="H32" i="6"/>
  <c r="H32" i="11" s="1"/>
  <c r="I32" i="6"/>
  <c r="I32" i="11" s="1"/>
  <c r="J32" i="6"/>
  <c r="J32" i="11" s="1"/>
  <c r="K32" i="6"/>
  <c r="K32" i="11" s="1"/>
  <c r="L32" i="6"/>
  <c r="L32" i="11" s="1"/>
  <c r="M32" i="6"/>
  <c r="M32" i="11" s="1"/>
  <c r="N32" i="6"/>
  <c r="N32" i="11" s="1"/>
  <c r="O32" i="6"/>
  <c r="O32" i="11" s="1"/>
  <c r="P32" i="6"/>
  <c r="P32" i="11" s="1"/>
  <c r="Q32" i="6"/>
  <c r="Q32" i="11" s="1"/>
  <c r="R32" i="6"/>
  <c r="R32" i="11" s="1"/>
  <c r="S32" i="6"/>
  <c r="S32" i="11" s="1"/>
  <c r="T32" i="6"/>
  <c r="T32" i="11" s="1"/>
  <c r="U32" i="6"/>
  <c r="U32" i="11" s="1"/>
  <c r="V32" i="6"/>
  <c r="V32" i="11" s="1"/>
  <c r="W32" i="6"/>
  <c r="W32" i="11" s="1"/>
  <c r="X32" i="6"/>
  <c r="X32" i="11" s="1"/>
  <c r="B33" i="6"/>
  <c r="B33" i="11" s="1"/>
  <c r="C33" i="6"/>
  <c r="C33" i="11" s="1"/>
  <c r="D33" i="6"/>
  <c r="D33" i="11" s="1"/>
  <c r="E33" i="6"/>
  <c r="E33" i="11" s="1"/>
  <c r="F33" i="6"/>
  <c r="F33" i="11" s="1"/>
  <c r="G33" i="6"/>
  <c r="G33" i="11" s="1"/>
  <c r="H33" i="6"/>
  <c r="H33" i="11" s="1"/>
  <c r="I33" i="6"/>
  <c r="I33" i="11" s="1"/>
  <c r="J33" i="6"/>
  <c r="J33" i="11" s="1"/>
  <c r="K33" i="6"/>
  <c r="K33" i="11" s="1"/>
  <c r="L33" i="6"/>
  <c r="L33" i="11" s="1"/>
  <c r="M33" i="6"/>
  <c r="M33" i="11" s="1"/>
  <c r="N33" i="6"/>
  <c r="N33" i="11" s="1"/>
  <c r="O33" i="6"/>
  <c r="O33" i="11" s="1"/>
  <c r="P33" i="6"/>
  <c r="P33" i="11" s="1"/>
  <c r="Q33" i="6"/>
  <c r="Q33" i="11" s="1"/>
  <c r="R33" i="6"/>
  <c r="R33" i="11" s="1"/>
  <c r="S33" i="6"/>
  <c r="S33" i="11" s="1"/>
  <c r="T33" i="6"/>
  <c r="T33" i="11" s="1"/>
  <c r="U33" i="6"/>
  <c r="U33" i="11" s="1"/>
  <c r="V33" i="6"/>
  <c r="V33" i="11" s="1"/>
  <c r="W33" i="6"/>
  <c r="W33" i="11" s="1"/>
  <c r="X33" i="6"/>
  <c r="X33" i="11" s="1"/>
  <c r="B34" i="6"/>
  <c r="B34" i="11" s="1"/>
  <c r="C34" i="6"/>
  <c r="C34" i="11" s="1"/>
  <c r="D34" i="6"/>
  <c r="D34" i="11" s="1"/>
  <c r="E34" i="6"/>
  <c r="E34" i="11" s="1"/>
  <c r="F34" i="6"/>
  <c r="F34" i="11" s="1"/>
  <c r="G34" i="6"/>
  <c r="G34" i="11" s="1"/>
  <c r="H34" i="6"/>
  <c r="H34" i="11" s="1"/>
  <c r="I34" i="6"/>
  <c r="I34" i="11" s="1"/>
  <c r="J34" i="6"/>
  <c r="J34" i="11" s="1"/>
  <c r="K34" i="6"/>
  <c r="K34" i="11" s="1"/>
  <c r="L34" i="6"/>
  <c r="L34" i="11" s="1"/>
  <c r="M34" i="6"/>
  <c r="M34" i="11" s="1"/>
  <c r="N34" i="6"/>
  <c r="N34" i="11" s="1"/>
  <c r="O34" i="6"/>
  <c r="O34" i="11" s="1"/>
  <c r="P34" i="6"/>
  <c r="P34" i="11" s="1"/>
  <c r="Q34" i="6"/>
  <c r="Q34" i="11" s="1"/>
  <c r="R34" i="6"/>
  <c r="R34" i="11" s="1"/>
  <c r="S34" i="6"/>
  <c r="S34" i="11" s="1"/>
  <c r="T34" i="6"/>
  <c r="T34" i="11" s="1"/>
  <c r="U34" i="6"/>
  <c r="U34" i="11" s="1"/>
  <c r="V34" i="6"/>
  <c r="V34" i="11" s="1"/>
  <c r="W34" i="6"/>
  <c r="W34" i="11" s="1"/>
  <c r="X34" i="6"/>
  <c r="X34" i="11" s="1"/>
  <c r="B35" i="6"/>
  <c r="B35" i="11" s="1"/>
  <c r="C35" i="6"/>
  <c r="C35" i="11" s="1"/>
  <c r="D35" i="6"/>
  <c r="D35" i="11" s="1"/>
  <c r="E35" i="6"/>
  <c r="E35" i="11" s="1"/>
  <c r="F35" i="6"/>
  <c r="F35" i="11" s="1"/>
  <c r="G35" i="6"/>
  <c r="G35" i="11" s="1"/>
  <c r="H35" i="6"/>
  <c r="H35" i="11" s="1"/>
  <c r="I35" i="6"/>
  <c r="I35" i="11" s="1"/>
  <c r="J35" i="6"/>
  <c r="J35" i="11" s="1"/>
  <c r="K35" i="6"/>
  <c r="K35" i="11" s="1"/>
  <c r="L35" i="6"/>
  <c r="L35" i="11" s="1"/>
  <c r="M35" i="6"/>
  <c r="M35" i="11" s="1"/>
  <c r="N35" i="6"/>
  <c r="N35" i="11" s="1"/>
  <c r="O35" i="6"/>
  <c r="O35" i="11" s="1"/>
  <c r="P35" i="6"/>
  <c r="P35" i="11" s="1"/>
  <c r="Q35" i="6"/>
  <c r="Q35" i="11" s="1"/>
  <c r="R35" i="6"/>
  <c r="R35" i="11" s="1"/>
  <c r="S35" i="6"/>
  <c r="S35" i="11" s="1"/>
  <c r="T35" i="6"/>
  <c r="T35" i="11" s="1"/>
  <c r="U35" i="6"/>
  <c r="U35" i="11" s="1"/>
  <c r="V35" i="6"/>
  <c r="V35" i="11" s="1"/>
  <c r="W35" i="6"/>
  <c r="W35" i="11" s="1"/>
  <c r="X35" i="6"/>
  <c r="X35" i="11" s="1"/>
  <c r="B36" i="6"/>
  <c r="B36" i="11" s="1"/>
  <c r="C36" i="6"/>
  <c r="C36" i="11" s="1"/>
  <c r="D36" i="6"/>
  <c r="D36" i="11" s="1"/>
  <c r="E36" i="6"/>
  <c r="E36" i="11" s="1"/>
  <c r="F36" i="6"/>
  <c r="F36" i="11" s="1"/>
  <c r="G36" i="6"/>
  <c r="G36" i="11" s="1"/>
  <c r="H36" i="6"/>
  <c r="H36" i="11" s="1"/>
  <c r="I36" i="6"/>
  <c r="I36" i="11" s="1"/>
  <c r="J36" i="6"/>
  <c r="J36" i="11" s="1"/>
  <c r="K36" i="6"/>
  <c r="K36" i="11" s="1"/>
  <c r="L36" i="6"/>
  <c r="L36" i="11" s="1"/>
  <c r="M36" i="6"/>
  <c r="M36" i="11" s="1"/>
  <c r="N36" i="6"/>
  <c r="N36" i="11" s="1"/>
  <c r="O36" i="6"/>
  <c r="O36" i="11" s="1"/>
  <c r="P36" i="6"/>
  <c r="P36" i="11" s="1"/>
  <c r="Q36" i="6"/>
  <c r="Q36" i="11" s="1"/>
  <c r="R36" i="6"/>
  <c r="R36" i="11" s="1"/>
  <c r="S36" i="6"/>
  <c r="S36" i="11" s="1"/>
  <c r="T36" i="6"/>
  <c r="T36" i="11" s="1"/>
  <c r="U36" i="6"/>
  <c r="U36" i="11" s="1"/>
  <c r="V36" i="6"/>
  <c r="V36" i="11" s="1"/>
  <c r="W36" i="6"/>
  <c r="W36" i="11" s="1"/>
  <c r="X36" i="6"/>
  <c r="X36" i="11" s="1"/>
  <c r="B37" i="6"/>
  <c r="B37" i="11" s="1"/>
  <c r="C37" i="6"/>
  <c r="C37" i="11" s="1"/>
  <c r="D37" i="6"/>
  <c r="D37" i="11" s="1"/>
  <c r="E37" i="6"/>
  <c r="E37" i="11" s="1"/>
  <c r="F37" i="6"/>
  <c r="F37" i="11" s="1"/>
  <c r="G37" i="6"/>
  <c r="G37" i="11" s="1"/>
  <c r="H37" i="6"/>
  <c r="H37" i="11" s="1"/>
  <c r="I37" i="6"/>
  <c r="I37" i="11" s="1"/>
  <c r="J37" i="6"/>
  <c r="J37" i="11" s="1"/>
  <c r="K37" i="6"/>
  <c r="K37" i="11" s="1"/>
  <c r="L37" i="6"/>
  <c r="L37" i="11" s="1"/>
  <c r="M37" i="6"/>
  <c r="M37" i="11" s="1"/>
  <c r="N37" i="6"/>
  <c r="N37" i="11" s="1"/>
  <c r="O37" i="6"/>
  <c r="O37" i="11" s="1"/>
  <c r="P37" i="6"/>
  <c r="P37" i="11" s="1"/>
  <c r="Q37" i="6"/>
  <c r="Q37" i="11" s="1"/>
  <c r="R37" i="6"/>
  <c r="R37" i="11" s="1"/>
  <c r="S37" i="6"/>
  <c r="S37" i="11" s="1"/>
  <c r="T37" i="6"/>
  <c r="T37" i="11" s="1"/>
  <c r="U37" i="6"/>
  <c r="U37" i="11" s="1"/>
  <c r="V37" i="6"/>
  <c r="V37" i="11" s="1"/>
  <c r="W37" i="6"/>
  <c r="W37" i="11" s="1"/>
  <c r="X37" i="6"/>
  <c r="X37" i="11" s="1"/>
  <c r="B38" i="6"/>
  <c r="B38" i="11" s="1"/>
  <c r="C38" i="6"/>
  <c r="C38" i="11" s="1"/>
  <c r="D38" i="6"/>
  <c r="D38" i="11" s="1"/>
  <c r="E38" i="6"/>
  <c r="E38" i="11" s="1"/>
  <c r="F38" i="6"/>
  <c r="F38" i="11" s="1"/>
  <c r="G38" i="6"/>
  <c r="G38" i="11" s="1"/>
  <c r="H38" i="6"/>
  <c r="H38" i="11" s="1"/>
  <c r="I38" i="6"/>
  <c r="I38" i="11" s="1"/>
  <c r="J38" i="6"/>
  <c r="J38" i="11" s="1"/>
  <c r="K38" i="6"/>
  <c r="K38" i="11" s="1"/>
  <c r="L38" i="6"/>
  <c r="L38" i="11" s="1"/>
  <c r="M38" i="6"/>
  <c r="M38" i="11" s="1"/>
  <c r="N38" i="6"/>
  <c r="N38" i="11" s="1"/>
  <c r="O38" i="6"/>
  <c r="O38" i="11" s="1"/>
  <c r="P38" i="6"/>
  <c r="P38" i="11" s="1"/>
  <c r="Q38" i="6"/>
  <c r="Q38" i="11" s="1"/>
  <c r="R38" i="6"/>
  <c r="R38" i="11" s="1"/>
  <c r="S38" i="6"/>
  <c r="S38" i="11" s="1"/>
  <c r="T38" i="6"/>
  <c r="T38" i="11" s="1"/>
  <c r="U38" i="6"/>
  <c r="U38" i="11" s="1"/>
  <c r="V38" i="6"/>
  <c r="V38" i="11" s="1"/>
  <c r="W38" i="6"/>
  <c r="W38" i="11" s="1"/>
  <c r="X38" i="6"/>
  <c r="X38" i="11" s="1"/>
  <c r="B39" i="6"/>
  <c r="B39" i="11" s="1"/>
  <c r="C39" i="6"/>
  <c r="C39" i="11" s="1"/>
  <c r="D39" i="6"/>
  <c r="D39" i="11" s="1"/>
  <c r="E39" i="6"/>
  <c r="E39" i="11" s="1"/>
  <c r="F39" i="6"/>
  <c r="F39" i="11" s="1"/>
  <c r="G39" i="6"/>
  <c r="G39" i="11" s="1"/>
  <c r="H39" i="6"/>
  <c r="H39" i="11" s="1"/>
  <c r="I39" i="6"/>
  <c r="I39" i="11" s="1"/>
  <c r="J39" i="6"/>
  <c r="J39" i="11" s="1"/>
  <c r="K39" i="6"/>
  <c r="K39" i="11" s="1"/>
  <c r="L39" i="6"/>
  <c r="L39" i="11" s="1"/>
  <c r="M39" i="6"/>
  <c r="M39" i="11" s="1"/>
  <c r="N39" i="6"/>
  <c r="N39" i="11" s="1"/>
  <c r="O39" i="6"/>
  <c r="O39" i="11" s="1"/>
  <c r="P39" i="6"/>
  <c r="P39" i="11" s="1"/>
  <c r="Q39" i="6"/>
  <c r="Q39" i="11" s="1"/>
  <c r="R39" i="6"/>
  <c r="R39" i="11" s="1"/>
  <c r="S39" i="6"/>
  <c r="S39" i="11" s="1"/>
  <c r="T39" i="6"/>
  <c r="T39" i="11" s="1"/>
  <c r="U39" i="6"/>
  <c r="U39" i="11" s="1"/>
  <c r="V39" i="6"/>
  <c r="V39" i="11" s="1"/>
  <c r="W39" i="6"/>
  <c r="W39" i="11" s="1"/>
  <c r="X39" i="6"/>
  <c r="X39" i="11" s="1"/>
  <c r="B40" i="6"/>
  <c r="B40" i="11" s="1"/>
  <c r="C40" i="6"/>
  <c r="C40" i="11" s="1"/>
  <c r="D40" i="6"/>
  <c r="D40" i="11" s="1"/>
  <c r="E40" i="6"/>
  <c r="E40" i="11" s="1"/>
  <c r="F40" i="6"/>
  <c r="F40" i="11" s="1"/>
  <c r="G40" i="6"/>
  <c r="G40" i="11" s="1"/>
  <c r="H40" i="6"/>
  <c r="H40" i="11" s="1"/>
  <c r="I40" i="6"/>
  <c r="I40" i="11" s="1"/>
  <c r="J40" i="6"/>
  <c r="J40" i="11" s="1"/>
  <c r="K40" i="6"/>
  <c r="K40" i="11" s="1"/>
  <c r="L40" i="6"/>
  <c r="L40" i="11" s="1"/>
  <c r="M40" i="6"/>
  <c r="M40" i="11" s="1"/>
  <c r="N40" i="6"/>
  <c r="N40" i="11" s="1"/>
  <c r="O40" i="6"/>
  <c r="O40" i="11" s="1"/>
  <c r="P40" i="6"/>
  <c r="P40" i="11" s="1"/>
  <c r="Q40" i="6"/>
  <c r="Q40" i="11" s="1"/>
  <c r="R40" i="6"/>
  <c r="R40" i="11" s="1"/>
  <c r="S40" i="6"/>
  <c r="S40" i="11" s="1"/>
  <c r="T40" i="6"/>
  <c r="T40" i="11" s="1"/>
  <c r="U40" i="6"/>
  <c r="U40" i="11" s="1"/>
  <c r="V40" i="6"/>
  <c r="V40" i="11" s="1"/>
  <c r="W40" i="6"/>
  <c r="W40" i="11" s="1"/>
  <c r="X40" i="6"/>
  <c r="X40" i="11" s="1"/>
  <c r="B41" i="6"/>
  <c r="B41" i="11" s="1"/>
  <c r="C41" i="6"/>
  <c r="C41" i="11" s="1"/>
  <c r="D41" i="6"/>
  <c r="D41" i="11" s="1"/>
  <c r="E41" i="6"/>
  <c r="E41" i="11" s="1"/>
  <c r="F41" i="6"/>
  <c r="F41" i="11" s="1"/>
  <c r="G41" i="6"/>
  <c r="G41" i="11" s="1"/>
  <c r="H41" i="6"/>
  <c r="H41" i="11" s="1"/>
  <c r="I41" i="6"/>
  <c r="I41" i="11" s="1"/>
  <c r="J41" i="6"/>
  <c r="J41" i="11" s="1"/>
  <c r="K41" i="6"/>
  <c r="K41" i="11" s="1"/>
  <c r="L41" i="6"/>
  <c r="L41" i="11" s="1"/>
  <c r="M41" i="6"/>
  <c r="M41" i="11" s="1"/>
  <c r="N41" i="6"/>
  <c r="N41" i="11" s="1"/>
  <c r="O41" i="6"/>
  <c r="O41" i="11" s="1"/>
  <c r="P41" i="6"/>
  <c r="P41" i="11" s="1"/>
  <c r="Q41" i="6"/>
  <c r="Q41" i="11" s="1"/>
  <c r="R41" i="6"/>
  <c r="R41" i="11" s="1"/>
  <c r="S41" i="6"/>
  <c r="S41" i="11" s="1"/>
  <c r="T41" i="6"/>
  <c r="T41" i="11" s="1"/>
  <c r="U41" i="6"/>
  <c r="U41" i="11" s="1"/>
  <c r="V41" i="6"/>
  <c r="V41" i="11" s="1"/>
  <c r="W41" i="6"/>
  <c r="W41" i="11" s="1"/>
  <c r="X41" i="6"/>
  <c r="X41" i="11" s="1"/>
  <c r="B42" i="6"/>
  <c r="B42" i="11" s="1"/>
  <c r="C42" i="6"/>
  <c r="C42" i="11" s="1"/>
  <c r="D42" i="6"/>
  <c r="D42" i="11" s="1"/>
  <c r="E42" i="6"/>
  <c r="E42" i="11" s="1"/>
  <c r="F42" i="6"/>
  <c r="F42" i="11" s="1"/>
  <c r="G42" i="6"/>
  <c r="G42" i="11" s="1"/>
  <c r="H42" i="6"/>
  <c r="H42" i="11" s="1"/>
  <c r="I42" i="6"/>
  <c r="I42" i="11" s="1"/>
  <c r="J42" i="6"/>
  <c r="J42" i="11" s="1"/>
  <c r="K42" i="6"/>
  <c r="K42" i="11" s="1"/>
  <c r="L42" i="6"/>
  <c r="L42" i="11" s="1"/>
  <c r="M42" i="6"/>
  <c r="M42" i="11" s="1"/>
  <c r="N42" i="6"/>
  <c r="N42" i="11" s="1"/>
  <c r="O42" i="6"/>
  <c r="O42" i="11" s="1"/>
  <c r="P42" i="6"/>
  <c r="P42" i="11" s="1"/>
  <c r="Q42" i="6"/>
  <c r="Q42" i="11" s="1"/>
  <c r="R42" i="6"/>
  <c r="R42" i="11" s="1"/>
  <c r="S42" i="6"/>
  <c r="S42" i="11" s="1"/>
  <c r="T42" i="6"/>
  <c r="T42" i="11" s="1"/>
  <c r="U42" i="6"/>
  <c r="U42" i="11" s="1"/>
  <c r="V42" i="6"/>
  <c r="V42" i="11" s="1"/>
  <c r="W42" i="6"/>
  <c r="W42" i="11" s="1"/>
  <c r="X42" i="6"/>
  <c r="X42" i="11" s="1"/>
  <c r="B43" i="6"/>
  <c r="B43" i="11" s="1"/>
  <c r="C43" i="6"/>
  <c r="C43" i="11" s="1"/>
  <c r="D43" i="6"/>
  <c r="D43" i="11" s="1"/>
  <c r="E43" i="6"/>
  <c r="E43" i="11" s="1"/>
  <c r="F43" i="6"/>
  <c r="F43" i="11" s="1"/>
  <c r="G43" i="6"/>
  <c r="G43" i="11" s="1"/>
  <c r="H43" i="6"/>
  <c r="H43" i="11" s="1"/>
  <c r="I43" i="6"/>
  <c r="I43" i="11" s="1"/>
  <c r="J43" i="6"/>
  <c r="J43" i="11" s="1"/>
  <c r="K43" i="6"/>
  <c r="K43" i="11" s="1"/>
  <c r="L43" i="6"/>
  <c r="L43" i="11" s="1"/>
  <c r="M43" i="6"/>
  <c r="M43" i="11" s="1"/>
  <c r="N43" i="6"/>
  <c r="N43" i="11" s="1"/>
  <c r="O43" i="6"/>
  <c r="O43" i="11" s="1"/>
  <c r="P43" i="6"/>
  <c r="P43" i="11" s="1"/>
  <c r="Q43" i="6"/>
  <c r="Q43" i="11" s="1"/>
  <c r="R43" i="6"/>
  <c r="R43" i="11" s="1"/>
  <c r="S43" i="6"/>
  <c r="S43" i="11" s="1"/>
  <c r="T43" i="6"/>
  <c r="T43" i="11" s="1"/>
  <c r="U43" i="6"/>
  <c r="U43" i="11" s="1"/>
  <c r="V43" i="6"/>
  <c r="V43" i="11" s="1"/>
  <c r="W43" i="6"/>
  <c r="W43" i="11" s="1"/>
  <c r="X43" i="6"/>
  <c r="X43" i="11" s="1"/>
  <c r="C2" i="6"/>
  <c r="C2" i="11" s="1"/>
  <c r="D2" i="6"/>
  <c r="D2" i="11" s="1"/>
  <c r="E2" i="6"/>
  <c r="E2" i="11" s="1"/>
  <c r="F2" i="6"/>
  <c r="F2" i="11" s="1"/>
  <c r="G2" i="6"/>
  <c r="G2" i="11" s="1"/>
  <c r="H2" i="6"/>
  <c r="H2" i="11" s="1"/>
  <c r="I2" i="6"/>
  <c r="I2" i="11" s="1"/>
  <c r="J2" i="6"/>
  <c r="J2" i="11" s="1"/>
  <c r="K2" i="6"/>
  <c r="K2" i="11" s="1"/>
  <c r="L2" i="6"/>
  <c r="L2" i="11" s="1"/>
  <c r="M2" i="6"/>
  <c r="M2" i="11" s="1"/>
  <c r="N2" i="6"/>
  <c r="N2" i="11" s="1"/>
  <c r="O2" i="6"/>
  <c r="O2" i="11" s="1"/>
  <c r="P2" i="6"/>
  <c r="P2" i="11" s="1"/>
  <c r="Q2" i="6"/>
  <c r="Q2" i="11" s="1"/>
  <c r="R2" i="6"/>
  <c r="R2" i="11" s="1"/>
  <c r="S2" i="6"/>
  <c r="S2" i="11" s="1"/>
  <c r="T2" i="6"/>
  <c r="T2" i="11" s="1"/>
  <c r="U2" i="6"/>
  <c r="U2" i="11" s="1"/>
  <c r="V2" i="6"/>
  <c r="V2" i="11" s="1"/>
  <c r="W2" i="6"/>
  <c r="W2" i="11" s="1"/>
  <c r="X2" i="6"/>
  <c r="X2" i="11" s="1"/>
  <c r="B2" i="6"/>
  <c r="B2" i="11" s="1"/>
  <c r="H3" i="11"/>
  <c r="I3" i="11"/>
  <c r="J3" i="11"/>
  <c r="W15" i="11"/>
</calcChain>
</file>

<file path=xl/sharedStrings.xml><?xml version="1.0" encoding="utf-8"?>
<sst xmlns="http://schemas.openxmlformats.org/spreadsheetml/2006/main" count="35" uniqueCount="27">
  <si>
    <t>TPS</t>
  </si>
  <si>
    <t>IAP</t>
  </si>
  <si>
    <t>A/F</t>
  </si>
  <si>
    <t>MAP</t>
  </si>
  <si>
    <t>Count</t>
  </si>
  <si>
    <t>CELL COUNTS</t>
  </si>
  <si>
    <t xml:space="preserve">Engine COM </t>
  </si>
  <si>
    <t>O2 COM</t>
  </si>
  <si>
    <t>IDLE/IAP TPS</t>
  </si>
  <si>
    <t>IAP/TPS TPS</t>
  </si>
  <si>
    <t>PORTS</t>
  </si>
  <si>
    <t>SETUP</t>
  </si>
  <si>
    <t>Frame Count</t>
  </si>
  <si>
    <t>Coolant Temp</t>
  </si>
  <si>
    <t>High Coolant</t>
  </si>
  <si>
    <t>SETPOINTS</t>
  </si>
  <si>
    <t>Engine Data</t>
  </si>
  <si>
    <t>Des Cell Count</t>
  </si>
  <si>
    <t>IDLE</t>
  </si>
  <si>
    <t>This is the TPS fuel map that was used to obtain the TPS data (Paste in your TPS fuel MAP).</t>
  </si>
  <si>
    <t>This is the IAP fuel map that was used to obtain the IAP data (Past in your IAP fuel MAP).</t>
  </si>
  <si>
    <t>Required Cell Count to Read Data:</t>
  </si>
  <si>
    <t>Tune File Loaded:</t>
  </si>
  <si>
    <t>Log File Loaded:</t>
  </si>
  <si>
    <t>C:\Users\Administrator\Desktop\Busa_Tune\Tune_12_11_23_Enrichened 5perc_removed ram air_raised TPSswitch to 15_not flashed.bin</t>
  </si>
  <si>
    <t>C:\Users\Administrator\Desktop\12-10_running.csv.csv</t>
  </si>
  <si>
    <t>INFO/How to Use:
Import Log Data: Click and then select log file (.csv).  This imports a data log file that was created using "VooDoo Gen 1 Data Logger.  This is used to populate the TPS and IAP data sheets.  Any data cells that have less than the "Required Cell Count to Read" are omitted (to see all data, set this to less than 2).
Import Tune Data: Click and then select tune file (.bin).  This imports a tune file that was created using ECU Editor.  This is used to populate the TPS and IAP Current sheets.  
The "Des TPS AFR" and "Des TPS AFR" sheets are user editable.  Using these sheets along with the "TPS Current", "IAP Current" and the "TPS data", IAP data" sheet, the Auto Correct sheets are populated by multiplying the ratio of the current to desired AFRs to the current fuel number in the TPS and IAP Current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</si>
</sst>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8" x14ac:knownFonts="1">
    <font>
      <sz val="10"/>
      <color rgb="FF000000"/>
      <name val="Arial"/>
      <scheme val="minor"/>
    </font>
    <font>
      <b/>
      <sz val="10"/>
      <color theme="1"/>
      <name val="Arial"/>
      <scheme val="minor"/>
    </font>
    <font>
      <sz val="10"/>
      <color theme="1"/>
      <name val="Arial"/>
      <scheme val="minor"/>
    </font>
    <font>
      <b/>
      <sz val="10"/>
      <color theme="0"/>
      <name val="Arial"/>
      <family val="2"/>
      <scheme val="minor"/>
    </font>
    <font>
      <b/>
      <sz val="10"/>
      <color rgb="FFFF0000"/>
      <name val="Arial"/>
      <family val="2"/>
      <scheme val="minor"/>
    </font>
    <font>
      <sz val="11"/>
      <color rgb="FF3F3F76"/>
      <name val="Arial"/>
      <family val="2"/>
      <scheme val="minor"/>
    </font>
    <font>
      <b/>
      <sz val="12"/>
      <color rgb="FFFF0000"/>
      <name val="Arial"/>
      <family val="2"/>
      <scheme val="minor"/>
    </font>
    <font>
      <b/>
      <sz val="10"/>
      <color rgb="FF000000"/>
      <name val="Arial"/>
      <family val="2"/>
      <scheme val="minor"/>
    </font>
    <font>
      <sz val="8"/>
      <color rgb="FF000000"/>
      <name val="Arial"/>
      <family val="2"/>
      <scheme val="minor"/>
    </font>
    <font>
      <b/>
      <sz val="11"/>
      <color rgb="FF3F3F76"/>
      <name val="Arial"/>
      <family val="2"/>
      <scheme val="minor"/>
    </font>
    <font>
      <sz val="11"/>
      <color rgb="FF9C5700"/>
      <name val="Arial"/>
      <family val="2"/>
      <scheme val="minor"/>
    </font>
    <font>
      <b/>
      <sz val="11"/>
      <color rgb="FF9C5700"/>
      <name val="Arial"/>
      <family val="2"/>
      <scheme val="minor"/>
    </font>
    <font>
      <b/>
      <sz val="8"/>
      <color theme="0"/>
      <name val="Arial"/>
      <family val="2"/>
      <scheme val="minor"/>
    </font>
    <font>
      <b/>
      <sz val="9"/>
      <color rgb="FF000000"/>
      <name val="Arial"/>
      <family val="2"/>
      <scheme val="minor"/>
    </font>
    <font>
      <sz val="11"/>
      <color rgb="FF006100"/>
      <name val="Arial"/>
      <family val="2"/>
      <scheme val="minor"/>
    </font>
    <font>
      <b/>
      <sz val="11"/>
      <color rgb="FF3F3F3F"/>
      <name val="Arial"/>
      <family val="2"/>
      <scheme val="minor"/>
    </font>
    <font>
      <sz val="10"/>
      <color rgb="FF000000"/>
      <name val="Arial"/>
      <family val="2"/>
      <scheme val="minor"/>
    </font>
    <font>
      <b/>
      <sz val="10"/>
      <color rgb="FF3F3F3F"/>
      <name val="Arial"/>
      <family val="2"/>
      <scheme val="minor"/>
    </font>
  </fonts>
  <fills count="7">
    <fill>
      <patternFill patternType="none"/>
    </fill>
    <fill>
      <patternFill patternType="gray125"/>
    </fill>
    <fill>
      <patternFill patternType="solid">
        <fgColor theme="1"/>
        <bgColor indexed="64"/>
      </patternFill>
    </fill>
    <fill>
      <patternFill patternType="solid">
        <fgColor rgb="FFFFCC99"/>
      </patternFill>
    </fill>
    <fill>
      <patternFill patternType="solid">
        <fgColor rgb="FFFFEB9C"/>
      </patternFill>
    </fill>
    <fill>
      <patternFill patternType="solid">
        <fgColor rgb="FFC6EFCE"/>
      </patternFill>
    </fill>
    <fill>
      <patternFill patternType="solid">
        <fgColor rgb="FFF2F2F2"/>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medium">
        <color indexed="64"/>
      </bottom>
      <diagonal/>
    </border>
    <border>
      <left style="thin">
        <color rgb="FF3F3F3F"/>
      </left>
      <right style="thin">
        <color rgb="FF3F3F3F"/>
      </right>
      <top style="thin">
        <color rgb="FF3F3F3F"/>
      </top>
      <bottom style="thin">
        <color rgb="FF3F3F3F"/>
      </bottom>
      <diagonal/>
    </border>
  </borders>
  <cellStyleXfs count="5">
    <xf numFmtId="0" fontId="0" fillId="0" borderId="0"/>
    <xf numFmtId="0" fontId="5" fillId="3" borderId="21" applyNumberFormat="0" applyAlignment="0" applyProtection="0"/>
    <xf numFmtId="0" fontId="10" fillId="4" borderId="0" applyNumberFormat="0" applyBorder="0" applyAlignment="0" applyProtection="0"/>
    <xf numFmtId="0" fontId="14" fillId="5" borderId="0" applyNumberFormat="0" applyBorder="0" applyAlignment="0" applyProtection="0"/>
    <xf numFmtId="0" fontId="15" fillId="6" borderId="29" applyNumberFormat="0" applyAlignment="0" applyProtection="0"/>
  </cellStyleXfs>
  <cellXfs count="89">
    <xf numFmtId="0" fontId="0" fillId="0" borderId="0" xfId="0" applyFont="1" applyAlignment="1"/>
    <xf numFmtId="0" fontId="1" fillId="0" borderId="0" xfId="0" applyFont="1" applyAlignment="1">
      <alignment horizontal="center"/>
    </xf>
    <xf numFmtId="0" fontId="0" fillId="0" borderId="0" xfId="0" applyFont="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3" fillId="2" borderId="5" xfId="0" applyFont="1" applyFill="1" applyBorder="1" applyAlignment="1">
      <alignment horizontal="center"/>
    </xf>
    <xf numFmtId="0" fontId="3" fillId="2" borderId="7" xfId="0" applyFont="1" applyFill="1" applyBorder="1" applyAlignment="1">
      <alignment horizontal="center"/>
    </xf>
    <xf numFmtId="0" fontId="2" fillId="0" borderId="1" xfId="0" applyFont="1" applyBorder="1" applyAlignment="1">
      <alignment horizontal="center"/>
    </xf>
    <xf numFmtId="0" fontId="2" fillId="0" borderId="6" xfId="0" applyFont="1" applyBorder="1" applyAlignment="1">
      <alignment horizontal="center"/>
    </xf>
    <xf numFmtId="0" fontId="2" fillId="0" borderId="8" xfId="0" applyFont="1" applyBorder="1" applyAlignment="1">
      <alignment horizontal="center"/>
    </xf>
    <xf numFmtId="0" fontId="2" fillId="0" borderId="9" xfId="0" applyFont="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4" fillId="2" borderId="5" xfId="0" applyFont="1" applyFill="1" applyBorder="1" applyAlignment="1">
      <alignment horizontal="center"/>
    </xf>
    <xf numFmtId="0" fontId="4" fillId="2" borderId="7" xfId="0" applyFont="1" applyFill="1" applyBorder="1" applyAlignment="1">
      <alignment horizontal="center"/>
    </xf>
    <xf numFmtId="0" fontId="0" fillId="0" borderId="1" xfId="0" applyFont="1" applyBorder="1" applyAlignment="1">
      <alignment horizontal="center"/>
    </xf>
    <xf numFmtId="0" fontId="0" fillId="0" borderId="6" xfId="0" applyFont="1" applyBorder="1" applyAlignment="1">
      <alignment horizontal="center"/>
    </xf>
    <xf numFmtId="0" fontId="0" fillId="0" borderId="8" xfId="0" applyFont="1" applyBorder="1" applyAlignment="1">
      <alignment horizontal="center"/>
    </xf>
    <xf numFmtId="0" fontId="0" fillId="0" borderId="9" xfId="0" applyFont="1" applyBorder="1" applyAlignment="1">
      <alignment horizontal="center"/>
    </xf>
    <xf numFmtId="2" fontId="2" fillId="0" borderId="1" xfId="0" applyNumberFormat="1" applyFont="1" applyBorder="1" applyAlignment="1">
      <alignment horizontal="center"/>
    </xf>
    <xf numFmtId="0" fontId="1" fillId="0" borderId="0" xfId="0" applyFont="1" applyBorder="1" applyAlignment="1">
      <alignment vertical="top" wrapText="1"/>
    </xf>
    <xf numFmtId="164" fontId="0" fillId="0" borderId="1" xfId="0" applyNumberFormat="1" applyFont="1" applyBorder="1" applyAlignment="1"/>
    <xf numFmtId="164" fontId="0" fillId="0" borderId="6" xfId="0" applyNumberFormat="1" applyFont="1" applyBorder="1" applyAlignment="1"/>
    <xf numFmtId="164" fontId="0" fillId="0" borderId="8" xfId="0" applyNumberFormat="1" applyFont="1" applyBorder="1" applyAlignment="1"/>
    <xf numFmtId="164" fontId="0" fillId="0" borderId="9" xfId="0" applyNumberFormat="1" applyFont="1" applyBorder="1" applyAlignment="1"/>
    <xf numFmtId="164" fontId="2" fillId="0" borderId="1" xfId="0" applyNumberFormat="1" applyFont="1" applyBorder="1" applyAlignment="1">
      <alignment horizontal="center"/>
    </xf>
    <xf numFmtId="0" fontId="0" fillId="2" borderId="0" xfId="0" applyFont="1" applyFill="1" applyAlignment="1"/>
    <xf numFmtId="1" fontId="8" fillId="0" borderId="1" xfId="0" applyNumberFormat="1" applyFont="1" applyBorder="1" applyAlignment="1"/>
    <xf numFmtId="1" fontId="8" fillId="0" borderId="6" xfId="0" applyNumberFormat="1" applyFont="1" applyBorder="1" applyAlignment="1"/>
    <xf numFmtId="1" fontId="8" fillId="0" borderId="8" xfId="0" applyNumberFormat="1" applyFont="1" applyBorder="1" applyAlignment="1"/>
    <xf numFmtId="1" fontId="8" fillId="0" borderId="9" xfId="0" applyNumberFormat="1" applyFont="1" applyBorder="1" applyAlignment="1"/>
    <xf numFmtId="0" fontId="6" fillId="2" borderId="0" xfId="0" applyFont="1" applyFill="1" applyAlignment="1">
      <alignment horizontal="center" vertical="center"/>
    </xf>
    <xf numFmtId="0" fontId="12" fillId="2" borderId="18" xfId="0" applyFont="1" applyFill="1" applyBorder="1" applyAlignment="1">
      <alignment horizontal="center"/>
    </xf>
    <xf numFmtId="0" fontId="12" fillId="2" borderId="19" xfId="0" applyFont="1" applyFill="1" applyBorder="1" applyAlignment="1">
      <alignment horizontal="center"/>
    </xf>
    <xf numFmtId="0" fontId="12" fillId="2" borderId="20" xfId="0" applyFont="1" applyFill="1" applyBorder="1" applyAlignment="1">
      <alignment horizontal="center"/>
    </xf>
    <xf numFmtId="0" fontId="8" fillId="2" borderId="0" xfId="0" applyFont="1" applyFill="1" applyAlignment="1"/>
    <xf numFmtId="0" fontId="12" fillId="2" borderId="5" xfId="0" applyFont="1" applyFill="1" applyBorder="1" applyAlignment="1">
      <alignment horizontal="center"/>
    </xf>
    <xf numFmtId="0" fontId="12" fillId="2" borderId="7" xfId="0" applyFont="1" applyFill="1" applyBorder="1" applyAlignment="1">
      <alignment horizontal="center"/>
    </xf>
    <xf numFmtId="0" fontId="8" fillId="0" borderId="0" xfId="0" applyFont="1" applyAlignment="1"/>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9" fillId="3" borderId="25" xfId="1" applyFont="1" applyBorder="1" applyAlignment="1">
      <alignment horizontal="center" vertical="center"/>
    </xf>
    <xf numFmtId="0" fontId="9" fillId="3" borderId="26" xfId="1" applyFont="1" applyBorder="1" applyAlignment="1">
      <alignment horizontal="center" vertical="center"/>
    </xf>
    <xf numFmtId="1" fontId="9" fillId="3" borderId="25" xfId="1" applyNumberFormat="1" applyFont="1" applyBorder="1" applyAlignment="1">
      <alignment horizontal="center" vertical="center"/>
    </xf>
    <xf numFmtId="1" fontId="9" fillId="3" borderId="26" xfId="1" applyNumberFormat="1" applyFont="1" applyBorder="1" applyAlignment="1">
      <alignment horizontal="center" vertical="center"/>
    </xf>
    <xf numFmtId="0" fontId="6" fillId="2" borderId="22" xfId="0" applyFont="1" applyFill="1" applyBorder="1" applyAlignment="1">
      <alignment horizontal="center"/>
    </xf>
    <xf numFmtId="0" fontId="6" fillId="2" borderId="23" xfId="0" applyFont="1" applyFill="1" applyBorder="1" applyAlignment="1">
      <alignment horizontal="center"/>
    </xf>
    <xf numFmtId="0" fontId="6" fillId="2" borderId="24" xfId="0" applyFont="1" applyFill="1" applyBorder="1" applyAlignment="1">
      <alignment horizontal="center"/>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1" fontId="9" fillId="3" borderId="27" xfId="1" applyNumberFormat="1" applyFont="1" applyBorder="1" applyAlignment="1">
      <alignment horizontal="center" vertical="center"/>
    </xf>
    <xf numFmtId="1" fontId="9" fillId="3" borderId="28" xfId="1" applyNumberFormat="1" applyFont="1" applyBorder="1" applyAlignment="1">
      <alignment horizontal="center" vertical="center"/>
    </xf>
    <xf numFmtId="0" fontId="7" fillId="0" borderId="13" xfId="0" applyFont="1" applyBorder="1" applyAlignment="1">
      <alignment horizontal="center" vertical="center"/>
    </xf>
    <xf numFmtId="0" fontId="7" fillId="0" borderId="15" xfId="0" applyFont="1" applyBorder="1" applyAlignment="1">
      <alignment horizontal="center" vertical="center"/>
    </xf>
    <xf numFmtId="0" fontId="7" fillId="0" borderId="17" xfId="0" applyFont="1" applyBorder="1" applyAlignment="1">
      <alignment horizontal="center" vertical="center"/>
    </xf>
    <xf numFmtId="0" fontId="7" fillId="0" borderId="12" xfId="0" applyFont="1" applyBorder="1" applyAlignment="1">
      <alignment horizontal="center" vertical="center"/>
    </xf>
    <xf numFmtId="0" fontId="11" fillId="4" borderId="25" xfId="2" applyFont="1" applyBorder="1" applyAlignment="1">
      <alignment horizontal="center" vertical="center"/>
    </xf>
    <xf numFmtId="0" fontId="11" fillId="4" borderId="26" xfId="2" applyFont="1" applyBorder="1" applyAlignment="1">
      <alignment horizontal="center" vertical="center"/>
    </xf>
    <xf numFmtId="0" fontId="0" fillId="0" borderId="14" xfId="0" applyFont="1" applyBorder="1" applyAlignment="1">
      <alignment horizontal="left" vertical="top" wrapText="1"/>
    </xf>
    <xf numFmtId="0" fontId="0" fillId="0" borderId="15" xfId="0" applyFont="1" applyBorder="1" applyAlignment="1">
      <alignment horizontal="left" vertical="top" wrapText="1"/>
    </xf>
    <xf numFmtId="0" fontId="0" fillId="0" borderId="16" xfId="0" applyFont="1" applyBorder="1" applyAlignment="1">
      <alignment horizontal="left" vertical="top" wrapText="1"/>
    </xf>
    <xf numFmtId="0" fontId="0" fillId="0" borderId="0" xfId="0" applyFont="1" applyBorder="1" applyAlignment="1">
      <alignment horizontal="left" vertical="top" wrapText="1"/>
    </xf>
    <xf numFmtId="0" fontId="0" fillId="0" borderId="10" xfId="0" applyFont="1" applyBorder="1" applyAlignment="1">
      <alignment horizontal="left" vertical="top" wrapText="1"/>
    </xf>
    <xf numFmtId="0" fontId="0" fillId="0" borderId="17"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1" fillId="0" borderId="13" xfId="0" applyFont="1" applyBorder="1" applyAlignment="1">
      <alignment horizontal="left" vertical="top" wrapText="1"/>
    </xf>
    <xf numFmtId="0" fontId="1" fillId="0" borderId="14"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0" xfId="0" applyFont="1" applyBorder="1" applyAlignment="1">
      <alignment horizontal="left" vertical="top" wrapText="1"/>
    </xf>
    <xf numFmtId="0" fontId="1" fillId="0" borderId="10" xfId="0" applyFont="1" applyBorder="1" applyAlignment="1">
      <alignment horizontal="left" vertical="top" wrapText="1"/>
    </xf>
    <xf numFmtId="0" fontId="1" fillId="0" borderId="17"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4" fillId="5" borderId="13" xfId="3" applyBorder="1" applyAlignment="1">
      <alignment horizontal="center" vertical="center" wrapText="1"/>
    </xf>
    <xf numFmtId="0" fontId="14" fillId="5" borderId="14" xfId="3" applyBorder="1" applyAlignment="1">
      <alignment horizontal="center" vertical="center" wrapText="1"/>
    </xf>
    <xf numFmtId="0" fontId="14" fillId="5" borderId="17" xfId="3" applyBorder="1" applyAlignment="1">
      <alignment horizontal="center" vertical="center" wrapText="1"/>
    </xf>
    <xf numFmtId="0" fontId="14" fillId="5" borderId="11" xfId="3" applyBorder="1" applyAlignment="1">
      <alignment horizontal="center" vertical="center" wrapText="1"/>
    </xf>
    <xf numFmtId="0" fontId="14" fillId="5" borderId="22" xfId="3" applyBorder="1" applyAlignment="1">
      <alignment horizontal="center"/>
    </xf>
    <xf numFmtId="0" fontId="14" fillId="5" borderId="24" xfId="3" applyBorder="1" applyAlignment="1">
      <alignment horizontal="center"/>
    </xf>
    <xf numFmtId="0" fontId="17" fillId="6" borderId="22" xfId="4" applyFont="1" applyBorder="1" applyAlignment="1">
      <alignment horizontal="left"/>
    </xf>
    <xf numFmtId="0" fontId="17" fillId="6" borderId="23" xfId="4" applyFont="1" applyBorder="1" applyAlignment="1">
      <alignment horizontal="left"/>
    </xf>
    <xf numFmtId="0" fontId="17" fillId="6" borderId="24" xfId="4" applyFont="1" applyBorder="1" applyAlignment="1">
      <alignment horizontal="left"/>
    </xf>
    <xf numFmtId="0" fontId="5" fillId="3" borderId="25" xfId="1" applyBorder="1" applyAlignment="1" applyProtection="1">
      <alignment horizontal="center" vertical="center"/>
      <protection locked="0"/>
    </xf>
    <xf numFmtId="0" fontId="5" fillId="3" borderId="26" xfId="1" applyBorder="1" applyAlignment="1" applyProtection="1">
      <alignment horizontal="center" vertical="center"/>
      <protection locked="0"/>
    </xf>
    <xf numFmtId="0" fontId="16" fillId="0" borderId="13" xfId="0" applyFont="1" applyBorder="1" applyAlignment="1">
      <alignment horizontal="left" vertical="top" wrapText="1"/>
    </xf>
  </cellXfs>
  <cellStyles count="5">
    <cellStyle name="Good" xfId="3" builtinId="26"/>
    <cellStyle name="Input" xfId="1" builtinId="20"/>
    <cellStyle name="Neutral" xfId="2" builtinId="28"/>
    <cellStyle name="Normal" xfId="0" builtinId="0"/>
    <cellStyle name="Output" xfId="4" builtinId="21"/>
  </cellStyles>
  <dxfs count="5">
    <dxf>
      <font>
        <color rgb="FF00B050"/>
      </font>
      <numFmt numFmtId="1" formatCode="0"/>
      <fill>
        <patternFill>
          <bgColor rgb="FF00B050"/>
        </patternFill>
      </fill>
    </dxf>
    <dxf>
      <font>
        <color auto="1"/>
      </font>
      <numFmt numFmtId="1" formatCode="0"/>
      <fill>
        <patternFill>
          <bgColor rgb="FFFF0000"/>
        </patternFill>
      </fill>
    </dxf>
    <dxf>
      <font>
        <color auto="1"/>
      </font>
      <numFmt numFmtId="1" formatCode="0"/>
      <fill>
        <patternFill>
          <bgColor rgb="FF00B050"/>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D6F19474-D61A-4934-9557-D9D530C62AD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TPS Fuel Map</a:t>
            </a:r>
          </a:p>
        </c:rich>
      </c:tx>
      <c:overlay val="0"/>
      <c:spPr>
        <a:noFill/>
        <a:ln>
          <a:noFill/>
        </a:ln>
        <a:effectLst/>
      </c:spPr>
    </c:title>
    <c:autoTitleDeleted val="0"/>
    <c:view3D>
      <c:rotX val="15"/>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'TPS Current'!$B$1</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Current'!$B$2:$B$43</c:f>
              <c:numCache>
                <c:formatCode>General</c:formatCode>
                <c:ptCount val="42"/>
                <c:pt idx="0">
                  <c:v>48</c:v>
                </c:pt>
                <c:pt idx="1">
                  <c:v>48</c:v>
                </c:pt>
                <c:pt idx="2">
                  <c:v>44</c:v>
                </c:pt>
                <c:pt idx="3">
                  <c:v>43</c:v>
                </c:pt>
                <c:pt idx="4">
                  <c:v>43</c:v>
                </c:pt>
                <c:pt idx="5">
                  <c:v>42</c:v>
                </c:pt>
                <c:pt idx="6">
                  <c:v>38</c:v>
                </c:pt>
                <c:pt idx="7">
                  <c:v>36</c:v>
                </c:pt>
                <c:pt idx="8">
                  <c:v>34</c:v>
                </c:pt>
                <c:pt idx="9">
                  <c:v>34</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0-9183-46C4-802A-136FB38CB52D}"/>
            </c:ext>
          </c:extLst>
        </c:ser>
        <c:ser>
          <c:idx val="1"/>
          <c:order val="1"/>
          <c:tx>
            <c:strRef>
              <c:f>'TPS Current'!$C$1</c:f>
              <c:strCache>
                <c:ptCount val="1"/>
                <c:pt idx="0">
                  <c:v>0.6</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Current'!$C$2:$C$43</c:f>
              <c:numCache>
                <c:formatCode>General</c:formatCode>
                <c:ptCount val="42"/>
                <c:pt idx="0">
                  <c:v>49</c:v>
                </c:pt>
                <c:pt idx="1">
                  <c:v>49</c:v>
                </c:pt>
                <c:pt idx="2">
                  <c:v>43</c:v>
                </c:pt>
                <c:pt idx="3">
                  <c:v>41</c:v>
                </c:pt>
                <c:pt idx="4">
                  <c:v>41</c:v>
                </c:pt>
                <c:pt idx="5">
                  <c:v>39</c:v>
                </c:pt>
                <c:pt idx="6">
                  <c:v>38</c:v>
                </c:pt>
                <c:pt idx="7">
                  <c:v>36</c:v>
                </c:pt>
                <c:pt idx="8">
                  <c:v>34</c:v>
                </c:pt>
                <c:pt idx="9">
                  <c:v>34</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1-9183-46C4-802A-136FB38CB52D}"/>
            </c:ext>
          </c:extLst>
        </c:ser>
        <c:ser>
          <c:idx val="2"/>
          <c:order val="2"/>
          <c:tx>
            <c:strRef>
              <c:f>'TPS Current'!$D$1</c:f>
              <c:strCache>
                <c:ptCount val="1"/>
                <c:pt idx="0">
                  <c:v>1.2</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Current'!$D$2:$D$43</c:f>
              <c:numCache>
                <c:formatCode>General</c:formatCode>
                <c:ptCount val="42"/>
                <c:pt idx="0">
                  <c:v>75</c:v>
                </c:pt>
                <c:pt idx="1">
                  <c:v>75</c:v>
                </c:pt>
                <c:pt idx="2">
                  <c:v>67</c:v>
                </c:pt>
                <c:pt idx="3">
                  <c:v>54</c:v>
                </c:pt>
                <c:pt idx="4">
                  <c:v>51</c:v>
                </c:pt>
                <c:pt idx="5">
                  <c:v>46</c:v>
                </c:pt>
                <c:pt idx="6">
                  <c:v>43</c:v>
                </c:pt>
                <c:pt idx="7">
                  <c:v>43</c:v>
                </c:pt>
                <c:pt idx="8">
                  <c:v>42</c:v>
                </c:pt>
                <c:pt idx="9">
                  <c:v>39</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2-9183-46C4-802A-136FB38CB52D}"/>
            </c:ext>
          </c:extLst>
        </c:ser>
        <c:ser>
          <c:idx val="3"/>
          <c:order val="3"/>
          <c:tx>
            <c:strRef>
              <c:f>'TPS Current'!$E$1</c:f>
              <c:strCache>
                <c:ptCount val="1"/>
                <c:pt idx="0">
                  <c:v>1.9</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Current'!$E$2:$E$43</c:f>
              <c:numCache>
                <c:formatCode>General</c:formatCode>
                <c:ptCount val="42"/>
                <c:pt idx="0">
                  <c:v>86</c:v>
                </c:pt>
                <c:pt idx="1">
                  <c:v>86</c:v>
                </c:pt>
                <c:pt idx="2">
                  <c:v>82</c:v>
                </c:pt>
                <c:pt idx="3">
                  <c:v>76</c:v>
                </c:pt>
                <c:pt idx="4">
                  <c:v>66</c:v>
                </c:pt>
                <c:pt idx="5">
                  <c:v>62</c:v>
                </c:pt>
                <c:pt idx="6">
                  <c:v>55</c:v>
                </c:pt>
                <c:pt idx="7">
                  <c:v>49</c:v>
                </c:pt>
                <c:pt idx="8">
                  <c:v>47</c:v>
                </c:pt>
                <c:pt idx="9">
                  <c:v>44</c:v>
                </c:pt>
                <c:pt idx="10">
                  <c:v>42</c:v>
                </c:pt>
                <c:pt idx="11">
                  <c:v>40</c:v>
                </c:pt>
                <c:pt idx="12">
                  <c:v>38</c:v>
                </c:pt>
                <c:pt idx="13">
                  <c:v>36</c:v>
                </c:pt>
                <c:pt idx="14">
                  <c:v>34</c:v>
                </c:pt>
                <c:pt idx="15">
                  <c:v>34</c:v>
                </c:pt>
                <c:pt idx="16">
                  <c:v>34</c:v>
                </c:pt>
                <c:pt idx="17">
                  <c:v>34</c:v>
                </c:pt>
                <c:pt idx="18">
                  <c:v>34</c:v>
                </c:pt>
                <c:pt idx="19">
                  <c:v>32</c:v>
                </c:pt>
                <c:pt idx="20">
                  <c:v>29</c:v>
                </c:pt>
                <c:pt idx="21">
                  <c:v>34</c:v>
                </c:pt>
                <c:pt idx="22">
                  <c:v>34</c:v>
                </c:pt>
                <c:pt idx="23">
                  <c:v>34</c:v>
                </c:pt>
                <c:pt idx="24">
                  <c:v>32</c:v>
                </c:pt>
                <c:pt idx="25">
                  <c:v>29</c:v>
                </c:pt>
                <c:pt idx="26">
                  <c:v>28</c:v>
                </c:pt>
                <c:pt idx="27">
                  <c:v>27</c:v>
                </c:pt>
                <c:pt idx="28">
                  <c:v>27</c:v>
                </c:pt>
                <c:pt idx="29">
                  <c:v>25</c:v>
                </c:pt>
                <c:pt idx="30">
                  <c:v>25</c:v>
                </c:pt>
                <c:pt idx="31">
                  <c:v>25</c:v>
                </c:pt>
                <c:pt idx="32">
                  <c:v>24</c:v>
                </c:pt>
                <c:pt idx="33">
                  <c:v>23</c:v>
                </c:pt>
                <c:pt idx="34">
                  <c:v>23</c:v>
                </c:pt>
                <c:pt idx="35">
                  <c:v>23</c:v>
                </c:pt>
                <c:pt idx="36">
                  <c:v>23</c:v>
                </c:pt>
                <c:pt idx="37">
                  <c:v>23</c:v>
                </c:pt>
                <c:pt idx="38">
                  <c:v>23</c:v>
                </c:pt>
                <c:pt idx="39">
                  <c:v>23</c:v>
                </c:pt>
                <c:pt idx="40">
                  <c:v>23</c:v>
                </c:pt>
                <c:pt idx="41">
                  <c:v>23</c:v>
                </c:pt>
              </c:numCache>
            </c:numRef>
          </c:val>
          <c:extLst>
            <c:ext xmlns:c16="http://schemas.microsoft.com/office/drawing/2014/chart" uri="{C3380CC4-5D6E-409C-BE32-E72D297353CC}">
              <c16:uniqueId val="{00000003-9183-46C4-802A-136FB38CB52D}"/>
            </c:ext>
          </c:extLst>
        </c:ser>
        <c:ser>
          <c:idx val="4"/>
          <c:order val="4"/>
          <c:tx>
            <c:strRef>
              <c:f>'TPS Current'!$F$1</c:f>
              <c:strCache>
                <c:ptCount val="1"/>
                <c:pt idx="0">
                  <c:v>2.5</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Current'!$F$2:$F$43</c:f>
              <c:numCache>
                <c:formatCode>General</c:formatCode>
                <c:ptCount val="42"/>
                <c:pt idx="0">
                  <c:v>97</c:v>
                </c:pt>
                <c:pt idx="1">
                  <c:v>97</c:v>
                </c:pt>
                <c:pt idx="2">
                  <c:v>88</c:v>
                </c:pt>
                <c:pt idx="3">
                  <c:v>83</c:v>
                </c:pt>
                <c:pt idx="4">
                  <c:v>75</c:v>
                </c:pt>
                <c:pt idx="5">
                  <c:v>71</c:v>
                </c:pt>
                <c:pt idx="6">
                  <c:v>67</c:v>
                </c:pt>
                <c:pt idx="7">
                  <c:v>64</c:v>
                </c:pt>
                <c:pt idx="8">
                  <c:v>61</c:v>
                </c:pt>
                <c:pt idx="9">
                  <c:v>57</c:v>
                </c:pt>
                <c:pt idx="10">
                  <c:v>54</c:v>
                </c:pt>
                <c:pt idx="11">
                  <c:v>49</c:v>
                </c:pt>
                <c:pt idx="12">
                  <c:v>45</c:v>
                </c:pt>
                <c:pt idx="13">
                  <c:v>43</c:v>
                </c:pt>
                <c:pt idx="14">
                  <c:v>41</c:v>
                </c:pt>
                <c:pt idx="15">
                  <c:v>40</c:v>
                </c:pt>
                <c:pt idx="16">
                  <c:v>40</c:v>
                </c:pt>
                <c:pt idx="17">
                  <c:v>39</c:v>
                </c:pt>
                <c:pt idx="18">
                  <c:v>37</c:v>
                </c:pt>
                <c:pt idx="19">
                  <c:v>36</c:v>
                </c:pt>
                <c:pt idx="20">
                  <c:v>34</c:v>
                </c:pt>
                <c:pt idx="21">
                  <c:v>34</c:v>
                </c:pt>
                <c:pt idx="22">
                  <c:v>34</c:v>
                </c:pt>
                <c:pt idx="23">
                  <c:v>34</c:v>
                </c:pt>
                <c:pt idx="24">
                  <c:v>32</c:v>
                </c:pt>
                <c:pt idx="25">
                  <c:v>29</c:v>
                </c:pt>
                <c:pt idx="26">
                  <c:v>28</c:v>
                </c:pt>
                <c:pt idx="27">
                  <c:v>27</c:v>
                </c:pt>
                <c:pt idx="28">
                  <c:v>27</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numCache>
            </c:numRef>
          </c:val>
          <c:extLst>
            <c:ext xmlns:c16="http://schemas.microsoft.com/office/drawing/2014/chart" uri="{C3380CC4-5D6E-409C-BE32-E72D297353CC}">
              <c16:uniqueId val="{00000004-9183-46C4-802A-136FB38CB52D}"/>
            </c:ext>
          </c:extLst>
        </c:ser>
        <c:ser>
          <c:idx val="5"/>
          <c:order val="5"/>
          <c:tx>
            <c:strRef>
              <c:f>'TPS Current'!$G$1</c:f>
              <c:strCache>
                <c:ptCount val="1"/>
                <c:pt idx="0">
                  <c:v>3.1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Current'!$G$2:$G$43</c:f>
              <c:numCache>
                <c:formatCode>General</c:formatCode>
                <c:ptCount val="42"/>
                <c:pt idx="0">
                  <c:v>101</c:v>
                </c:pt>
                <c:pt idx="1">
                  <c:v>101</c:v>
                </c:pt>
                <c:pt idx="2">
                  <c:v>94</c:v>
                </c:pt>
                <c:pt idx="3">
                  <c:v>88</c:v>
                </c:pt>
                <c:pt idx="4">
                  <c:v>84</c:v>
                </c:pt>
                <c:pt idx="5">
                  <c:v>80</c:v>
                </c:pt>
                <c:pt idx="6">
                  <c:v>78</c:v>
                </c:pt>
                <c:pt idx="7">
                  <c:v>72</c:v>
                </c:pt>
                <c:pt idx="8">
                  <c:v>68</c:v>
                </c:pt>
                <c:pt idx="9">
                  <c:v>63</c:v>
                </c:pt>
                <c:pt idx="10">
                  <c:v>58</c:v>
                </c:pt>
                <c:pt idx="11">
                  <c:v>55</c:v>
                </c:pt>
                <c:pt idx="12">
                  <c:v>52</c:v>
                </c:pt>
                <c:pt idx="13">
                  <c:v>49</c:v>
                </c:pt>
                <c:pt idx="14">
                  <c:v>48</c:v>
                </c:pt>
                <c:pt idx="15">
                  <c:v>48</c:v>
                </c:pt>
                <c:pt idx="16">
                  <c:v>48</c:v>
                </c:pt>
                <c:pt idx="17">
                  <c:v>47</c:v>
                </c:pt>
                <c:pt idx="18">
                  <c:v>44</c:v>
                </c:pt>
                <c:pt idx="19">
                  <c:v>43</c:v>
                </c:pt>
                <c:pt idx="20">
                  <c:v>40</c:v>
                </c:pt>
                <c:pt idx="21">
                  <c:v>38</c:v>
                </c:pt>
                <c:pt idx="22">
                  <c:v>36</c:v>
                </c:pt>
                <c:pt idx="23">
                  <c:v>34</c:v>
                </c:pt>
                <c:pt idx="24">
                  <c:v>30</c:v>
                </c:pt>
                <c:pt idx="25">
                  <c:v>34</c:v>
                </c:pt>
                <c:pt idx="26">
                  <c:v>34</c:v>
                </c:pt>
                <c:pt idx="27">
                  <c:v>32</c:v>
                </c:pt>
                <c:pt idx="28">
                  <c:v>29</c:v>
                </c:pt>
                <c:pt idx="29">
                  <c:v>29</c:v>
                </c:pt>
                <c:pt idx="30">
                  <c:v>29</c:v>
                </c:pt>
                <c:pt idx="31">
                  <c:v>29</c:v>
                </c:pt>
                <c:pt idx="32">
                  <c:v>29</c:v>
                </c:pt>
                <c:pt idx="33">
                  <c:v>29</c:v>
                </c:pt>
                <c:pt idx="34">
                  <c:v>28</c:v>
                </c:pt>
                <c:pt idx="35">
                  <c:v>28</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5-9183-46C4-802A-136FB38CB52D}"/>
            </c:ext>
          </c:extLst>
        </c:ser>
        <c:ser>
          <c:idx val="6"/>
          <c:order val="6"/>
          <c:tx>
            <c:strRef>
              <c:f>'TPS Current'!$H$1</c:f>
              <c:strCache>
                <c:ptCount val="1"/>
                <c:pt idx="0">
                  <c:v>3.7</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Current'!$H$2:$H$43</c:f>
              <c:numCache>
                <c:formatCode>General</c:formatCode>
                <c:ptCount val="42"/>
                <c:pt idx="0">
                  <c:v>109</c:v>
                </c:pt>
                <c:pt idx="1">
                  <c:v>109</c:v>
                </c:pt>
                <c:pt idx="2">
                  <c:v>99</c:v>
                </c:pt>
                <c:pt idx="3">
                  <c:v>91</c:v>
                </c:pt>
                <c:pt idx="4">
                  <c:v>88</c:v>
                </c:pt>
                <c:pt idx="5">
                  <c:v>86</c:v>
                </c:pt>
                <c:pt idx="6">
                  <c:v>85</c:v>
                </c:pt>
                <c:pt idx="7">
                  <c:v>79</c:v>
                </c:pt>
                <c:pt idx="8">
                  <c:v>74</c:v>
                </c:pt>
                <c:pt idx="9">
                  <c:v>69</c:v>
                </c:pt>
                <c:pt idx="10">
                  <c:v>66</c:v>
                </c:pt>
                <c:pt idx="11">
                  <c:v>64</c:v>
                </c:pt>
                <c:pt idx="12">
                  <c:v>63</c:v>
                </c:pt>
                <c:pt idx="13">
                  <c:v>61</c:v>
                </c:pt>
                <c:pt idx="14">
                  <c:v>57</c:v>
                </c:pt>
                <c:pt idx="15">
                  <c:v>57</c:v>
                </c:pt>
                <c:pt idx="16">
                  <c:v>57</c:v>
                </c:pt>
                <c:pt idx="17">
                  <c:v>55</c:v>
                </c:pt>
                <c:pt idx="18">
                  <c:v>55</c:v>
                </c:pt>
                <c:pt idx="19">
                  <c:v>51</c:v>
                </c:pt>
                <c:pt idx="20">
                  <c:v>49</c:v>
                </c:pt>
                <c:pt idx="21">
                  <c:v>45</c:v>
                </c:pt>
                <c:pt idx="22">
                  <c:v>41</c:v>
                </c:pt>
                <c:pt idx="23">
                  <c:v>39</c:v>
                </c:pt>
                <c:pt idx="24">
                  <c:v>37</c:v>
                </c:pt>
                <c:pt idx="25">
                  <c:v>36</c:v>
                </c:pt>
                <c:pt idx="26">
                  <c:v>34</c:v>
                </c:pt>
                <c:pt idx="27">
                  <c:v>34</c:v>
                </c:pt>
                <c:pt idx="28">
                  <c:v>32</c:v>
                </c:pt>
                <c:pt idx="29">
                  <c:v>32</c:v>
                </c:pt>
                <c:pt idx="30">
                  <c:v>32</c:v>
                </c:pt>
                <c:pt idx="31">
                  <c:v>32</c:v>
                </c:pt>
                <c:pt idx="32">
                  <c:v>32</c:v>
                </c:pt>
                <c:pt idx="33">
                  <c:v>32</c:v>
                </c:pt>
                <c:pt idx="34">
                  <c:v>29</c:v>
                </c:pt>
                <c:pt idx="35">
                  <c:v>29</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6-9183-46C4-802A-136FB38CB52D}"/>
            </c:ext>
          </c:extLst>
        </c:ser>
        <c:ser>
          <c:idx val="7"/>
          <c:order val="7"/>
          <c:tx>
            <c:strRef>
              <c:f>'TPS Current'!$I$1</c:f>
              <c:strCache>
                <c:ptCount val="1"/>
                <c:pt idx="0">
                  <c:v>4.4</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Current'!$I$2:$I$43</c:f>
              <c:numCache>
                <c:formatCode>General</c:formatCode>
                <c:ptCount val="42"/>
                <c:pt idx="0">
                  <c:v>112</c:v>
                </c:pt>
                <c:pt idx="1">
                  <c:v>112</c:v>
                </c:pt>
                <c:pt idx="2">
                  <c:v>102</c:v>
                </c:pt>
                <c:pt idx="3">
                  <c:v>96</c:v>
                </c:pt>
                <c:pt idx="4">
                  <c:v>90</c:v>
                </c:pt>
                <c:pt idx="5">
                  <c:v>89</c:v>
                </c:pt>
                <c:pt idx="6">
                  <c:v>88</c:v>
                </c:pt>
                <c:pt idx="7">
                  <c:v>83</c:v>
                </c:pt>
                <c:pt idx="8">
                  <c:v>76</c:v>
                </c:pt>
                <c:pt idx="9">
                  <c:v>74</c:v>
                </c:pt>
                <c:pt idx="10">
                  <c:v>71</c:v>
                </c:pt>
                <c:pt idx="11">
                  <c:v>69</c:v>
                </c:pt>
                <c:pt idx="12">
                  <c:v>67</c:v>
                </c:pt>
                <c:pt idx="13">
                  <c:v>66</c:v>
                </c:pt>
                <c:pt idx="14">
                  <c:v>64</c:v>
                </c:pt>
                <c:pt idx="15">
                  <c:v>63</c:v>
                </c:pt>
                <c:pt idx="16">
                  <c:v>62</c:v>
                </c:pt>
                <c:pt idx="17">
                  <c:v>61</c:v>
                </c:pt>
                <c:pt idx="18">
                  <c:v>62</c:v>
                </c:pt>
                <c:pt idx="19">
                  <c:v>60</c:v>
                </c:pt>
                <c:pt idx="20">
                  <c:v>54</c:v>
                </c:pt>
                <c:pt idx="21">
                  <c:v>50</c:v>
                </c:pt>
                <c:pt idx="22">
                  <c:v>46</c:v>
                </c:pt>
                <c:pt idx="23">
                  <c:v>44</c:v>
                </c:pt>
                <c:pt idx="24">
                  <c:v>42</c:v>
                </c:pt>
                <c:pt idx="25">
                  <c:v>39</c:v>
                </c:pt>
                <c:pt idx="26">
                  <c:v>36</c:v>
                </c:pt>
                <c:pt idx="27">
                  <c:v>34</c:v>
                </c:pt>
                <c:pt idx="28">
                  <c:v>32</c:v>
                </c:pt>
                <c:pt idx="29">
                  <c:v>32</c:v>
                </c:pt>
                <c:pt idx="30">
                  <c:v>32</c:v>
                </c:pt>
                <c:pt idx="31">
                  <c:v>32</c:v>
                </c:pt>
                <c:pt idx="32">
                  <c:v>32</c:v>
                </c:pt>
                <c:pt idx="33">
                  <c:v>32</c:v>
                </c:pt>
                <c:pt idx="34">
                  <c:v>29</c:v>
                </c:pt>
                <c:pt idx="35">
                  <c:v>29</c:v>
                </c:pt>
                <c:pt idx="36">
                  <c:v>29</c:v>
                </c:pt>
                <c:pt idx="37">
                  <c:v>29</c:v>
                </c:pt>
                <c:pt idx="38">
                  <c:v>29</c:v>
                </c:pt>
                <c:pt idx="39">
                  <c:v>29</c:v>
                </c:pt>
                <c:pt idx="40">
                  <c:v>29</c:v>
                </c:pt>
                <c:pt idx="41">
                  <c:v>29</c:v>
                </c:pt>
              </c:numCache>
            </c:numRef>
          </c:val>
          <c:extLst>
            <c:ext xmlns:c16="http://schemas.microsoft.com/office/drawing/2014/chart" uri="{C3380CC4-5D6E-409C-BE32-E72D297353CC}">
              <c16:uniqueId val="{00000007-9183-46C4-802A-136FB38CB52D}"/>
            </c:ext>
          </c:extLst>
        </c:ser>
        <c:ser>
          <c:idx val="8"/>
          <c:order val="8"/>
          <c:tx>
            <c:strRef>
              <c:f>'TPS Current'!$J$1</c:f>
              <c:strCache>
                <c:ptCount val="1"/>
                <c:pt idx="0">
                  <c:v>5.6</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Current'!$J$2:$J$43</c:f>
              <c:numCache>
                <c:formatCode>General</c:formatCode>
                <c:ptCount val="42"/>
                <c:pt idx="0">
                  <c:v>123</c:v>
                </c:pt>
                <c:pt idx="1">
                  <c:v>123</c:v>
                </c:pt>
                <c:pt idx="2">
                  <c:v>112</c:v>
                </c:pt>
                <c:pt idx="3">
                  <c:v>103</c:v>
                </c:pt>
                <c:pt idx="4">
                  <c:v>97</c:v>
                </c:pt>
                <c:pt idx="5">
                  <c:v>96</c:v>
                </c:pt>
                <c:pt idx="6">
                  <c:v>96</c:v>
                </c:pt>
                <c:pt idx="7">
                  <c:v>91</c:v>
                </c:pt>
                <c:pt idx="8">
                  <c:v>86</c:v>
                </c:pt>
                <c:pt idx="9">
                  <c:v>82</c:v>
                </c:pt>
                <c:pt idx="10">
                  <c:v>79</c:v>
                </c:pt>
                <c:pt idx="11">
                  <c:v>78</c:v>
                </c:pt>
                <c:pt idx="12">
                  <c:v>78</c:v>
                </c:pt>
                <c:pt idx="13">
                  <c:v>76</c:v>
                </c:pt>
                <c:pt idx="14">
                  <c:v>75</c:v>
                </c:pt>
                <c:pt idx="15">
                  <c:v>75</c:v>
                </c:pt>
                <c:pt idx="16">
                  <c:v>78</c:v>
                </c:pt>
                <c:pt idx="17">
                  <c:v>76</c:v>
                </c:pt>
                <c:pt idx="18">
                  <c:v>76</c:v>
                </c:pt>
                <c:pt idx="19">
                  <c:v>71</c:v>
                </c:pt>
                <c:pt idx="20">
                  <c:v>66</c:v>
                </c:pt>
                <c:pt idx="21">
                  <c:v>62</c:v>
                </c:pt>
                <c:pt idx="22">
                  <c:v>60</c:v>
                </c:pt>
                <c:pt idx="23">
                  <c:v>54</c:v>
                </c:pt>
                <c:pt idx="24">
                  <c:v>50</c:v>
                </c:pt>
                <c:pt idx="25">
                  <c:v>43</c:v>
                </c:pt>
                <c:pt idx="26">
                  <c:v>39</c:v>
                </c:pt>
                <c:pt idx="27">
                  <c:v>36</c:v>
                </c:pt>
                <c:pt idx="28">
                  <c:v>36</c:v>
                </c:pt>
                <c:pt idx="29">
                  <c:v>34</c:v>
                </c:pt>
                <c:pt idx="30">
                  <c:v>34</c:v>
                </c:pt>
                <c:pt idx="31">
                  <c:v>34</c:v>
                </c:pt>
                <c:pt idx="32">
                  <c:v>34</c:v>
                </c:pt>
                <c:pt idx="33">
                  <c:v>32</c:v>
                </c:pt>
                <c:pt idx="34">
                  <c:v>32</c:v>
                </c:pt>
                <c:pt idx="35">
                  <c:v>32</c:v>
                </c:pt>
                <c:pt idx="36">
                  <c:v>29</c:v>
                </c:pt>
                <c:pt idx="37">
                  <c:v>29</c:v>
                </c:pt>
                <c:pt idx="38">
                  <c:v>29</c:v>
                </c:pt>
                <c:pt idx="39">
                  <c:v>29</c:v>
                </c:pt>
                <c:pt idx="40">
                  <c:v>29</c:v>
                </c:pt>
                <c:pt idx="41">
                  <c:v>29</c:v>
                </c:pt>
              </c:numCache>
            </c:numRef>
          </c:val>
          <c:extLst>
            <c:ext xmlns:c16="http://schemas.microsoft.com/office/drawing/2014/chart" uri="{C3380CC4-5D6E-409C-BE32-E72D297353CC}">
              <c16:uniqueId val="{00000008-9183-46C4-802A-136FB38CB52D}"/>
            </c:ext>
          </c:extLst>
        </c:ser>
        <c:ser>
          <c:idx val="9"/>
          <c:order val="9"/>
          <c:tx>
            <c:strRef>
              <c:f>'TPS Current'!$K$1</c:f>
              <c:strCache>
                <c:ptCount val="1"/>
                <c:pt idx="0">
                  <c:v>6.8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Current'!$K$2:$K$43</c:f>
              <c:numCache>
                <c:formatCode>General</c:formatCode>
                <c:ptCount val="42"/>
                <c:pt idx="0">
                  <c:v>132</c:v>
                </c:pt>
                <c:pt idx="1">
                  <c:v>132</c:v>
                </c:pt>
                <c:pt idx="2">
                  <c:v>118</c:v>
                </c:pt>
                <c:pt idx="3">
                  <c:v>109</c:v>
                </c:pt>
                <c:pt idx="4">
                  <c:v>104</c:v>
                </c:pt>
                <c:pt idx="5">
                  <c:v>102</c:v>
                </c:pt>
                <c:pt idx="6">
                  <c:v>101</c:v>
                </c:pt>
                <c:pt idx="7">
                  <c:v>96</c:v>
                </c:pt>
                <c:pt idx="8">
                  <c:v>91</c:v>
                </c:pt>
                <c:pt idx="9">
                  <c:v>86</c:v>
                </c:pt>
                <c:pt idx="10">
                  <c:v>84</c:v>
                </c:pt>
                <c:pt idx="11">
                  <c:v>84</c:v>
                </c:pt>
                <c:pt idx="12">
                  <c:v>84</c:v>
                </c:pt>
                <c:pt idx="13">
                  <c:v>84</c:v>
                </c:pt>
                <c:pt idx="14">
                  <c:v>85</c:v>
                </c:pt>
                <c:pt idx="15">
                  <c:v>86</c:v>
                </c:pt>
                <c:pt idx="16">
                  <c:v>88</c:v>
                </c:pt>
                <c:pt idx="17">
                  <c:v>88</c:v>
                </c:pt>
                <c:pt idx="18">
                  <c:v>87</c:v>
                </c:pt>
                <c:pt idx="19">
                  <c:v>83</c:v>
                </c:pt>
                <c:pt idx="20">
                  <c:v>76</c:v>
                </c:pt>
                <c:pt idx="21">
                  <c:v>71</c:v>
                </c:pt>
                <c:pt idx="22">
                  <c:v>68</c:v>
                </c:pt>
                <c:pt idx="23">
                  <c:v>65</c:v>
                </c:pt>
                <c:pt idx="24">
                  <c:v>61</c:v>
                </c:pt>
                <c:pt idx="25">
                  <c:v>48</c:v>
                </c:pt>
                <c:pt idx="26">
                  <c:v>45</c:v>
                </c:pt>
                <c:pt idx="27">
                  <c:v>42</c:v>
                </c:pt>
                <c:pt idx="28">
                  <c:v>40</c:v>
                </c:pt>
                <c:pt idx="29">
                  <c:v>39</c:v>
                </c:pt>
                <c:pt idx="30">
                  <c:v>39</c:v>
                </c:pt>
                <c:pt idx="31">
                  <c:v>38</c:v>
                </c:pt>
                <c:pt idx="32">
                  <c:v>38</c:v>
                </c:pt>
                <c:pt idx="33">
                  <c:v>36</c:v>
                </c:pt>
                <c:pt idx="34">
                  <c:v>36</c:v>
                </c:pt>
                <c:pt idx="35">
                  <c:v>34</c:v>
                </c:pt>
                <c:pt idx="36">
                  <c:v>32</c:v>
                </c:pt>
                <c:pt idx="37">
                  <c:v>32</c:v>
                </c:pt>
                <c:pt idx="38">
                  <c:v>29</c:v>
                </c:pt>
                <c:pt idx="39">
                  <c:v>29</c:v>
                </c:pt>
                <c:pt idx="40">
                  <c:v>29</c:v>
                </c:pt>
                <c:pt idx="41">
                  <c:v>29</c:v>
                </c:pt>
              </c:numCache>
            </c:numRef>
          </c:val>
          <c:extLst>
            <c:ext xmlns:c16="http://schemas.microsoft.com/office/drawing/2014/chart" uri="{C3380CC4-5D6E-409C-BE32-E72D297353CC}">
              <c16:uniqueId val="{00000009-9183-46C4-802A-136FB38CB52D}"/>
            </c:ext>
          </c:extLst>
        </c:ser>
        <c:ser>
          <c:idx val="10"/>
          <c:order val="10"/>
          <c:tx>
            <c:strRef>
              <c:f>'TPS Current'!$L$1</c:f>
              <c:strCache>
                <c:ptCount val="1"/>
                <c:pt idx="0">
                  <c:v>8.1</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Current'!$L$2:$L$43</c:f>
              <c:numCache>
                <c:formatCode>General</c:formatCode>
                <c:ptCount val="42"/>
                <c:pt idx="0">
                  <c:v>135</c:v>
                </c:pt>
                <c:pt idx="1">
                  <c:v>135</c:v>
                </c:pt>
                <c:pt idx="2">
                  <c:v>125</c:v>
                </c:pt>
                <c:pt idx="3">
                  <c:v>118</c:v>
                </c:pt>
                <c:pt idx="4">
                  <c:v>109</c:v>
                </c:pt>
                <c:pt idx="5">
                  <c:v>108</c:v>
                </c:pt>
                <c:pt idx="6">
                  <c:v>107</c:v>
                </c:pt>
                <c:pt idx="7">
                  <c:v>102</c:v>
                </c:pt>
                <c:pt idx="8">
                  <c:v>96</c:v>
                </c:pt>
                <c:pt idx="9">
                  <c:v>92</c:v>
                </c:pt>
                <c:pt idx="10">
                  <c:v>90</c:v>
                </c:pt>
                <c:pt idx="11">
                  <c:v>90</c:v>
                </c:pt>
                <c:pt idx="12">
                  <c:v>89</c:v>
                </c:pt>
                <c:pt idx="13">
                  <c:v>89</c:v>
                </c:pt>
                <c:pt idx="14">
                  <c:v>90</c:v>
                </c:pt>
                <c:pt idx="15">
                  <c:v>91</c:v>
                </c:pt>
                <c:pt idx="16">
                  <c:v>93</c:v>
                </c:pt>
                <c:pt idx="17">
                  <c:v>93</c:v>
                </c:pt>
                <c:pt idx="18">
                  <c:v>93</c:v>
                </c:pt>
                <c:pt idx="19">
                  <c:v>89</c:v>
                </c:pt>
                <c:pt idx="20">
                  <c:v>85</c:v>
                </c:pt>
                <c:pt idx="21">
                  <c:v>79</c:v>
                </c:pt>
                <c:pt idx="22">
                  <c:v>75</c:v>
                </c:pt>
                <c:pt idx="23">
                  <c:v>71</c:v>
                </c:pt>
                <c:pt idx="24">
                  <c:v>68</c:v>
                </c:pt>
                <c:pt idx="25">
                  <c:v>60</c:v>
                </c:pt>
                <c:pt idx="26">
                  <c:v>52</c:v>
                </c:pt>
                <c:pt idx="27">
                  <c:v>48</c:v>
                </c:pt>
                <c:pt idx="28">
                  <c:v>47</c:v>
                </c:pt>
                <c:pt idx="29">
                  <c:v>46</c:v>
                </c:pt>
                <c:pt idx="30">
                  <c:v>46</c:v>
                </c:pt>
                <c:pt idx="31">
                  <c:v>44</c:v>
                </c:pt>
                <c:pt idx="32">
                  <c:v>43</c:v>
                </c:pt>
                <c:pt idx="33">
                  <c:v>42</c:v>
                </c:pt>
                <c:pt idx="34">
                  <c:v>42</c:v>
                </c:pt>
                <c:pt idx="35">
                  <c:v>40</c:v>
                </c:pt>
                <c:pt idx="36">
                  <c:v>39</c:v>
                </c:pt>
                <c:pt idx="37">
                  <c:v>38</c:v>
                </c:pt>
                <c:pt idx="38">
                  <c:v>36</c:v>
                </c:pt>
                <c:pt idx="39">
                  <c:v>36</c:v>
                </c:pt>
                <c:pt idx="40">
                  <c:v>36</c:v>
                </c:pt>
                <c:pt idx="41">
                  <c:v>36</c:v>
                </c:pt>
              </c:numCache>
            </c:numRef>
          </c:val>
          <c:extLst>
            <c:ext xmlns:c16="http://schemas.microsoft.com/office/drawing/2014/chart" uri="{C3380CC4-5D6E-409C-BE32-E72D297353CC}">
              <c16:uniqueId val="{0000000A-9183-46C4-802A-136FB38CB52D}"/>
            </c:ext>
          </c:extLst>
        </c:ser>
        <c:ser>
          <c:idx val="11"/>
          <c:order val="11"/>
          <c:tx>
            <c:strRef>
              <c:f>'TPS Current'!$M$1</c:f>
              <c:strCache>
                <c:ptCount val="1"/>
                <c:pt idx="0">
                  <c:v>9.3</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Current'!$M$2:$M$43</c:f>
              <c:numCache>
                <c:formatCode>General</c:formatCode>
                <c:ptCount val="42"/>
                <c:pt idx="0">
                  <c:v>142</c:v>
                </c:pt>
                <c:pt idx="1">
                  <c:v>142</c:v>
                </c:pt>
                <c:pt idx="2">
                  <c:v>132</c:v>
                </c:pt>
                <c:pt idx="3">
                  <c:v>122</c:v>
                </c:pt>
                <c:pt idx="4">
                  <c:v>114</c:v>
                </c:pt>
                <c:pt idx="5">
                  <c:v>113</c:v>
                </c:pt>
                <c:pt idx="6">
                  <c:v>112</c:v>
                </c:pt>
                <c:pt idx="7">
                  <c:v>107</c:v>
                </c:pt>
                <c:pt idx="8">
                  <c:v>101</c:v>
                </c:pt>
                <c:pt idx="9">
                  <c:v>97</c:v>
                </c:pt>
                <c:pt idx="10">
                  <c:v>96</c:v>
                </c:pt>
                <c:pt idx="11">
                  <c:v>96</c:v>
                </c:pt>
                <c:pt idx="12">
                  <c:v>94</c:v>
                </c:pt>
                <c:pt idx="13">
                  <c:v>96</c:v>
                </c:pt>
                <c:pt idx="14">
                  <c:v>96</c:v>
                </c:pt>
                <c:pt idx="15">
                  <c:v>97</c:v>
                </c:pt>
                <c:pt idx="16">
                  <c:v>97</c:v>
                </c:pt>
                <c:pt idx="17">
                  <c:v>98</c:v>
                </c:pt>
                <c:pt idx="18">
                  <c:v>98</c:v>
                </c:pt>
                <c:pt idx="19">
                  <c:v>93</c:v>
                </c:pt>
                <c:pt idx="20">
                  <c:v>88</c:v>
                </c:pt>
                <c:pt idx="21">
                  <c:v>84</c:v>
                </c:pt>
                <c:pt idx="22">
                  <c:v>82</c:v>
                </c:pt>
                <c:pt idx="23">
                  <c:v>79</c:v>
                </c:pt>
                <c:pt idx="24">
                  <c:v>76</c:v>
                </c:pt>
                <c:pt idx="25">
                  <c:v>67</c:v>
                </c:pt>
                <c:pt idx="26">
                  <c:v>63</c:v>
                </c:pt>
                <c:pt idx="27">
                  <c:v>61</c:v>
                </c:pt>
                <c:pt idx="28">
                  <c:v>57</c:v>
                </c:pt>
                <c:pt idx="29">
                  <c:v>55</c:v>
                </c:pt>
                <c:pt idx="30">
                  <c:v>55</c:v>
                </c:pt>
                <c:pt idx="31">
                  <c:v>51</c:v>
                </c:pt>
                <c:pt idx="32">
                  <c:v>51</c:v>
                </c:pt>
                <c:pt idx="33">
                  <c:v>50</c:v>
                </c:pt>
                <c:pt idx="34">
                  <c:v>48</c:v>
                </c:pt>
                <c:pt idx="35">
                  <c:v>47</c:v>
                </c:pt>
                <c:pt idx="36">
                  <c:v>46</c:v>
                </c:pt>
                <c:pt idx="37">
                  <c:v>44</c:v>
                </c:pt>
                <c:pt idx="38">
                  <c:v>43</c:v>
                </c:pt>
                <c:pt idx="39">
                  <c:v>42</c:v>
                </c:pt>
                <c:pt idx="40">
                  <c:v>42</c:v>
                </c:pt>
                <c:pt idx="41">
                  <c:v>42</c:v>
                </c:pt>
              </c:numCache>
            </c:numRef>
          </c:val>
          <c:extLst>
            <c:ext xmlns:c16="http://schemas.microsoft.com/office/drawing/2014/chart" uri="{C3380CC4-5D6E-409C-BE32-E72D297353CC}">
              <c16:uniqueId val="{0000000B-9183-46C4-802A-136FB38CB52D}"/>
            </c:ext>
          </c:extLst>
        </c:ser>
        <c:ser>
          <c:idx val="12"/>
          <c:order val="12"/>
          <c:tx>
            <c:strRef>
              <c:f>'TPS Current'!$N$1</c:f>
              <c:strCache>
                <c:ptCount val="1"/>
                <c:pt idx="0">
                  <c:v>10.6</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Current'!$N$2:$N$43</c:f>
              <c:numCache>
                <c:formatCode>General</c:formatCode>
                <c:ptCount val="42"/>
                <c:pt idx="0">
                  <c:v>142</c:v>
                </c:pt>
                <c:pt idx="1">
                  <c:v>142</c:v>
                </c:pt>
                <c:pt idx="2">
                  <c:v>138</c:v>
                </c:pt>
                <c:pt idx="3">
                  <c:v>128</c:v>
                </c:pt>
                <c:pt idx="4">
                  <c:v>122</c:v>
                </c:pt>
                <c:pt idx="5">
                  <c:v>120</c:v>
                </c:pt>
                <c:pt idx="6">
                  <c:v>119</c:v>
                </c:pt>
                <c:pt idx="7">
                  <c:v>113</c:v>
                </c:pt>
                <c:pt idx="8">
                  <c:v>104</c:v>
                </c:pt>
                <c:pt idx="9">
                  <c:v>102</c:v>
                </c:pt>
                <c:pt idx="10">
                  <c:v>99</c:v>
                </c:pt>
                <c:pt idx="11">
                  <c:v>101</c:v>
                </c:pt>
                <c:pt idx="12">
                  <c:v>102</c:v>
                </c:pt>
                <c:pt idx="13">
                  <c:v>102</c:v>
                </c:pt>
                <c:pt idx="14">
                  <c:v>103</c:v>
                </c:pt>
                <c:pt idx="15">
                  <c:v>102</c:v>
                </c:pt>
                <c:pt idx="16">
                  <c:v>102</c:v>
                </c:pt>
                <c:pt idx="17">
                  <c:v>103</c:v>
                </c:pt>
                <c:pt idx="18">
                  <c:v>102</c:v>
                </c:pt>
                <c:pt idx="19">
                  <c:v>98</c:v>
                </c:pt>
                <c:pt idx="20">
                  <c:v>92</c:v>
                </c:pt>
                <c:pt idx="21">
                  <c:v>87</c:v>
                </c:pt>
                <c:pt idx="22">
                  <c:v>85</c:v>
                </c:pt>
                <c:pt idx="23">
                  <c:v>83</c:v>
                </c:pt>
                <c:pt idx="24">
                  <c:v>79</c:v>
                </c:pt>
                <c:pt idx="25">
                  <c:v>74</c:v>
                </c:pt>
                <c:pt idx="26">
                  <c:v>71</c:v>
                </c:pt>
                <c:pt idx="27">
                  <c:v>70</c:v>
                </c:pt>
                <c:pt idx="28">
                  <c:v>69</c:v>
                </c:pt>
                <c:pt idx="29">
                  <c:v>66</c:v>
                </c:pt>
                <c:pt idx="30">
                  <c:v>65</c:v>
                </c:pt>
                <c:pt idx="31">
                  <c:v>63</c:v>
                </c:pt>
                <c:pt idx="32">
                  <c:v>62</c:v>
                </c:pt>
                <c:pt idx="33">
                  <c:v>62</c:v>
                </c:pt>
                <c:pt idx="34">
                  <c:v>61</c:v>
                </c:pt>
                <c:pt idx="35">
                  <c:v>61</c:v>
                </c:pt>
                <c:pt idx="36">
                  <c:v>57</c:v>
                </c:pt>
                <c:pt idx="37">
                  <c:v>52</c:v>
                </c:pt>
                <c:pt idx="38">
                  <c:v>50</c:v>
                </c:pt>
                <c:pt idx="39">
                  <c:v>48</c:v>
                </c:pt>
                <c:pt idx="40">
                  <c:v>48</c:v>
                </c:pt>
                <c:pt idx="41">
                  <c:v>48</c:v>
                </c:pt>
              </c:numCache>
            </c:numRef>
          </c:val>
          <c:extLst>
            <c:ext xmlns:c16="http://schemas.microsoft.com/office/drawing/2014/chart" uri="{C3380CC4-5D6E-409C-BE32-E72D297353CC}">
              <c16:uniqueId val="{0000000C-9183-46C4-802A-136FB38CB52D}"/>
            </c:ext>
          </c:extLst>
        </c:ser>
        <c:ser>
          <c:idx val="13"/>
          <c:order val="13"/>
          <c:tx>
            <c:strRef>
              <c:f>'TPS Current'!$O$1</c:f>
              <c:strCache>
                <c:ptCount val="1"/>
                <c:pt idx="0">
                  <c:v>15.5</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Current'!$O$2:$O$43</c:f>
              <c:numCache>
                <c:formatCode>General</c:formatCode>
                <c:ptCount val="42"/>
                <c:pt idx="0">
                  <c:v>145</c:v>
                </c:pt>
                <c:pt idx="1">
                  <c:v>145</c:v>
                </c:pt>
                <c:pt idx="2">
                  <c:v>147</c:v>
                </c:pt>
                <c:pt idx="3">
                  <c:v>141</c:v>
                </c:pt>
                <c:pt idx="4">
                  <c:v>141</c:v>
                </c:pt>
                <c:pt idx="5">
                  <c:v>140</c:v>
                </c:pt>
                <c:pt idx="6">
                  <c:v>140</c:v>
                </c:pt>
                <c:pt idx="7">
                  <c:v>129</c:v>
                </c:pt>
                <c:pt idx="8">
                  <c:v>119</c:v>
                </c:pt>
                <c:pt idx="9">
                  <c:v>114</c:v>
                </c:pt>
                <c:pt idx="10">
                  <c:v>113</c:v>
                </c:pt>
                <c:pt idx="11">
                  <c:v>118</c:v>
                </c:pt>
                <c:pt idx="12">
                  <c:v>123</c:v>
                </c:pt>
                <c:pt idx="13">
                  <c:v>122</c:v>
                </c:pt>
                <c:pt idx="14">
                  <c:v>120</c:v>
                </c:pt>
                <c:pt idx="15">
                  <c:v>118</c:v>
                </c:pt>
                <c:pt idx="16">
                  <c:v>117</c:v>
                </c:pt>
                <c:pt idx="17">
                  <c:v>116</c:v>
                </c:pt>
                <c:pt idx="18">
                  <c:v>114</c:v>
                </c:pt>
                <c:pt idx="19">
                  <c:v>110</c:v>
                </c:pt>
                <c:pt idx="20">
                  <c:v>104</c:v>
                </c:pt>
                <c:pt idx="21">
                  <c:v>98</c:v>
                </c:pt>
                <c:pt idx="22">
                  <c:v>93</c:v>
                </c:pt>
                <c:pt idx="23">
                  <c:v>92</c:v>
                </c:pt>
                <c:pt idx="24">
                  <c:v>91</c:v>
                </c:pt>
                <c:pt idx="25">
                  <c:v>88</c:v>
                </c:pt>
                <c:pt idx="26">
                  <c:v>86</c:v>
                </c:pt>
                <c:pt idx="27">
                  <c:v>84</c:v>
                </c:pt>
                <c:pt idx="28">
                  <c:v>80</c:v>
                </c:pt>
                <c:pt idx="29">
                  <c:v>79</c:v>
                </c:pt>
                <c:pt idx="30">
                  <c:v>79</c:v>
                </c:pt>
                <c:pt idx="31">
                  <c:v>79</c:v>
                </c:pt>
                <c:pt idx="32">
                  <c:v>76</c:v>
                </c:pt>
                <c:pt idx="33">
                  <c:v>75</c:v>
                </c:pt>
                <c:pt idx="34">
                  <c:v>75</c:v>
                </c:pt>
                <c:pt idx="35">
                  <c:v>75</c:v>
                </c:pt>
                <c:pt idx="36">
                  <c:v>71</c:v>
                </c:pt>
                <c:pt idx="37">
                  <c:v>67</c:v>
                </c:pt>
                <c:pt idx="38">
                  <c:v>65</c:v>
                </c:pt>
                <c:pt idx="39">
                  <c:v>63</c:v>
                </c:pt>
                <c:pt idx="40">
                  <c:v>63</c:v>
                </c:pt>
                <c:pt idx="41">
                  <c:v>63</c:v>
                </c:pt>
              </c:numCache>
            </c:numRef>
          </c:val>
          <c:extLst>
            <c:ext xmlns:c16="http://schemas.microsoft.com/office/drawing/2014/chart" uri="{C3380CC4-5D6E-409C-BE32-E72D297353CC}">
              <c16:uniqueId val="{0000000D-9183-46C4-802A-136FB38CB52D}"/>
            </c:ext>
          </c:extLst>
        </c:ser>
        <c:ser>
          <c:idx val="14"/>
          <c:order val="14"/>
          <c:tx>
            <c:strRef>
              <c:f>'TPS Current'!$P$1</c:f>
              <c:strCache>
                <c:ptCount val="1"/>
                <c:pt idx="0">
                  <c:v>20.5</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Current'!$P$2:$P$43</c:f>
              <c:numCache>
                <c:formatCode>General</c:formatCode>
                <c:ptCount val="42"/>
                <c:pt idx="0">
                  <c:v>149</c:v>
                </c:pt>
                <c:pt idx="1">
                  <c:v>149</c:v>
                </c:pt>
                <c:pt idx="2">
                  <c:v>147</c:v>
                </c:pt>
                <c:pt idx="3">
                  <c:v>146</c:v>
                </c:pt>
                <c:pt idx="4">
                  <c:v>145</c:v>
                </c:pt>
                <c:pt idx="5">
                  <c:v>149</c:v>
                </c:pt>
                <c:pt idx="6">
                  <c:v>150</c:v>
                </c:pt>
                <c:pt idx="7">
                  <c:v>140</c:v>
                </c:pt>
                <c:pt idx="8">
                  <c:v>130</c:v>
                </c:pt>
                <c:pt idx="9">
                  <c:v>128</c:v>
                </c:pt>
                <c:pt idx="10">
                  <c:v>126</c:v>
                </c:pt>
                <c:pt idx="11">
                  <c:v>133</c:v>
                </c:pt>
                <c:pt idx="12">
                  <c:v>139</c:v>
                </c:pt>
                <c:pt idx="13">
                  <c:v>139</c:v>
                </c:pt>
                <c:pt idx="14">
                  <c:v>134</c:v>
                </c:pt>
                <c:pt idx="15">
                  <c:v>134</c:v>
                </c:pt>
                <c:pt idx="16">
                  <c:v>132</c:v>
                </c:pt>
                <c:pt idx="17">
                  <c:v>130</c:v>
                </c:pt>
                <c:pt idx="18">
                  <c:v>128</c:v>
                </c:pt>
                <c:pt idx="19">
                  <c:v>122</c:v>
                </c:pt>
                <c:pt idx="20">
                  <c:v>117</c:v>
                </c:pt>
                <c:pt idx="21">
                  <c:v>110</c:v>
                </c:pt>
                <c:pt idx="22">
                  <c:v>106</c:v>
                </c:pt>
                <c:pt idx="23">
                  <c:v>104</c:v>
                </c:pt>
                <c:pt idx="24">
                  <c:v>103</c:v>
                </c:pt>
                <c:pt idx="25">
                  <c:v>99</c:v>
                </c:pt>
                <c:pt idx="26">
                  <c:v>97</c:v>
                </c:pt>
                <c:pt idx="27">
                  <c:v>94</c:v>
                </c:pt>
                <c:pt idx="28">
                  <c:v>93</c:v>
                </c:pt>
                <c:pt idx="29">
                  <c:v>92</c:v>
                </c:pt>
                <c:pt idx="30">
                  <c:v>92</c:v>
                </c:pt>
                <c:pt idx="31">
                  <c:v>89</c:v>
                </c:pt>
                <c:pt idx="32">
                  <c:v>88</c:v>
                </c:pt>
                <c:pt idx="33">
                  <c:v>86</c:v>
                </c:pt>
                <c:pt idx="34">
                  <c:v>85</c:v>
                </c:pt>
                <c:pt idx="35">
                  <c:v>85</c:v>
                </c:pt>
                <c:pt idx="36">
                  <c:v>84</c:v>
                </c:pt>
                <c:pt idx="37">
                  <c:v>79</c:v>
                </c:pt>
                <c:pt idx="38">
                  <c:v>76</c:v>
                </c:pt>
                <c:pt idx="39">
                  <c:v>74</c:v>
                </c:pt>
                <c:pt idx="40">
                  <c:v>74</c:v>
                </c:pt>
                <c:pt idx="41">
                  <c:v>74</c:v>
                </c:pt>
              </c:numCache>
            </c:numRef>
          </c:val>
          <c:extLst>
            <c:ext xmlns:c16="http://schemas.microsoft.com/office/drawing/2014/chart" uri="{C3380CC4-5D6E-409C-BE32-E72D297353CC}">
              <c16:uniqueId val="{0000000E-9183-46C4-802A-136FB38CB52D}"/>
            </c:ext>
          </c:extLst>
        </c:ser>
        <c:ser>
          <c:idx val="15"/>
          <c:order val="15"/>
          <c:tx>
            <c:strRef>
              <c:f>'TPS Current'!$Q$1</c:f>
              <c:strCache>
                <c:ptCount val="1"/>
                <c:pt idx="0">
                  <c:v>25.5</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Current'!$Q$2:$Q$43</c:f>
              <c:numCache>
                <c:formatCode>General</c:formatCode>
                <c:ptCount val="42"/>
                <c:pt idx="0">
                  <c:v>154</c:v>
                </c:pt>
                <c:pt idx="1">
                  <c:v>154</c:v>
                </c:pt>
                <c:pt idx="2">
                  <c:v>147</c:v>
                </c:pt>
                <c:pt idx="3">
                  <c:v>146</c:v>
                </c:pt>
                <c:pt idx="4">
                  <c:v>147</c:v>
                </c:pt>
                <c:pt idx="5">
                  <c:v>152</c:v>
                </c:pt>
                <c:pt idx="6">
                  <c:v>158</c:v>
                </c:pt>
                <c:pt idx="7">
                  <c:v>148</c:v>
                </c:pt>
                <c:pt idx="8">
                  <c:v>141</c:v>
                </c:pt>
                <c:pt idx="9">
                  <c:v>139</c:v>
                </c:pt>
                <c:pt idx="10">
                  <c:v>136</c:v>
                </c:pt>
                <c:pt idx="11">
                  <c:v>142</c:v>
                </c:pt>
                <c:pt idx="12">
                  <c:v>148</c:v>
                </c:pt>
                <c:pt idx="13">
                  <c:v>150</c:v>
                </c:pt>
                <c:pt idx="14">
                  <c:v>150</c:v>
                </c:pt>
                <c:pt idx="15">
                  <c:v>148</c:v>
                </c:pt>
                <c:pt idx="16">
                  <c:v>146</c:v>
                </c:pt>
                <c:pt idx="17">
                  <c:v>142</c:v>
                </c:pt>
                <c:pt idx="18">
                  <c:v>139</c:v>
                </c:pt>
                <c:pt idx="19">
                  <c:v>132</c:v>
                </c:pt>
                <c:pt idx="20">
                  <c:v>126</c:v>
                </c:pt>
                <c:pt idx="21">
                  <c:v>120</c:v>
                </c:pt>
                <c:pt idx="22">
                  <c:v>117</c:v>
                </c:pt>
                <c:pt idx="23">
                  <c:v>117</c:v>
                </c:pt>
                <c:pt idx="24">
                  <c:v>114</c:v>
                </c:pt>
                <c:pt idx="25">
                  <c:v>112</c:v>
                </c:pt>
                <c:pt idx="26">
                  <c:v>111</c:v>
                </c:pt>
                <c:pt idx="27">
                  <c:v>109</c:v>
                </c:pt>
                <c:pt idx="28">
                  <c:v>108</c:v>
                </c:pt>
                <c:pt idx="29">
                  <c:v>107</c:v>
                </c:pt>
                <c:pt idx="30">
                  <c:v>103</c:v>
                </c:pt>
                <c:pt idx="31">
                  <c:v>98</c:v>
                </c:pt>
                <c:pt idx="32">
                  <c:v>97</c:v>
                </c:pt>
                <c:pt idx="33">
                  <c:v>94</c:v>
                </c:pt>
                <c:pt idx="34">
                  <c:v>93</c:v>
                </c:pt>
                <c:pt idx="35">
                  <c:v>92</c:v>
                </c:pt>
                <c:pt idx="36">
                  <c:v>90</c:v>
                </c:pt>
                <c:pt idx="37">
                  <c:v>89</c:v>
                </c:pt>
                <c:pt idx="38">
                  <c:v>86</c:v>
                </c:pt>
                <c:pt idx="39">
                  <c:v>84</c:v>
                </c:pt>
                <c:pt idx="40">
                  <c:v>84</c:v>
                </c:pt>
                <c:pt idx="41">
                  <c:v>84</c:v>
                </c:pt>
              </c:numCache>
            </c:numRef>
          </c:val>
          <c:extLst>
            <c:ext xmlns:c16="http://schemas.microsoft.com/office/drawing/2014/chart" uri="{C3380CC4-5D6E-409C-BE32-E72D297353CC}">
              <c16:uniqueId val="{0000000F-9183-46C4-802A-136FB38CB52D}"/>
            </c:ext>
          </c:extLst>
        </c:ser>
        <c:ser>
          <c:idx val="16"/>
          <c:order val="16"/>
          <c:tx>
            <c:strRef>
              <c:f>'TPS Current'!$R$1</c:f>
              <c:strCache>
                <c:ptCount val="1"/>
                <c:pt idx="0">
                  <c:v>30.5</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Current'!$R$2:$R$43</c:f>
              <c:numCache>
                <c:formatCode>General</c:formatCode>
                <c:ptCount val="42"/>
                <c:pt idx="0">
                  <c:v>155</c:v>
                </c:pt>
                <c:pt idx="1">
                  <c:v>155</c:v>
                </c:pt>
                <c:pt idx="2">
                  <c:v>142</c:v>
                </c:pt>
                <c:pt idx="3">
                  <c:v>146</c:v>
                </c:pt>
                <c:pt idx="4">
                  <c:v>147</c:v>
                </c:pt>
                <c:pt idx="5">
                  <c:v>153</c:v>
                </c:pt>
                <c:pt idx="6">
                  <c:v>160</c:v>
                </c:pt>
                <c:pt idx="7">
                  <c:v>152</c:v>
                </c:pt>
                <c:pt idx="8">
                  <c:v>146</c:v>
                </c:pt>
                <c:pt idx="9">
                  <c:v>145</c:v>
                </c:pt>
                <c:pt idx="10">
                  <c:v>145</c:v>
                </c:pt>
                <c:pt idx="11">
                  <c:v>153</c:v>
                </c:pt>
                <c:pt idx="12">
                  <c:v>160</c:v>
                </c:pt>
                <c:pt idx="13">
                  <c:v>163</c:v>
                </c:pt>
                <c:pt idx="14">
                  <c:v>166</c:v>
                </c:pt>
                <c:pt idx="15">
                  <c:v>163</c:v>
                </c:pt>
                <c:pt idx="16">
                  <c:v>160</c:v>
                </c:pt>
                <c:pt idx="17">
                  <c:v>155</c:v>
                </c:pt>
                <c:pt idx="18">
                  <c:v>150</c:v>
                </c:pt>
                <c:pt idx="19">
                  <c:v>147</c:v>
                </c:pt>
                <c:pt idx="20">
                  <c:v>140</c:v>
                </c:pt>
                <c:pt idx="21">
                  <c:v>134</c:v>
                </c:pt>
                <c:pt idx="22">
                  <c:v>129</c:v>
                </c:pt>
                <c:pt idx="23">
                  <c:v>129</c:v>
                </c:pt>
                <c:pt idx="24">
                  <c:v>131</c:v>
                </c:pt>
                <c:pt idx="25">
                  <c:v>131</c:v>
                </c:pt>
                <c:pt idx="26">
                  <c:v>130</c:v>
                </c:pt>
                <c:pt idx="27">
                  <c:v>126</c:v>
                </c:pt>
                <c:pt idx="28">
                  <c:v>123</c:v>
                </c:pt>
                <c:pt idx="29">
                  <c:v>122</c:v>
                </c:pt>
                <c:pt idx="30">
                  <c:v>118</c:v>
                </c:pt>
                <c:pt idx="31">
                  <c:v>117</c:v>
                </c:pt>
                <c:pt idx="32">
                  <c:v>113</c:v>
                </c:pt>
                <c:pt idx="33">
                  <c:v>111</c:v>
                </c:pt>
                <c:pt idx="34">
                  <c:v>109</c:v>
                </c:pt>
                <c:pt idx="35">
                  <c:v>108</c:v>
                </c:pt>
                <c:pt idx="36">
                  <c:v>103</c:v>
                </c:pt>
                <c:pt idx="37">
                  <c:v>99</c:v>
                </c:pt>
                <c:pt idx="38">
                  <c:v>97</c:v>
                </c:pt>
                <c:pt idx="39">
                  <c:v>94</c:v>
                </c:pt>
                <c:pt idx="40">
                  <c:v>94</c:v>
                </c:pt>
                <c:pt idx="41">
                  <c:v>94</c:v>
                </c:pt>
              </c:numCache>
            </c:numRef>
          </c:val>
          <c:extLst>
            <c:ext xmlns:c16="http://schemas.microsoft.com/office/drawing/2014/chart" uri="{C3380CC4-5D6E-409C-BE32-E72D297353CC}">
              <c16:uniqueId val="{00000010-9183-46C4-802A-136FB38CB52D}"/>
            </c:ext>
          </c:extLst>
        </c:ser>
        <c:ser>
          <c:idx val="17"/>
          <c:order val="17"/>
          <c:tx>
            <c:strRef>
              <c:f>'TPS Current'!$S$1</c:f>
              <c:strCache>
                <c:ptCount val="1"/>
                <c:pt idx="0">
                  <c:v>40.4</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Current'!$S$2:$S$43</c:f>
              <c:numCache>
                <c:formatCode>General</c:formatCode>
                <c:ptCount val="42"/>
                <c:pt idx="0">
                  <c:v>159</c:v>
                </c:pt>
                <c:pt idx="1">
                  <c:v>159</c:v>
                </c:pt>
                <c:pt idx="2">
                  <c:v>141</c:v>
                </c:pt>
                <c:pt idx="3">
                  <c:v>146</c:v>
                </c:pt>
                <c:pt idx="4">
                  <c:v>147</c:v>
                </c:pt>
                <c:pt idx="5">
                  <c:v>153</c:v>
                </c:pt>
                <c:pt idx="6">
                  <c:v>160</c:v>
                </c:pt>
                <c:pt idx="7">
                  <c:v>153</c:v>
                </c:pt>
                <c:pt idx="8">
                  <c:v>147</c:v>
                </c:pt>
                <c:pt idx="9">
                  <c:v>149</c:v>
                </c:pt>
                <c:pt idx="10">
                  <c:v>152</c:v>
                </c:pt>
                <c:pt idx="11">
                  <c:v>161</c:v>
                </c:pt>
                <c:pt idx="12">
                  <c:v>169</c:v>
                </c:pt>
                <c:pt idx="13">
                  <c:v>174</c:v>
                </c:pt>
                <c:pt idx="14">
                  <c:v>181</c:v>
                </c:pt>
                <c:pt idx="15">
                  <c:v>181</c:v>
                </c:pt>
                <c:pt idx="16">
                  <c:v>181</c:v>
                </c:pt>
                <c:pt idx="17">
                  <c:v>180</c:v>
                </c:pt>
                <c:pt idx="18">
                  <c:v>178</c:v>
                </c:pt>
                <c:pt idx="19">
                  <c:v>174</c:v>
                </c:pt>
                <c:pt idx="20">
                  <c:v>169</c:v>
                </c:pt>
                <c:pt idx="21">
                  <c:v>162</c:v>
                </c:pt>
                <c:pt idx="22">
                  <c:v>159</c:v>
                </c:pt>
                <c:pt idx="23">
                  <c:v>159</c:v>
                </c:pt>
                <c:pt idx="24">
                  <c:v>160</c:v>
                </c:pt>
                <c:pt idx="25">
                  <c:v>159</c:v>
                </c:pt>
                <c:pt idx="26">
                  <c:v>156</c:v>
                </c:pt>
                <c:pt idx="27">
                  <c:v>154</c:v>
                </c:pt>
                <c:pt idx="28">
                  <c:v>150</c:v>
                </c:pt>
                <c:pt idx="29">
                  <c:v>149</c:v>
                </c:pt>
                <c:pt idx="30">
                  <c:v>146</c:v>
                </c:pt>
                <c:pt idx="31">
                  <c:v>143</c:v>
                </c:pt>
                <c:pt idx="32">
                  <c:v>140</c:v>
                </c:pt>
                <c:pt idx="33">
                  <c:v>136</c:v>
                </c:pt>
                <c:pt idx="34">
                  <c:v>130</c:v>
                </c:pt>
                <c:pt idx="35">
                  <c:v>126</c:v>
                </c:pt>
                <c:pt idx="36">
                  <c:v>123</c:v>
                </c:pt>
                <c:pt idx="37">
                  <c:v>120</c:v>
                </c:pt>
                <c:pt idx="38">
                  <c:v>117</c:v>
                </c:pt>
                <c:pt idx="39">
                  <c:v>112</c:v>
                </c:pt>
                <c:pt idx="40">
                  <c:v>112</c:v>
                </c:pt>
                <c:pt idx="41">
                  <c:v>112</c:v>
                </c:pt>
              </c:numCache>
            </c:numRef>
          </c:val>
          <c:extLst>
            <c:ext xmlns:c16="http://schemas.microsoft.com/office/drawing/2014/chart" uri="{C3380CC4-5D6E-409C-BE32-E72D297353CC}">
              <c16:uniqueId val="{00000011-9183-46C4-802A-136FB38CB52D}"/>
            </c:ext>
          </c:extLst>
        </c:ser>
        <c:ser>
          <c:idx val="18"/>
          <c:order val="18"/>
          <c:tx>
            <c:strRef>
              <c:f>'TPS Current'!$T$1</c:f>
              <c:strCache>
                <c:ptCount val="1"/>
                <c:pt idx="0">
                  <c:v>50.4</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Current'!$T$2:$T$43</c:f>
              <c:numCache>
                <c:formatCode>General</c:formatCode>
                <c:ptCount val="42"/>
                <c:pt idx="0">
                  <c:v>159</c:v>
                </c:pt>
                <c:pt idx="1">
                  <c:v>159</c:v>
                </c:pt>
                <c:pt idx="2">
                  <c:v>142</c:v>
                </c:pt>
                <c:pt idx="3">
                  <c:v>146</c:v>
                </c:pt>
                <c:pt idx="4">
                  <c:v>147</c:v>
                </c:pt>
                <c:pt idx="5">
                  <c:v>153</c:v>
                </c:pt>
                <c:pt idx="6">
                  <c:v>161</c:v>
                </c:pt>
                <c:pt idx="7">
                  <c:v>153</c:v>
                </c:pt>
                <c:pt idx="8">
                  <c:v>148</c:v>
                </c:pt>
                <c:pt idx="9">
                  <c:v>150</c:v>
                </c:pt>
                <c:pt idx="10">
                  <c:v>152</c:v>
                </c:pt>
                <c:pt idx="11">
                  <c:v>161</c:v>
                </c:pt>
                <c:pt idx="12">
                  <c:v>169</c:v>
                </c:pt>
                <c:pt idx="13">
                  <c:v>177</c:v>
                </c:pt>
                <c:pt idx="14">
                  <c:v>183</c:v>
                </c:pt>
                <c:pt idx="15">
                  <c:v>185</c:v>
                </c:pt>
                <c:pt idx="16">
                  <c:v>190</c:v>
                </c:pt>
                <c:pt idx="17">
                  <c:v>190</c:v>
                </c:pt>
                <c:pt idx="18">
                  <c:v>192</c:v>
                </c:pt>
                <c:pt idx="19">
                  <c:v>190</c:v>
                </c:pt>
                <c:pt idx="20">
                  <c:v>187</c:v>
                </c:pt>
                <c:pt idx="21">
                  <c:v>184</c:v>
                </c:pt>
                <c:pt idx="22">
                  <c:v>181</c:v>
                </c:pt>
                <c:pt idx="23">
                  <c:v>183</c:v>
                </c:pt>
                <c:pt idx="24">
                  <c:v>186</c:v>
                </c:pt>
                <c:pt idx="25">
                  <c:v>185</c:v>
                </c:pt>
                <c:pt idx="26">
                  <c:v>183</c:v>
                </c:pt>
                <c:pt idx="27">
                  <c:v>182</c:v>
                </c:pt>
                <c:pt idx="28">
                  <c:v>181</c:v>
                </c:pt>
                <c:pt idx="29">
                  <c:v>178</c:v>
                </c:pt>
                <c:pt idx="30">
                  <c:v>177</c:v>
                </c:pt>
                <c:pt idx="31">
                  <c:v>174</c:v>
                </c:pt>
                <c:pt idx="32">
                  <c:v>171</c:v>
                </c:pt>
                <c:pt idx="33">
                  <c:v>167</c:v>
                </c:pt>
                <c:pt idx="34">
                  <c:v>160</c:v>
                </c:pt>
                <c:pt idx="35">
                  <c:v>155</c:v>
                </c:pt>
                <c:pt idx="36">
                  <c:v>154</c:v>
                </c:pt>
                <c:pt idx="37">
                  <c:v>149</c:v>
                </c:pt>
                <c:pt idx="38">
                  <c:v>143</c:v>
                </c:pt>
                <c:pt idx="39">
                  <c:v>136</c:v>
                </c:pt>
                <c:pt idx="40">
                  <c:v>136</c:v>
                </c:pt>
                <c:pt idx="41">
                  <c:v>136</c:v>
                </c:pt>
              </c:numCache>
            </c:numRef>
          </c:val>
          <c:extLst>
            <c:ext xmlns:c16="http://schemas.microsoft.com/office/drawing/2014/chart" uri="{C3380CC4-5D6E-409C-BE32-E72D297353CC}">
              <c16:uniqueId val="{00000012-9183-46C4-802A-136FB38CB52D}"/>
            </c:ext>
          </c:extLst>
        </c:ser>
        <c:ser>
          <c:idx val="19"/>
          <c:order val="19"/>
          <c:tx>
            <c:strRef>
              <c:f>'TPS Current'!$U$1</c:f>
              <c:strCache>
                <c:ptCount val="1"/>
                <c:pt idx="0">
                  <c:v>60.3</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Current'!$U$2:$U$43</c:f>
              <c:numCache>
                <c:formatCode>General</c:formatCode>
                <c:ptCount val="42"/>
                <c:pt idx="0">
                  <c:v>160</c:v>
                </c:pt>
                <c:pt idx="1">
                  <c:v>160</c:v>
                </c:pt>
                <c:pt idx="2">
                  <c:v>143</c:v>
                </c:pt>
                <c:pt idx="3">
                  <c:v>147</c:v>
                </c:pt>
                <c:pt idx="4">
                  <c:v>147</c:v>
                </c:pt>
                <c:pt idx="5">
                  <c:v>155</c:v>
                </c:pt>
                <c:pt idx="6">
                  <c:v>161</c:v>
                </c:pt>
                <c:pt idx="7">
                  <c:v>154</c:v>
                </c:pt>
                <c:pt idx="8">
                  <c:v>149</c:v>
                </c:pt>
                <c:pt idx="9">
                  <c:v>150</c:v>
                </c:pt>
                <c:pt idx="10">
                  <c:v>154</c:v>
                </c:pt>
                <c:pt idx="11">
                  <c:v>162</c:v>
                </c:pt>
                <c:pt idx="12">
                  <c:v>170</c:v>
                </c:pt>
                <c:pt idx="13">
                  <c:v>178</c:v>
                </c:pt>
                <c:pt idx="14">
                  <c:v>183</c:v>
                </c:pt>
                <c:pt idx="15">
                  <c:v>186</c:v>
                </c:pt>
                <c:pt idx="16">
                  <c:v>187</c:v>
                </c:pt>
                <c:pt idx="17">
                  <c:v>190</c:v>
                </c:pt>
                <c:pt idx="18">
                  <c:v>193</c:v>
                </c:pt>
                <c:pt idx="19">
                  <c:v>194</c:v>
                </c:pt>
                <c:pt idx="20">
                  <c:v>195</c:v>
                </c:pt>
                <c:pt idx="21">
                  <c:v>194</c:v>
                </c:pt>
                <c:pt idx="22">
                  <c:v>192</c:v>
                </c:pt>
                <c:pt idx="23">
                  <c:v>195</c:v>
                </c:pt>
                <c:pt idx="24">
                  <c:v>203</c:v>
                </c:pt>
                <c:pt idx="25">
                  <c:v>204</c:v>
                </c:pt>
                <c:pt idx="26">
                  <c:v>205</c:v>
                </c:pt>
                <c:pt idx="27">
                  <c:v>206</c:v>
                </c:pt>
                <c:pt idx="28">
                  <c:v>206</c:v>
                </c:pt>
                <c:pt idx="29">
                  <c:v>204</c:v>
                </c:pt>
                <c:pt idx="30">
                  <c:v>201</c:v>
                </c:pt>
                <c:pt idx="31">
                  <c:v>200</c:v>
                </c:pt>
                <c:pt idx="32">
                  <c:v>194</c:v>
                </c:pt>
                <c:pt idx="33">
                  <c:v>191</c:v>
                </c:pt>
                <c:pt idx="34">
                  <c:v>185</c:v>
                </c:pt>
                <c:pt idx="35">
                  <c:v>181</c:v>
                </c:pt>
                <c:pt idx="36">
                  <c:v>177</c:v>
                </c:pt>
                <c:pt idx="37">
                  <c:v>171</c:v>
                </c:pt>
                <c:pt idx="38">
                  <c:v>163</c:v>
                </c:pt>
                <c:pt idx="39">
                  <c:v>154</c:v>
                </c:pt>
                <c:pt idx="40">
                  <c:v>154</c:v>
                </c:pt>
                <c:pt idx="41">
                  <c:v>154</c:v>
                </c:pt>
              </c:numCache>
            </c:numRef>
          </c:val>
          <c:extLst>
            <c:ext xmlns:c16="http://schemas.microsoft.com/office/drawing/2014/chart" uri="{C3380CC4-5D6E-409C-BE32-E72D297353CC}">
              <c16:uniqueId val="{00000013-9183-46C4-802A-136FB38CB52D}"/>
            </c:ext>
          </c:extLst>
        </c:ser>
        <c:ser>
          <c:idx val="20"/>
          <c:order val="20"/>
          <c:tx>
            <c:strRef>
              <c:f>'TPS Current'!$V$1</c:f>
              <c:strCache>
                <c:ptCount val="1"/>
                <c:pt idx="0">
                  <c:v>70.3</c:v>
                </c:pt>
              </c:strCache>
            </c:strRef>
          </c:tx>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Current'!$V$2:$V$43</c:f>
              <c:numCache>
                <c:formatCode>General</c:formatCode>
                <c:ptCount val="42"/>
                <c:pt idx="0">
                  <c:v>164</c:v>
                </c:pt>
                <c:pt idx="1">
                  <c:v>164</c:v>
                </c:pt>
                <c:pt idx="2">
                  <c:v>148</c:v>
                </c:pt>
                <c:pt idx="3">
                  <c:v>147</c:v>
                </c:pt>
                <c:pt idx="4">
                  <c:v>147</c:v>
                </c:pt>
                <c:pt idx="5">
                  <c:v>155</c:v>
                </c:pt>
                <c:pt idx="6">
                  <c:v>161</c:v>
                </c:pt>
                <c:pt idx="7">
                  <c:v>155</c:v>
                </c:pt>
                <c:pt idx="8">
                  <c:v>150</c:v>
                </c:pt>
                <c:pt idx="9">
                  <c:v>154</c:v>
                </c:pt>
                <c:pt idx="10">
                  <c:v>158</c:v>
                </c:pt>
                <c:pt idx="11">
                  <c:v>167</c:v>
                </c:pt>
                <c:pt idx="12">
                  <c:v>174</c:v>
                </c:pt>
                <c:pt idx="13">
                  <c:v>182</c:v>
                </c:pt>
                <c:pt idx="14">
                  <c:v>187</c:v>
                </c:pt>
                <c:pt idx="15">
                  <c:v>191</c:v>
                </c:pt>
                <c:pt idx="16">
                  <c:v>192</c:v>
                </c:pt>
                <c:pt idx="17">
                  <c:v>192</c:v>
                </c:pt>
                <c:pt idx="18">
                  <c:v>192</c:v>
                </c:pt>
                <c:pt idx="19">
                  <c:v>196</c:v>
                </c:pt>
                <c:pt idx="20">
                  <c:v>200</c:v>
                </c:pt>
                <c:pt idx="21">
                  <c:v>198</c:v>
                </c:pt>
                <c:pt idx="22">
                  <c:v>195</c:v>
                </c:pt>
                <c:pt idx="23">
                  <c:v>201</c:v>
                </c:pt>
                <c:pt idx="24">
                  <c:v>212</c:v>
                </c:pt>
                <c:pt idx="25">
                  <c:v>212</c:v>
                </c:pt>
                <c:pt idx="26">
                  <c:v>215</c:v>
                </c:pt>
                <c:pt idx="27">
                  <c:v>220</c:v>
                </c:pt>
                <c:pt idx="28">
                  <c:v>223</c:v>
                </c:pt>
                <c:pt idx="29">
                  <c:v>220</c:v>
                </c:pt>
                <c:pt idx="30">
                  <c:v>217</c:v>
                </c:pt>
                <c:pt idx="31">
                  <c:v>217</c:v>
                </c:pt>
                <c:pt idx="32">
                  <c:v>214</c:v>
                </c:pt>
                <c:pt idx="33">
                  <c:v>211</c:v>
                </c:pt>
                <c:pt idx="34">
                  <c:v>204</c:v>
                </c:pt>
                <c:pt idx="35">
                  <c:v>202</c:v>
                </c:pt>
                <c:pt idx="36">
                  <c:v>196</c:v>
                </c:pt>
                <c:pt idx="37">
                  <c:v>190</c:v>
                </c:pt>
                <c:pt idx="38">
                  <c:v>182</c:v>
                </c:pt>
                <c:pt idx="39">
                  <c:v>174</c:v>
                </c:pt>
                <c:pt idx="40">
                  <c:v>174</c:v>
                </c:pt>
                <c:pt idx="41">
                  <c:v>174</c:v>
                </c:pt>
              </c:numCache>
            </c:numRef>
          </c:val>
          <c:extLst>
            <c:ext xmlns:c16="http://schemas.microsoft.com/office/drawing/2014/chart" uri="{C3380CC4-5D6E-409C-BE32-E72D297353CC}">
              <c16:uniqueId val="{00000014-9183-46C4-802A-136FB38CB52D}"/>
            </c:ext>
          </c:extLst>
        </c:ser>
        <c:ser>
          <c:idx val="21"/>
          <c:order val="21"/>
          <c:tx>
            <c:strRef>
              <c:f>'TPS Current'!$W$1</c:f>
              <c:strCache>
                <c:ptCount val="1"/>
                <c:pt idx="0">
                  <c:v>90.2</c:v>
                </c:pt>
              </c:strCache>
            </c:strRef>
          </c:tx>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Current'!$W$2:$W$43</c:f>
              <c:numCache>
                <c:formatCode>General</c:formatCode>
                <c:ptCount val="42"/>
                <c:pt idx="0">
                  <c:v>167</c:v>
                </c:pt>
                <c:pt idx="1">
                  <c:v>167</c:v>
                </c:pt>
                <c:pt idx="2">
                  <c:v>149</c:v>
                </c:pt>
                <c:pt idx="3">
                  <c:v>147</c:v>
                </c:pt>
                <c:pt idx="4">
                  <c:v>149</c:v>
                </c:pt>
                <c:pt idx="5">
                  <c:v>159</c:v>
                </c:pt>
                <c:pt idx="6">
                  <c:v>162</c:v>
                </c:pt>
                <c:pt idx="7">
                  <c:v>158</c:v>
                </c:pt>
                <c:pt idx="8">
                  <c:v>153</c:v>
                </c:pt>
                <c:pt idx="9">
                  <c:v>158</c:v>
                </c:pt>
                <c:pt idx="10">
                  <c:v>162</c:v>
                </c:pt>
                <c:pt idx="11">
                  <c:v>171</c:v>
                </c:pt>
                <c:pt idx="12">
                  <c:v>180</c:v>
                </c:pt>
                <c:pt idx="13">
                  <c:v>187</c:v>
                </c:pt>
                <c:pt idx="14">
                  <c:v>194</c:v>
                </c:pt>
                <c:pt idx="15">
                  <c:v>193</c:v>
                </c:pt>
                <c:pt idx="16">
                  <c:v>193</c:v>
                </c:pt>
                <c:pt idx="17">
                  <c:v>193</c:v>
                </c:pt>
                <c:pt idx="18">
                  <c:v>195</c:v>
                </c:pt>
                <c:pt idx="19">
                  <c:v>201</c:v>
                </c:pt>
                <c:pt idx="20">
                  <c:v>205</c:v>
                </c:pt>
                <c:pt idx="21">
                  <c:v>203</c:v>
                </c:pt>
                <c:pt idx="22">
                  <c:v>200</c:v>
                </c:pt>
                <c:pt idx="23">
                  <c:v>204</c:v>
                </c:pt>
                <c:pt idx="24">
                  <c:v>216</c:v>
                </c:pt>
                <c:pt idx="25">
                  <c:v>216</c:v>
                </c:pt>
                <c:pt idx="26">
                  <c:v>270</c:v>
                </c:pt>
                <c:pt idx="27">
                  <c:v>275</c:v>
                </c:pt>
                <c:pt idx="28">
                  <c:v>281</c:v>
                </c:pt>
                <c:pt idx="29">
                  <c:v>268</c:v>
                </c:pt>
                <c:pt idx="30">
                  <c:v>265</c:v>
                </c:pt>
                <c:pt idx="31">
                  <c:v>255</c:v>
                </c:pt>
                <c:pt idx="32">
                  <c:v>252</c:v>
                </c:pt>
                <c:pt idx="33">
                  <c:v>250</c:v>
                </c:pt>
                <c:pt idx="34">
                  <c:v>243</c:v>
                </c:pt>
                <c:pt idx="35">
                  <c:v>236</c:v>
                </c:pt>
                <c:pt idx="36">
                  <c:v>231</c:v>
                </c:pt>
                <c:pt idx="37">
                  <c:v>225</c:v>
                </c:pt>
                <c:pt idx="38">
                  <c:v>214</c:v>
                </c:pt>
                <c:pt idx="39">
                  <c:v>205</c:v>
                </c:pt>
                <c:pt idx="40">
                  <c:v>205</c:v>
                </c:pt>
                <c:pt idx="41">
                  <c:v>205</c:v>
                </c:pt>
              </c:numCache>
            </c:numRef>
          </c:val>
          <c:extLst>
            <c:ext xmlns:c16="http://schemas.microsoft.com/office/drawing/2014/chart" uri="{C3380CC4-5D6E-409C-BE32-E72D297353CC}">
              <c16:uniqueId val="{00000015-9183-46C4-802A-136FB38CB52D}"/>
            </c:ext>
          </c:extLst>
        </c:ser>
        <c:ser>
          <c:idx val="22"/>
          <c:order val="22"/>
          <c:tx>
            <c:strRef>
              <c:f>'TPS Current'!$X$1</c:f>
              <c:strCache>
                <c:ptCount val="1"/>
                <c:pt idx="0">
                  <c:v>100</c:v>
                </c:pt>
              </c:strCache>
            </c:strRef>
          </c:tx>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Current'!$X$2:$X$43</c:f>
              <c:numCache>
                <c:formatCode>General</c:formatCode>
                <c:ptCount val="42"/>
                <c:pt idx="0">
                  <c:v>167</c:v>
                </c:pt>
                <c:pt idx="1">
                  <c:v>167</c:v>
                </c:pt>
                <c:pt idx="2">
                  <c:v>154</c:v>
                </c:pt>
                <c:pt idx="3">
                  <c:v>147</c:v>
                </c:pt>
                <c:pt idx="4">
                  <c:v>149</c:v>
                </c:pt>
                <c:pt idx="5">
                  <c:v>167</c:v>
                </c:pt>
                <c:pt idx="6">
                  <c:v>176</c:v>
                </c:pt>
                <c:pt idx="7">
                  <c:v>167</c:v>
                </c:pt>
                <c:pt idx="8">
                  <c:v>163</c:v>
                </c:pt>
                <c:pt idx="9">
                  <c:v>166</c:v>
                </c:pt>
                <c:pt idx="10">
                  <c:v>168</c:v>
                </c:pt>
                <c:pt idx="11">
                  <c:v>175</c:v>
                </c:pt>
                <c:pt idx="12">
                  <c:v>181</c:v>
                </c:pt>
                <c:pt idx="13">
                  <c:v>195</c:v>
                </c:pt>
                <c:pt idx="14">
                  <c:v>205</c:v>
                </c:pt>
                <c:pt idx="15">
                  <c:v>208</c:v>
                </c:pt>
                <c:pt idx="16">
                  <c:v>211</c:v>
                </c:pt>
                <c:pt idx="17">
                  <c:v>210</c:v>
                </c:pt>
                <c:pt idx="18">
                  <c:v>208</c:v>
                </c:pt>
                <c:pt idx="19">
                  <c:v>211</c:v>
                </c:pt>
                <c:pt idx="20">
                  <c:v>216</c:v>
                </c:pt>
                <c:pt idx="21">
                  <c:v>213</c:v>
                </c:pt>
                <c:pt idx="22">
                  <c:v>208</c:v>
                </c:pt>
                <c:pt idx="23">
                  <c:v>212</c:v>
                </c:pt>
                <c:pt idx="24">
                  <c:v>224</c:v>
                </c:pt>
                <c:pt idx="25">
                  <c:v>223</c:v>
                </c:pt>
                <c:pt idx="26">
                  <c:v>274</c:v>
                </c:pt>
                <c:pt idx="27">
                  <c:v>281</c:v>
                </c:pt>
                <c:pt idx="28">
                  <c:v>287</c:v>
                </c:pt>
                <c:pt idx="29">
                  <c:v>273</c:v>
                </c:pt>
                <c:pt idx="30">
                  <c:v>271</c:v>
                </c:pt>
                <c:pt idx="31">
                  <c:v>261</c:v>
                </c:pt>
                <c:pt idx="32">
                  <c:v>260</c:v>
                </c:pt>
                <c:pt idx="33">
                  <c:v>260</c:v>
                </c:pt>
                <c:pt idx="34">
                  <c:v>248</c:v>
                </c:pt>
                <c:pt idx="35">
                  <c:v>240</c:v>
                </c:pt>
                <c:pt idx="36">
                  <c:v>235</c:v>
                </c:pt>
                <c:pt idx="37">
                  <c:v>226</c:v>
                </c:pt>
                <c:pt idx="38">
                  <c:v>216</c:v>
                </c:pt>
                <c:pt idx="39">
                  <c:v>210</c:v>
                </c:pt>
                <c:pt idx="40">
                  <c:v>210</c:v>
                </c:pt>
                <c:pt idx="41">
                  <c:v>210</c:v>
                </c:pt>
              </c:numCache>
            </c:numRef>
          </c:val>
          <c:extLst>
            <c:ext xmlns:c16="http://schemas.microsoft.com/office/drawing/2014/chart" uri="{C3380CC4-5D6E-409C-BE32-E72D297353CC}">
              <c16:uniqueId val="{00000016-9183-46C4-802A-136FB38CB52D}"/>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46304624"/>
        <c:axId val="346317936"/>
        <c:axId val="238526608"/>
      </c:surface3DChart>
      <c:catAx>
        <c:axId val="346304624"/>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17936"/>
        <c:crosses val="autoZero"/>
        <c:auto val="1"/>
        <c:lblAlgn val="ctr"/>
        <c:lblOffset val="100"/>
        <c:noMultiLvlLbl val="0"/>
      </c:catAx>
      <c:valAx>
        <c:axId val="346317936"/>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04624"/>
        <c:crosses val="autoZero"/>
        <c:crossBetween val="midCat"/>
      </c:valAx>
      <c:serAx>
        <c:axId val="238526608"/>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631793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 Fuel Map</a:t>
            </a:r>
          </a:p>
        </c:rich>
      </c:tx>
      <c:overlay val="0"/>
      <c:spPr>
        <a:noFill/>
        <a:ln>
          <a:noFill/>
        </a:ln>
        <a:effectLst/>
      </c:spPr>
    </c:title>
    <c:autoTitleDeleted val="0"/>
    <c:view3D>
      <c:rotX val="15"/>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'IAP Current'!$B$1</c:f>
              <c:strCache>
                <c:ptCount val="1"/>
                <c:pt idx="0">
                  <c:v>120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Current'!$B$2:$B$43</c:f>
              <c:numCache>
                <c:formatCode>General</c:formatCode>
                <c:ptCount val="42"/>
                <c:pt idx="0">
                  <c:v>29</c:v>
                </c:pt>
                <c:pt idx="1">
                  <c:v>29</c:v>
                </c:pt>
                <c:pt idx="2">
                  <c:v>29</c:v>
                </c:pt>
                <c:pt idx="3">
                  <c:v>29</c:v>
                </c:pt>
                <c:pt idx="4">
                  <c:v>29</c:v>
                </c:pt>
                <c:pt idx="5">
                  <c:v>29</c:v>
                </c:pt>
                <c:pt idx="6">
                  <c:v>29</c:v>
                </c:pt>
                <c:pt idx="7">
                  <c:v>36</c:v>
                </c:pt>
                <c:pt idx="8">
                  <c:v>36</c:v>
                </c:pt>
                <c:pt idx="9">
                  <c:v>36</c:v>
                </c:pt>
                <c:pt idx="10">
                  <c:v>36</c:v>
                </c:pt>
                <c:pt idx="11">
                  <c:v>36</c:v>
                </c:pt>
                <c:pt idx="12">
                  <c:v>36</c:v>
                </c:pt>
                <c:pt idx="13">
                  <c:v>36</c:v>
                </c:pt>
                <c:pt idx="14">
                  <c:v>36</c:v>
                </c:pt>
                <c:pt idx="15">
                  <c:v>36</c:v>
                </c:pt>
                <c:pt idx="16">
                  <c:v>36</c:v>
                </c:pt>
                <c:pt idx="17">
                  <c:v>36</c:v>
                </c:pt>
                <c:pt idx="18">
                  <c:v>36</c:v>
                </c:pt>
                <c:pt idx="19">
                  <c:v>36</c:v>
                </c:pt>
                <c:pt idx="20">
                  <c:v>36</c:v>
                </c:pt>
                <c:pt idx="21">
                  <c:v>34</c:v>
                </c:pt>
                <c:pt idx="22">
                  <c:v>34</c:v>
                </c:pt>
                <c:pt idx="23">
                  <c:v>34</c:v>
                </c:pt>
                <c:pt idx="24">
                  <c:v>34</c:v>
                </c:pt>
                <c:pt idx="25">
                  <c:v>34</c:v>
                </c:pt>
                <c:pt idx="26">
                  <c:v>34</c:v>
                </c:pt>
                <c:pt idx="27">
                  <c:v>34</c:v>
                </c:pt>
                <c:pt idx="28">
                  <c:v>34</c:v>
                </c:pt>
                <c:pt idx="29">
                  <c:v>34</c:v>
                </c:pt>
                <c:pt idx="30">
                  <c:v>34</c:v>
                </c:pt>
                <c:pt idx="31">
                  <c:v>34</c:v>
                </c:pt>
                <c:pt idx="32">
                  <c:v>34</c:v>
                </c:pt>
                <c:pt idx="33">
                  <c:v>34</c:v>
                </c:pt>
                <c:pt idx="34">
                  <c:v>34</c:v>
                </c:pt>
                <c:pt idx="35">
                  <c:v>34</c:v>
                </c:pt>
                <c:pt idx="36">
                  <c:v>34</c:v>
                </c:pt>
                <c:pt idx="37">
                  <c:v>34</c:v>
                </c:pt>
                <c:pt idx="38">
                  <c:v>34</c:v>
                </c:pt>
                <c:pt idx="39">
                  <c:v>34</c:v>
                </c:pt>
                <c:pt idx="40">
                  <c:v>34</c:v>
                </c:pt>
                <c:pt idx="41">
                  <c:v>34</c:v>
                </c:pt>
              </c:numCache>
            </c:numRef>
          </c:val>
          <c:extLst>
            <c:ext xmlns:c16="http://schemas.microsoft.com/office/drawing/2014/chart" uri="{C3380CC4-5D6E-409C-BE32-E72D297353CC}">
              <c16:uniqueId val="{00000000-57DA-47AC-9E0D-08130A7033CE}"/>
            </c:ext>
          </c:extLst>
        </c:ser>
        <c:ser>
          <c:idx val="1"/>
          <c:order val="1"/>
          <c:tx>
            <c:strRef>
              <c:f>'IAP Current'!$C$1</c:f>
              <c:strCache>
                <c:ptCount val="1"/>
                <c:pt idx="0">
                  <c:v>104</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Current'!$C$2:$C$43</c:f>
              <c:numCache>
                <c:formatCode>General</c:formatCode>
                <c:ptCount val="42"/>
                <c:pt idx="0">
                  <c:v>32</c:v>
                </c:pt>
                <c:pt idx="1">
                  <c:v>32</c:v>
                </c:pt>
                <c:pt idx="2">
                  <c:v>32</c:v>
                </c:pt>
                <c:pt idx="3">
                  <c:v>32</c:v>
                </c:pt>
                <c:pt idx="4">
                  <c:v>32</c:v>
                </c:pt>
                <c:pt idx="5">
                  <c:v>32</c:v>
                </c:pt>
                <c:pt idx="6">
                  <c:v>32</c:v>
                </c:pt>
                <c:pt idx="7">
                  <c:v>40</c:v>
                </c:pt>
                <c:pt idx="8">
                  <c:v>38</c:v>
                </c:pt>
                <c:pt idx="9">
                  <c:v>38</c:v>
                </c:pt>
                <c:pt idx="10">
                  <c:v>38</c:v>
                </c:pt>
                <c:pt idx="11">
                  <c:v>38</c:v>
                </c:pt>
                <c:pt idx="12">
                  <c:v>38</c:v>
                </c:pt>
                <c:pt idx="13">
                  <c:v>38</c:v>
                </c:pt>
                <c:pt idx="14">
                  <c:v>38</c:v>
                </c:pt>
                <c:pt idx="15">
                  <c:v>40</c:v>
                </c:pt>
                <c:pt idx="16">
                  <c:v>40</c:v>
                </c:pt>
                <c:pt idx="17">
                  <c:v>40</c:v>
                </c:pt>
                <c:pt idx="18">
                  <c:v>38</c:v>
                </c:pt>
                <c:pt idx="19">
                  <c:v>38</c:v>
                </c:pt>
                <c:pt idx="20">
                  <c:v>41</c:v>
                </c:pt>
                <c:pt idx="21">
                  <c:v>36</c:v>
                </c:pt>
                <c:pt idx="22">
                  <c:v>36</c:v>
                </c:pt>
                <c:pt idx="23">
                  <c:v>36</c:v>
                </c:pt>
                <c:pt idx="24">
                  <c:v>38</c:v>
                </c:pt>
                <c:pt idx="25">
                  <c:v>38</c:v>
                </c:pt>
                <c:pt idx="26">
                  <c:v>38</c:v>
                </c:pt>
                <c:pt idx="27">
                  <c:v>38</c:v>
                </c:pt>
                <c:pt idx="28">
                  <c:v>38</c:v>
                </c:pt>
                <c:pt idx="29">
                  <c:v>38</c:v>
                </c:pt>
                <c:pt idx="30">
                  <c:v>38</c:v>
                </c:pt>
                <c:pt idx="31">
                  <c:v>38</c:v>
                </c:pt>
                <c:pt idx="32">
                  <c:v>38</c:v>
                </c:pt>
                <c:pt idx="33">
                  <c:v>38</c:v>
                </c:pt>
                <c:pt idx="34">
                  <c:v>38</c:v>
                </c:pt>
                <c:pt idx="35">
                  <c:v>38</c:v>
                </c:pt>
                <c:pt idx="36">
                  <c:v>38</c:v>
                </c:pt>
                <c:pt idx="37">
                  <c:v>38</c:v>
                </c:pt>
                <c:pt idx="38">
                  <c:v>38</c:v>
                </c:pt>
                <c:pt idx="39">
                  <c:v>38</c:v>
                </c:pt>
                <c:pt idx="40">
                  <c:v>38</c:v>
                </c:pt>
                <c:pt idx="41">
                  <c:v>38</c:v>
                </c:pt>
              </c:numCache>
            </c:numRef>
          </c:val>
          <c:extLst>
            <c:ext xmlns:c16="http://schemas.microsoft.com/office/drawing/2014/chart" uri="{C3380CC4-5D6E-409C-BE32-E72D297353CC}">
              <c16:uniqueId val="{00000001-57DA-47AC-9E0D-08130A7033CE}"/>
            </c:ext>
          </c:extLst>
        </c:ser>
        <c:ser>
          <c:idx val="2"/>
          <c:order val="2"/>
          <c:tx>
            <c:strRef>
              <c:f>'IAP Current'!$D$1</c:f>
              <c:strCache>
                <c:ptCount val="1"/>
                <c:pt idx="0">
                  <c:v>88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Current'!$D$2:$D$43</c:f>
              <c:numCache>
                <c:formatCode>General</c:formatCode>
                <c:ptCount val="42"/>
                <c:pt idx="0">
                  <c:v>33</c:v>
                </c:pt>
                <c:pt idx="1">
                  <c:v>33</c:v>
                </c:pt>
                <c:pt idx="2">
                  <c:v>33</c:v>
                </c:pt>
                <c:pt idx="3">
                  <c:v>33</c:v>
                </c:pt>
                <c:pt idx="4">
                  <c:v>33</c:v>
                </c:pt>
                <c:pt idx="5">
                  <c:v>33</c:v>
                </c:pt>
                <c:pt idx="6">
                  <c:v>33</c:v>
                </c:pt>
                <c:pt idx="7">
                  <c:v>41</c:v>
                </c:pt>
                <c:pt idx="8">
                  <c:v>41</c:v>
                </c:pt>
                <c:pt idx="9">
                  <c:v>41</c:v>
                </c:pt>
                <c:pt idx="10">
                  <c:v>41</c:v>
                </c:pt>
                <c:pt idx="11">
                  <c:v>40</c:v>
                </c:pt>
                <c:pt idx="12">
                  <c:v>40</c:v>
                </c:pt>
                <c:pt idx="13">
                  <c:v>40</c:v>
                </c:pt>
                <c:pt idx="14">
                  <c:v>41</c:v>
                </c:pt>
                <c:pt idx="15">
                  <c:v>41</c:v>
                </c:pt>
                <c:pt idx="16">
                  <c:v>41</c:v>
                </c:pt>
                <c:pt idx="17">
                  <c:v>41</c:v>
                </c:pt>
                <c:pt idx="18">
                  <c:v>41</c:v>
                </c:pt>
                <c:pt idx="19">
                  <c:v>41</c:v>
                </c:pt>
                <c:pt idx="20">
                  <c:v>41</c:v>
                </c:pt>
                <c:pt idx="21">
                  <c:v>41</c:v>
                </c:pt>
                <c:pt idx="22">
                  <c:v>41</c:v>
                </c:pt>
                <c:pt idx="23">
                  <c:v>41</c:v>
                </c:pt>
                <c:pt idx="24">
                  <c:v>42</c:v>
                </c:pt>
                <c:pt idx="25">
                  <c:v>42</c:v>
                </c:pt>
                <c:pt idx="26">
                  <c:v>42</c:v>
                </c:pt>
                <c:pt idx="27">
                  <c:v>42</c:v>
                </c:pt>
                <c:pt idx="28">
                  <c:v>42</c:v>
                </c:pt>
                <c:pt idx="29">
                  <c:v>42</c:v>
                </c:pt>
                <c:pt idx="30">
                  <c:v>41</c:v>
                </c:pt>
                <c:pt idx="31">
                  <c:v>41</c:v>
                </c:pt>
                <c:pt idx="32">
                  <c:v>41</c:v>
                </c:pt>
                <c:pt idx="33">
                  <c:v>41</c:v>
                </c:pt>
                <c:pt idx="34">
                  <c:v>41</c:v>
                </c:pt>
                <c:pt idx="35">
                  <c:v>41</c:v>
                </c:pt>
                <c:pt idx="36">
                  <c:v>41</c:v>
                </c:pt>
                <c:pt idx="37">
                  <c:v>41</c:v>
                </c:pt>
                <c:pt idx="38">
                  <c:v>41</c:v>
                </c:pt>
                <c:pt idx="39">
                  <c:v>41</c:v>
                </c:pt>
                <c:pt idx="40">
                  <c:v>41</c:v>
                </c:pt>
                <c:pt idx="41">
                  <c:v>41</c:v>
                </c:pt>
              </c:numCache>
            </c:numRef>
          </c:val>
          <c:extLst>
            <c:ext xmlns:c16="http://schemas.microsoft.com/office/drawing/2014/chart" uri="{C3380CC4-5D6E-409C-BE32-E72D297353CC}">
              <c16:uniqueId val="{00000002-57DA-47AC-9E0D-08130A7033CE}"/>
            </c:ext>
          </c:extLst>
        </c:ser>
        <c:ser>
          <c:idx val="3"/>
          <c:order val="3"/>
          <c:tx>
            <c:strRef>
              <c:f>'IAP Current'!$E$1</c:f>
              <c:strCache>
                <c:ptCount val="1"/>
                <c:pt idx="0">
                  <c:v>72</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Current'!$E$2:$E$43</c:f>
              <c:numCache>
                <c:formatCode>General</c:formatCode>
                <c:ptCount val="42"/>
                <c:pt idx="0">
                  <c:v>36</c:v>
                </c:pt>
                <c:pt idx="1">
                  <c:v>36</c:v>
                </c:pt>
                <c:pt idx="2">
                  <c:v>36</c:v>
                </c:pt>
                <c:pt idx="3">
                  <c:v>34</c:v>
                </c:pt>
                <c:pt idx="4">
                  <c:v>34</c:v>
                </c:pt>
                <c:pt idx="5">
                  <c:v>34</c:v>
                </c:pt>
                <c:pt idx="6">
                  <c:v>34</c:v>
                </c:pt>
                <c:pt idx="7">
                  <c:v>42</c:v>
                </c:pt>
                <c:pt idx="8">
                  <c:v>45</c:v>
                </c:pt>
                <c:pt idx="9">
                  <c:v>45</c:v>
                </c:pt>
                <c:pt idx="10">
                  <c:v>44</c:v>
                </c:pt>
                <c:pt idx="11">
                  <c:v>44</c:v>
                </c:pt>
                <c:pt idx="12">
                  <c:v>44</c:v>
                </c:pt>
                <c:pt idx="13">
                  <c:v>44</c:v>
                </c:pt>
                <c:pt idx="14">
                  <c:v>47</c:v>
                </c:pt>
                <c:pt idx="15">
                  <c:v>48</c:v>
                </c:pt>
                <c:pt idx="16">
                  <c:v>50</c:v>
                </c:pt>
                <c:pt idx="17">
                  <c:v>52</c:v>
                </c:pt>
                <c:pt idx="18">
                  <c:v>58</c:v>
                </c:pt>
                <c:pt idx="19">
                  <c:v>58</c:v>
                </c:pt>
                <c:pt idx="20">
                  <c:v>57</c:v>
                </c:pt>
                <c:pt idx="21">
                  <c:v>52</c:v>
                </c:pt>
                <c:pt idx="22">
                  <c:v>50</c:v>
                </c:pt>
                <c:pt idx="23">
                  <c:v>51</c:v>
                </c:pt>
                <c:pt idx="24">
                  <c:v>52</c:v>
                </c:pt>
                <c:pt idx="25">
                  <c:v>51</c:v>
                </c:pt>
                <c:pt idx="26">
                  <c:v>50</c:v>
                </c:pt>
                <c:pt idx="27">
                  <c:v>50</c:v>
                </c:pt>
                <c:pt idx="28">
                  <c:v>50</c:v>
                </c:pt>
                <c:pt idx="29">
                  <c:v>50</c:v>
                </c:pt>
                <c:pt idx="30">
                  <c:v>50</c:v>
                </c:pt>
                <c:pt idx="31">
                  <c:v>52</c:v>
                </c:pt>
                <c:pt idx="32">
                  <c:v>54</c:v>
                </c:pt>
                <c:pt idx="33">
                  <c:v>55</c:v>
                </c:pt>
                <c:pt idx="34">
                  <c:v>55</c:v>
                </c:pt>
                <c:pt idx="35">
                  <c:v>55</c:v>
                </c:pt>
                <c:pt idx="36">
                  <c:v>55</c:v>
                </c:pt>
                <c:pt idx="37">
                  <c:v>55</c:v>
                </c:pt>
                <c:pt idx="38">
                  <c:v>55</c:v>
                </c:pt>
                <c:pt idx="39">
                  <c:v>55</c:v>
                </c:pt>
                <c:pt idx="40">
                  <c:v>55</c:v>
                </c:pt>
                <c:pt idx="41">
                  <c:v>55</c:v>
                </c:pt>
              </c:numCache>
            </c:numRef>
          </c:val>
          <c:extLst>
            <c:ext xmlns:c16="http://schemas.microsoft.com/office/drawing/2014/chart" uri="{C3380CC4-5D6E-409C-BE32-E72D297353CC}">
              <c16:uniqueId val="{00000003-57DA-47AC-9E0D-08130A7033CE}"/>
            </c:ext>
          </c:extLst>
        </c:ser>
        <c:ser>
          <c:idx val="4"/>
          <c:order val="4"/>
          <c:tx>
            <c:strRef>
              <c:f>'IAP Current'!$F$1</c:f>
              <c:strCache>
                <c:ptCount val="1"/>
                <c:pt idx="0">
                  <c:v>68</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Current'!$F$2:$F$43</c:f>
              <c:numCache>
                <c:formatCode>General</c:formatCode>
                <c:ptCount val="42"/>
                <c:pt idx="0">
                  <c:v>41</c:v>
                </c:pt>
                <c:pt idx="1">
                  <c:v>41</c:v>
                </c:pt>
                <c:pt idx="2">
                  <c:v>41</c:v>
                </c:pt>
                <c:pt idx="3">
                  <c:v>41</c:v>
                </c:pt>
                <c:pt idx="4">
                  <c:v>41</c:v>
                </c:pt>
                <c:pt idx="5">
                  <c:v>40</c:v>
                </c:pt>
                <c:pt idx="6">
                  <c:v>41</c:v>
                </c:pt>
                <c:pt idx="7">
                  <c:v>45</c:v>
                </c:pt>
                <c:pt idx="8">
                  <c:v>45</c:v>
                </c:pt>
                <c:pt idx="9">
                  <c:v>45</c:v>
                </c:pt>
                <c:pt idx="10">
                  <c:v>45</c:v>
                </c:pt>
                <c:pt idx="11">
                  <c:v>45</c:v>
                </c:pt>
                <c:pt idx="12">
                  <c:v>47</c:v>
                </c:pt>
                <c:pt idx="13">
                  <c:v>48</c:v>
                </c:pt>
                <c:pt idx="14">
                  <c:v>52</c:v>
                </c:pt>
                <c:pt idx="15">
                  <c:v>52</c:v>
                </c:pt>
                <c:pt idx="16">
                  <c:v>55</c:v>
                </c:pt>
                <c:pt idx="17">
                  <c:v>58</c:v>
                </c:pt>
                <c:pt idx="18">
                  <c:v>64</c:v>
                </c:pt>
                <c:pt idx="19">
                  <c:v>64</c:v>
                </c:pt>
                <c:pt idx="20">
                  <c:v>60</c:v>
                </c:pt>
                <c:pt idx="21">
                  <c:v>57</c:v>
                </c:pt>
                <c:pt idx="22">
                  <c:v>55</c:v>
                </c:pt>
                <c:pt idx="23">
                  <c:v>54</c:v>
                </c:pt>
                <c:pt idx="24">
                  <c:v>54</c:v>
                </c:pt>
                <c:pt idx="25">
                  <c:v>54</c:v>
                </c:pt>
                <c:pt idx="26">
                  <c:v>54</c:v>
                </c:pt>
                <c:pt idx="27">
                  <c:v>54</c:v>
                </c:pt>
                <c:pt idx="28">
                  <c:v>54</c:v>
                </c:pt>
                <c:pt idx="29">
                  <c:v>55</c:v>
                </c:pt>
                <c:pt idx="30">
                  <c:v>55</c:v>
                </c:pt>
                <c:pt idx="31">
                  <c:v>60</c:v>
                </c:pt>
                <c:pt idx="32">
                  <c:v>61</c:v>
                </c:pt>
                <c:pt idx="33">
                  <c:v>64</c:v>
                </c:pt>
                <c:pt idx="34">
                  <c:v>64</c:v>
                </c:pt>
                <c:pt idx="35">
                  <c:v>64</c:v>
                </c:pt>
                <c:pt idx="36">
                  <c:v>64</c:v>
                </c:pt>
                <c:pt idx="37">
                  <c:v>64</c:v>
                </c:pt>
                <c:pt idx="38">
                  <c:v>64</c:v>
                </c:pt>
                <c:pt idx="39">
                  <c:v>64</c:v>
                </c:pt>
                <c:pt idx="40">
                  <c:v>64</c:v>
                </c:pt>
                <c:pt idx="41">
                  <c:v>64</c:v>
                </c:pt>
              </c:numCache>
            </c:numRef>
          </c:val>
          <c:extLst>
            <c:ext xmlns:c16="http://schemas.microsoft.com/office/drawing/2014/chart" uri="{C3380CC4-5D6E-409C-BE32-E72D297353CC}">
              <c16:uniqueId val="{00000004-57DA-47AC-9E0D-08130A7033CE}"/>
            </c:ext>
          </c:extLst>
        </c:ser>
        <c:ser>
          <c:idx val="5"/>
          <c:order val="5"/>
          <c:tx>
            <c:strRef>
              <c:f>'IAP Current'!$G$1</c:f>
              <c:strCache>
                <c:ptCount val="1"/>
                <c:pt idx="0">
                  <c:v>64</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Current'!$G$2:$G$43</c:f>
              <c:numCache>
                <c:formatCode>General</c:formatCode>
                <c:ptCount val="42"/>
                <c:pt idx="0">
                  <c:v>46</c:v>
                </c:pt>
                <c:pt idx="1">
                  <c:v>46</c:v>
                </c:pt>
                <c:pt idx="2">
                  <c:v>46</c:v>
                </c:pt>
                <c:pt idx="3">
                  <c:v>47</c:v>
                </c:pt>
                <c:pt idx="4">
                  <c:v>45</c:v>
                </c:pt>
                <c:pt idx="5">
                  <c:v>45</c:v>
                </c:pt>
                <c:pt idx="6">
                  <c:v>48</c:v>
                </c:pt>
                <c:pt idx="7">
                  <c:v>49</c:v>
                </c:pt>
                <c:pt idx="8">
                  <c:v>49</c:v>
                </c:pt>
                <c:pt idx="9">
                  <c:v>49</c:v>
                </c:pt>
                <c:pt idx="10">
                  <c:v>48</c:v>
                </c:pt>
                <c:pt idx="11">
                  <c:v>49</c:v>
                </c:pt>
                <c:pt idx="12">
                  <c:v>50</c:v>
                </c:pt>
                <c:pt idx="13">
                  <c:v>51</c:v>
                </c:pt>
                <c:pt idx="14">
                  <c:v>54</c:v>
                </c:pt>
                <c:pt idx="15">
                  <c:v>55</c:v>
                </c:pt>
                <c:pt idx="16">
                  <c:v>58</c:v>
                </c:pt>
                <c:pt idx="17">
                  <c:v>64</c:v>
                </c:pt>
                <c:pt idx="18">
                  <c:v>67</c:v>
                </c:pt>
                <c:pt idx="19">
                  <c:v>66</c:v>
                </c:pt>
                <c:pt idx="20">
                  <c:v>65</c:v>
                </c:pt>
                <c:pt idx="21">
                  <c:v>63</c:v>
                </c:pt>
                <c:pt idx="22">
                  <c:v>61</c:v>
                </c:pt>
                <c:pt idx="23">
                  <c:v>61</c:v>
                </c:pt>
                <c:pt idx="24">
                  <c:v>61</c:v>
                </c:pt>
                <c:pt idx="25">
                  <c:v>61</c:v>
                </c:pt>
                <c:pt idx="26">
                  <c:v>61</c:v>
                </c:pt>
                <c:pt idx="27">
                  <c:v>61</c:v>
                </c:pt>
                <c:pt idx="28">
                  <c:v>61</c:v>
                </c:pt>
                <c:pt idx="29">
                  <c:v>61</c:v>
                </c:pt>
                <c:pt idx="30">
                  <c:v>64</c:v>
                </c:pt>
                <c:pt idx="31">
                  <c:v>64</c:v>
                </c:pt>
                <c:pt idx="32">
                  <c:v>65</c:v>
                </c:pt>
                <c:pt idx="33">
                  <c:v>68</c:v>
                </c:pt>
                <c:pt idx="34">
                  <c:v>68</c:v>
                </c:pt>
                <c:pt idx="35">
                  <c:v>66</c:v>
                </c:pt>
                <c:pt idx="36">
                  <c:v>66</c:v>
                </c:pt>
                <c:pt idx="37">
                  <c:v>66</c:v>
                </c:pt>
                <c:pt idx="38">
                  <c:v>66</c:v>
                </c:pt>
                <c:pt idx="39">
                  <c:v>66</c:v>
                </c:pt>
                <c:pt idx="40">
                  <c:v>66</c:v>
                </c:pt>
                <c:pt idx="41">
                  <c:v>66</c:v>
                </c:pt>
              </c:numCache>
            </c:numRef>
          </c:val>
          <c:extLst>
            <c:ext xmlns:c16="http://schemas.microsoft.com/office/drawing/2014/chart" uri="{C3380CC4-5D6E-409C-BE32-E72D297353CC}">
              <c16:uniqueId val="{00000005-57DA-47AC-9E0D-08130A7033CE}"/>
            </c:ext>
          </c:extLst>
        </c:ser>
        <c:ser>
          <c:idx val="6"/>
          <c:order val="6"/>
          <c:tx>
            <c:strRef>
              <c:f>'IAP Current'!$H$1</c:f>
              <c:strCache>
                <c:ptCount val="1"/>
                <c:pt idx="0">
                  <c:v>60</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Current'!$H$2:$H$43</c:f>
              <c:numCache>
                <c:formatCode>General</c:formatCode>
                <c:ptCount val="42"/>
                <c:pt idx="0">
                  <c:v>52</c:v>
                </c:pt>
                <c:pt idx="1">
                  <c:v>52</c:v>
                </c:pt>
                <c:pt idx="2">
                  <c:v>50</c:v>
                </c:pt>
                <c:pt idx="3">
                  <c:v>50</c:v>
                </c:pt>
                <c:pt idx="4">
                  <c:v>50</c:v>
                </c:pt>
                <c:pt idx="5">
                  <c:v>49</c:v>
                </c:pt>
                <c:pt idx="6">
                  <c:v>48</c:v>
                </c:pt>
                <c:pt idx="7">
                  <c:v>49</c:v>
                </c:pt>
                <c:pt idx="8">
                  <c:v>49</c:v>
                </c:pt>
                <c:pt idx="9">
                  <c:v>48</c:v>
                </c:pt>
                <c:pt idx="10">
                  <c:v>48</c:v>
                </c:pt>
                <c:pt idx="11">
                  <c:v>50</c:v>
                </c:pt>
                <c:pt idx="12">
                  <c:v>51</c:v>
                </c:pt>
                <c:pt idx="13">
                  <c:v>52</c:v>
                </c:pt>
                <c:pt idx="14">
                  <c:v>55</c:v>
                </c:pt>
                <c:pt idx="15">
                  <c:v>58</c:v>
                </c:pt>
                <c:pt idx="16">
                  <c:v>65</c:v>
                </c:pt>
                <c:pt idx="17">
                  <c:v>68</c:v>
                </c:pt>
                <c:pt idx="18">
                  <c:v>70</c:v>
                </c:pt>
                <c:pt idx="19">
                  <c:v>69</c:v>
                </c:pt>
                <c:pt idx="20">
                  <c:v>67</c:v>
                </c:pt>
                <c:pt idx="21">
                  <c:v>65</c:v>
                </c:pt>
                <c:pt idx="22">
                  <c:v>64</c:v>
                </c:pt>
                <c:pt idx="23">
                  <c:v>65</c:v>
                </c:pt>
                <c:pt idx="24">
                  <c:v>66</c:v>
                </c:pt>
                <c:pt idx="25">
                  <c:v>66</c:v>
                </c:pt>
                <c:pt idx="26">
                  <c:v>66</c:v>
                </c:pt>
                <c:pt idx="27">
                  <c:v>66</c:v>
                </c:pt>
                <c:pt idx="28">
                  <c:v>66</c:v>
                </c:pt>
                <c:pt idx="29">
                  <c:v>65</c:v>
                </c:pt>
                <c:pt idx="30">
                  <c:v>66</c:v>
                </c:pt>
                <c:pt idx="31">
                  <c:v>66</c:v>
                </c:pt>
                <c:pt idx="32">
                  <c:v>68</c:v>
                </c:pt>
                <c:pt idx="33">
                  <c:v>70</c:v>
                </c:pt>
                <c:pt idx="34">
                  <c:v>70</c:v>
                </c:pt>
                <c:pt idx="35">
                  <c:v>69</c:v>
                </c:pt>
                <c:pt idx="36">
                  <c:v>69</c:v>
                </c:pt>
                <c:pt idx="37">
                  <c:v>69</c:v>
                </c:pt>
                <c:pt idx="38">
                  <c:v>69</c:v>
                </c:pt>
                <c:pt idx="39">
                  <c:v>69</c:v>
                </c:pt>
                <c:pt idx="40">
                  <c:v>69</c:v>
                </c:pt>
                <c:pt idx="41">
                  <c:v>69</c:v>
                </c:pt>
              </c:numCache>
            </c:numRef>
          </c:val>
          <c:extLst>
            <c:ext xmlns:c16="http://schemas.microsoft.com/office/drawing/2014/chart" uri="{C3380CC4-5D6E-409C-BE32-E72D297353CC}">
              <c16:uniqueId val="{00000006-57DA-47AC-9E0D-08130A7033CE}"/>
            </c:ext>
          </c:extLst>
        </c:ser>
        <c:ser>
          <c:idx val="7"/>
          <c:order val="7"/>
          <c:tx>
            <c:strRef>
              <c:f>'IAP Current'!$I$1</c:f>
              <c:strCache>
                <c:ptCount val="1"/>
                <c:pt idx="0">
                  <c:v>56</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Current'!$I$2:$I$43</c:f>
              <c:numCache>
                <c:formatCode>General</c:formatCode>
                <c:ptCount val="42"/>
                <c:pt idx="0">
                  <c:v>58</c:v>
                </c:pt>
                <c:pt idx="1">
                  <c:v>58</c:v>
                </c:pt>
                <c:pt idx="2">
                  <c:v>52</c:v>
                </c:pt>
                <c:pt idx="3">
                  <c:v>55</c:v>
                </c:pt>
                <c:pt idx="4">
                  <c:v>52</c:v>
                </c:pt>
                <c:pt idx="5">
                  <c:v>54</c:v>
                </c:pt>
                <c:pt idx="6">
                  <c:v>52</c:v>
                </c:pt>
                <c:pt idx="7">
                  <c:v>50</c:v>
                </c:pt>
                <c:pt idx="8">
                  <c:v>49</c:v>
                </c:pt>
                <c:pt idx="9">
                  <c:v>49</c:v>
                </c:pt>
                <c:pt idx="10">
                  <c:v>50</c:v>
                </c:pt>
                <c:pt idx="11">
                  <c:v>52</c:v>
                </c:pt>
                <c:pt idx="12">
                  <c:v>52</c:v>
                </c:pt>
                <c:pt idx="13">
                  <c:v>54</c:v>
                </c:pt>
                <c:pt idx="14">
                  <c:v>60</c:v>
                </c:pt>
                <c:pt idx="15">
                  <c:v>64</c:v>
                </c:pt>
                <c:pt idx="16">
                  <c:v>68</c:v>
                </c:pt>
                <c:pt idx="17">
                  <c:v>72</c:v>
                </c:pt>
                <c:pt idx="18">
                  <c:v>75</c:v>
                </c:pt>
                <c:pt idx="19">
                  <c:v>74</c:v>
                </c:pt>
                <c:pt idx="20">
                  <c:v>70</c:v>
                </c:pt>
                <c:pt idx="21">
                  <c:v>68</c:v>
                </c:pt>
                <c:pt idx="22">
                  <c:v>67</c:v>
                </c:pt>
                <c:pt idx="23">
                  <c:v>67</c:v>
                </c:pt>
                <c:pt idx="24">
                  <c:v>68</c:v>
                </c:pt>
                <c:pt idx="25">
                  <c:v>70</c:v>
                </c:pt>
                <c:pt idx="26">
                  <c:v>71</c:v>
                </c:pt>
                <c:pt idx="27">
                  <c:v>72</c:v>
                </c:pt>
                <c:pt idx="28">
                  <c:v>72</c:v>
                </c:pt>
                <c:pt idx="29">
                  <c:v>70</c:v>
                </c:pt>
                <c:pt idx="30">
                  <c:v>70</c:v>
                </c:pt>
                <c:pt idx="31">
                  <c:v>70</c:v>
                </c:pt>
                <c:pt idx="32">
                  <c:v>72</c:v>
                </c:pt>
                <c:pt idx="33">
                  <c:v>74</c:v>
                </c:pt>
                <c:pt idx="34">
                  <c:v>74</c:v>
                </c:pt>
                <c:pt idx="35">
                  <c:v>72</c:v>
                </c:pt>
                <c:pt idx="36">
                  <c:v>72</c:v>
                </c:pt>
                <c:pt idx="37">
                  <c:v>72</c:v>
                </c:pt>
                <c:pt idx="38">
                  <c:v>72</c:v>
                </c:pt>
                <c:pt idx="39">
                  <c:v>72</c:v>
                </c:pt>
                <c:pt idx="40">
                  <c:v>72</c:v>
                </c:pt>
                <c:pt idx="41">
                  <c:v>72</c:v>
                </c:pt>
              </c:numCache>
            </c:numRef>
          </c:val>
          <c:extLst>
            <c:ext xmlns:c16="http://schemas.microsoft.com/office/drawing/2014/chart" uri="{C3380CC4-5D6E-409C-BE32-E72D297353CC}">
              <c16:uniqueId val="{00000007-57DA-47AC-9E0D-08130A7033CE}"/>
            </c:ext>
          </c:extLst>
        </c:ser>
        <c:ser>
          <c:idx val="8"/>
          <c:order val="8"/>
          <c:tx>
            <c:strRef>
              <c:f>'IAP Current'!$J$1</c:f>
              <c:strCache>
                <c:ptCount val="1"/>
                <c:pt idx="0">
                  <c:v>52</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Current'!$J$2:$J$43</c:f>
              <c:numCache>
                <c:formatCode>General</c:formatCode>
                <c:ptCount val="42"/>
                <c:pt idx="0">
                  <c:v>70</c:v>
                </c:pt>
                <c:pt idx="1">
                  <c:v>70</c:v>
                </c:pt>
                <c:pt idx="2">
                  <c:v>63</c:v>
                </c:pt>
                <c:pt idx="3">
                  <c:v>64</c:v>
                </c:pt>
                <c:pt idx="4">
                  <c:v>57</c:v>
                </c:pt>
                <c:pt idx="5">
                  <c:v>58</c:v>
                </c:pt>
                <c:pt idx="6">
                  <c:v>60</c:v>
                </c:pt>
                <c:pt idx="7">
                  <c:v>57</c:v>
                </c:pt>
                <c:pt idx="8">
                  <c:v>51</c:v>
                </c:pt>
                <c:pt idx="9">
                  <c:v>51</c:v>
                </c:pt>
                <c:pt idx="10">
                  <c:v>52</c:v>
                </c:pt>
                <c:pt idx="11">
                  <c:v>52</c:v>
                </c:pt>
                <c:pt idx="12">
                  <c:v>55</c:v>
                </c:pt>
                <c:pt idx="13">
                  <c:v>55</c:v>
                </c:pt>
                <c:pt idx="14">
                  <c:v>61</c:v>
                </c:pt>
                <c:pt idx="15">
                  <c:v>69</c:v>
                </c:pt>
                <c:pt idx="16">
                  <c:v>74</c:v>
                </c:pt>
                <c:pt idx="17">
                  <c:v>76</c:v>
                </c:pt>
                <c:pt idx="18">
                  <c:v>79</c:v>
                </c:pt>
                <c:pt idx="19">
                  <c:v>76</c:v>
                </c:pt>
                <c:pt idx="20">
                  <c:v>72</c:v>
                </c:pt>
                <c:pt idx="21">
                  <c:v>70</c:v>
                </c:pt>
                <c:pt idx="22">
                  <c:v>70</c:v>
                </c:pt>
                <c:pt idx="23">
                  <c:v>70</c:v>
                </c:pt>
                <c:pt idx="24">
                  <c:v>71</c:v>
                </c:pt>
                <c:pt idx="25">
                  <c:v>74</c:v>
                </c:pt>
                <c:pt idx="26">
                  <c:v>76</c:v>
                </c:pt>
                <c:pt idx="27">
                  <c:v>78</c:v>
                </c:pt>
                <c:pt idx="28">
                  <c:v>75</c:v>
                </c:pt>
                <c:pt idx="29">
                  <c:v>75</c:v>
                </c:pt>
                <c:pt idx="30">
                  <c:v>75</c:v>
                </c:pt>
                <c:pt idx="31">
                  <c:v>75</c:v>
                </c:pt>
                <c:pt idx="32">
                  <c:v>75</c:v>
                </c:pt>
                <c:pt idx="33">
                  <c:v>78</c:v>
                </c:pt>
                <c:pt idx="34">
                  <c:v>78</c:v>
                </c:pt>
                <c:pt idx="35">
                  <c:v>75</c:v>
                </c:pt>
                <c:pt idx="36">
                  <c:v>75</c:v>
                </c:pt>
                <c:pt idx="37">
                  <c:v>75</c:v>
                </c:pt>
                <c:pt idx="38">
                  <c:v>75</c:v>
                </c:pt>
                <c:pt idx="39">
                  <c:v>75</c:v>
                </c:pt>
                <c:pt idx="40">
                  <c:v>75</c:v>
                </c:pt>
                <c:pt idx="41">
                  <c:v>75</c:v>
                </c:pt>
              </c:numCache>
            </c:numRef>
          </c:val>
          <c:extLst>
            <c:ext xmlns:c16="http://schemas.microsoft.com/office/drawing/2014/chart" uri="{C3380CC4-5D6E-409C-BE32-E72D297353CC}">
              <c16:uniqueId val="{00000008-57DA-47AC-9E0D-08130A7033CE}"/>
            </c:ext>
          </c:extLst>
        </c:ser>
        <c:ser>
          <c:idx val="9"/>
          <c:order val="9"/>
          <c:tx>
            <c:strRef>
              <c:f>'IAP Current'!$K$1</c:f>
              <c:strCache>
                <c:ptCount val="1"/>
                <c:pt idx="0">
                  <c:v>48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Current'!$K$2:$K$43</c:f>
              <c:numCache>
                <c:formatCode>General</c:formatCode>
                <c:ptCount val="42"/>
                <c:pt idx="0">
                  <c:v>72</c:v>
                </c:pt>
                <c:pt idx="1">
                  <c:v>72</c:v>
                </c:pt>
                <c:pt idx="2">
                  <c:v>67</c:v>
                </c:pt>
                <c:pt idx="3">
                  <c:v>68</c:v>
                </c:pt>
                <c:pt idx="4">
                  <c:v>61</c:v>
                </c:pt>
                <c:pt idx="5">
                  <c:v>58</c:v>
                </c:pt>
                <c:pt idx="6">
                  <c:v>64</c:v>
                </c:pt>
                <c:pt idx="7">
                  <c:v>65</c:v>
                </c:pt>
                <c:pt idx="8">
                  <c:v>63</c:v>
                </c:pt>
                <c:pt idx="9">
                  <c:v>58</c:v>
                </c:pt>
                <c:pt idx="10">
                  <c:v>60</c:v>
                </c:pt>
                <c:pt idx="11">
                  <c:v>60</c:v>
                </c:pt>
                <c:pt idx="12">
                  <c:v>61</c:v>
                </c:pt>
                <c:pt idx="13">
                  <c:v>65</c:v>
                </c:pt>
                <c:pt idx="14">
                  <c:v>69</c:v>
                </c:pt>
                <c:pt idx="15">
                  <c:v>74</c:v>
                </c:pt>
                <c:pt idx="16">
                  <c:v>79</c:v>
                </c:pt>
                <c:pt idx="17">
                  <c:v>83</c:v>
                </c:pt>
                <c:pt idx="18">
                  <c:v>84</c:v>
                </c:pt>
                <c:pt idx="19">
                  <c:v>82</c:v>
                </c:pt>
                <c:pt idx="20">
                  <c:v>76</c:v>
                </c:pt>
                <c:pt idx="21">
                  <c:v>74</c:v>
                </c:pt>
                <c:pt idx="22">
                  <c:v>74</c:v>
                </c:pt>
                <c:pt idx="23">
                  <c:v>74</c:v>
                </c:pt>
                <c:pt idx="24">
                  <c:v>74</c:v>
                </c:pt>
                <c:pt idx="25">
                  <c:v>76</c:v>
                </c:pt>
                <c:pt idx="26">
                  <c:v>79</c:v>
                </c:pt>
                <c:pt idx="27">
                  <c:v>79</c:v>
                </c:pt>
                <c:pt idx="28">
                  <c:v>79</c:v>
                </c:pt>
                <c:pt idx="29">
                  <c:v>79</c:v>
                </c:pt>
                <c:pt idx="30">
                  <c:v>79</c:v>
                </c:pt>
                <c:pt idx="31">
                  <c:v>79</c:v>
                </c:pt>
                <c:pt idx="32">
                  <c:v>80</c:v>
                </c:pt>
                <c:pt idx="33">
                  <c:v>83</c:v>
                </c:pt>
                <c:pt idx="34">
                  <c:v>83</c:v>
                </c:pt>
                <c:pt idx="35">
                  <c:v>80</c:v>
                </c:pt>
                <c:pt idx="36">
                  <c:v>80</c:v>
                </c:pt>
                <c:pt idx="37">
                  <c:v>80</c:v>
                </c:pt>
                <c:pt idx="38">
                  <c:v>80</c:v>
                </c:pt>
                <c:pt idx="39">
                  <c:v>80</c:v>
                </c:pt>
                <c:pt idx="40">
                  <c:v>80</c:v>
                </c:pt>
                <c:pt idx="41">
                  <c:v>80</c:v>
                </c:pt>
              </c:numCache>
            </c:numRef>
          </c:val>
          <c:extLst>
            <c:ext xmlns:c16="http://schemas.microsoft.com/office/drawing/2014/chart" uri="{C3380CC4-5D6E-409C-BE32-E72D297353CC}">
              <c16:uniqueId val="{00000009-57DA-47AC-9E0D-08130A7033CE}"/>
            </c:ext>
          </c:extLst>
        </c:ser>
        <c:ser>
          <c:idx val="10"/>
          <c:order val="10"/>
          <c:tx>
            <c:strRef>
              <c:f>'IAP Current'!$L$1</c:f>
              <c:strCache>
                <c:ptCount val="1"/>
                <c:pt idx="0">
                  <c:v>44</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Current'!$L$2:$L$43</c:f>
              <c:numCache>
                <c:formatCode>General</c:formatCode>
                <c:ptCount val="42"/>
                <c:pt idx="0">
                  <c:v>78</c:v>
                </c:pt>
                <c:pt idx="1">
                  <c:v>78</c:v>
                </c:pt>
                <c:pt idx="2">
                  <c:v>72</c:v>
                </c:pt>
                <c:pt idx="3">
                  <c:v>71</c:v>
                </c:pt>
                <c:pt idx="4">
                  <c:v>67</c:v>
                </c:pt>
                <c:pt idx="5">
                  <c:v>64</c:v>
                </c:pt>
                <c:pt idx="6">
                  <c:v>67</c:v>
                </c:pt>
                <c:pt idx="7">
                  <c:v>70</c:v>
                </c:pt>
                <c:pt idx="8">
                  <c:v>68</c:v>
                </c:pt>
                <c:pt idx="9">
                  <c:v>64</c:v>
                </c:pt>
                <c:pt idx="10">
                  <c:v>64</c:v>
                </c:pt>
                <c:pt idx="11">
                  <c:v>65</c:v>
                </c:pt>
                <c:pt idx="12">
                  <c:v>67</c:v>
                </c:pt>
                <c:pt idx="13">
                  <c:v>69</c:v>
                </c:pt>
                <c:pt idx="14">
                  <c:v>74</c:v>
                </c:pt>
                <c:pt idx="15">
                  <c:v>79</c:v>
                </c:pt>
                <c:pt idx="16">
                  <c:v>84</c:v>
                </c:pt>
                <c:pt idx="17">
                  <c:v>87</c:v>
                </c:pt>
                <c:pt idx="18">
                  <c:v>88</c:v>
                </c:pt>
                <c:pt idx="19">
                  <c:v>84</c:v>
                </c:pt>
                <c:pt idx="20">
                  <c:v>80</c:v>
                </c:pt>
                <c:pt idx="21">
                  <c:v>78</c:v>
                </c:pt>
                <c:pt idx="22">
                  <c:v>76</c:v>
                </c:pt>
                <c:pt idx="23">
                  <c:v>76</c:v>
                </c:pt>
                <c:pt idx="24">
                  <c:v>78</c:v>
                </c:pt>
                <c:pt idx="25">
                  <c:v>79</c:v>
                </c:pt>
                <c:pt idx="26">
                  <c:v>82</c:v>
                </c:pt>
                <c:pt idx="27">
                  <c:v>83</c:v>
                </c:pt>
                <c:pt idx="28">
                  <c:v>83</c:v>
                </c:pt>
                <c:pt idx="29">
                  <c:v>83</c:v>
                </c:pt>
                <c:pt idx="30">
                  <c:v>83</c:v>
                </c:pt>
                <c:pt idx="31">
                  <c:v>83</c:v>
                </c:pt>
                <c:pt idx="32">
                  <c:v>84</c:v>
                </c:pt>
                <c:pt idx="33">
                  <c:v>86</c:v>
                </c:pt>
                <c:pt idx="34">
                  <c:v>86</c:v>
                </c:pt>
                <c:pt idx="35">
                  <c:v>86</c:v>
                </c:pt>
                <c:pt idx="36">
                  <c:v>86</c:v>
                </c:pt>
                <c:pt idx="37">
                  <c:v>86</c:v>
                </c:pt>
                <c:pt idx="38">
                  <c:v>86</c:v>
                </c:pt>
                <c:pt idx="39">
                  <c:v>86</c:v>
                </c:pt>
                <c:pt idx="40">
                  <c:v>86</c:v>
                </c:pt>
                <c:pt idx="41">
                  <c:v>86</c:v>
                </c:pt>
              </c:numCache>
            </c:numRef>
          </c:val>
          <c:extLst>
            <c:ext xmlns:c16="http://schemas.microsoft.com/office/drawing/2014/chart" uri="{C3380CC4-5D6E-409C-BE32-E72D297353CC}">
              <c16:uniqueId val="{0000000A-57DA-47AC-9E0D-08130A7033CE}"/>
            </c:ext>
          </c:extLst>
        </c:ser>
        <c:ser>
          <c:idx val="11"/>
          <c:order val="11"/>
          <c:tx>
            <c:strRef>
              <c:f>'IAP Current'!$M$1</c:f>
              <c:strCache>
                <c:ptCount val="1"/>
                <c:pt idx="0">
                  <c:v>40</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Current'!$M$2:$M$43</c:f>
              <c:numCache>
                <c:formatCode>General</c:formatCode>
                <c:ptCount val="42"/>
                <c:pt idx="0">
                  <c:v>78</c:v>
                </c:pt>
                <c:pt idx="1">
                  <c:v>78</c:v>
                </c:pt>
                <c:pt idx="2">
                  <c:v>74</c:v>
                </c:pt>
                <c:pt idx="3">
                  <c:v>75</c:v>
                </c:pt>
                <c:pt idx="4">
                  <c:v>72</c:v>
                </c:pt>
                <c:pt idx="5">
                  <c:v>69</c:v>
                </c:pt>
                <c:pt idx="6">
                  <c:v>71</c:v>
                </c:pt>
                <c:pt idx="7">
                  <c:v>75</c:v>
                </c:pt>
                <c:pt idx="8">
                  <c:v>70</c:v>
                </c:pt>
                <c:pt idx="9">
                  <c:v>67</c:v>
                </c:pt>
                <c:pt idx="10">
                  <c:v>66</c:v>
                </c:pt>
                <c:pt idx="11">
                  <c:v>68</c:v>
                </c:pt>
                <c:pt idx="12">
                  <c:v>70</c:v>
                </c:pt>
                <c:pt idx="13">
                  <c:v>74</c:v>
                </c:pt>
                <c:pt idx="14">
                  <c:v>79</c:v>
                </c:pt>
                <c:pt idx="15">
                  <c:v>84</c:v>
                </c:pt>
                <c:pt idx="16">
                  <c:v>89</c:v>
                </c:pt>
                <c:pt idx="17">
                  <c:v>91</c:v>
                </c:pt>
                <c:pt idx="18">
                  <c:v>92</c:v>
                </c:pt>
                <c:pt idx="19">
                  <c:v>89</c:v>
                </c:pt>
                <c:pt idx="20">
                  <c:v>84</c:v>
                </c:pt>
                <c:pt idx="21">
                  <c:v>82</c:v>
                </c:pt>
                <c:pt idx="22">
                  <c:v>80</c:v>
                </c:pt>
                <c:pt idx="23">
                  <c:v>79</c:v>
                </c:pt>
                <c:pt idx="24">
                  <c:v>79</c:v>
                </c:pt>
                <c:pt idx="25">
                  <c:v>83</c:v>
                </c:pt>
                <c:pt idx="26">
                  <c:v>86</c:v>
                </c:pt>
                <c:pt idx="27">
                  <c:v>86</c:v>
                </c:pt>
                <c:pt idx="28">
                  <c:v>86</c:v>
                </c:pt>
                <c:pt idx="29">
                  <c:v>86</c:v>
                </c:pt>
                <c:pt idx="30">
                  <c:v>86</c:v>
                </c:pt>
                <c:pt idx="31">
                  <c:v>86</c:v>
                </c:pt>
                <c:pt idx="32">
                  <c:v>88</c:v>
                </c:pt>
                <c:pt idx="33">
                  <c:v>88</c:v>
                </c:pt>
                <c:pt idx="34">
                  <c:v>88</c:v>
                </c:pt>
                <c:pt idx="35">
                  <c:v>88</c:v>
                </c:pt>
                <c:pt idx="36">
                  <c:v>88</c:v>
                </c:pt>
                <c:pt idx="37">
                  <c:v>88</c:v>
                </c:pt>
                <c:pt idx="38">
                  <c:v>88</c:v>
                </c:pt>
                <c:pt idx="39">
                  <c:v>88</c:v>
                </c:pt>
                <c:pt idx="40">
                  <c:v>88</c:v>
                </c:pt>
                <c:pt idx="41">
                  <c:v>88</c:v>
                </c:pt>
              </c:numCache>
            </c:numRef>
          </c:val>
          <c:extLst>
            <c:ext xmlns:c16="http://schemas.microsoft.com/office/drawing/2014/chart" uri="{C3380CC4-5D6E-409C-BE32-E72D297353CC}">
              <c16:uniqueId val="{0000000B-57DA-47AC-9E0D-08130A7033CE}"/>
            </c:ext>
          </c:extLst>
        </c:ser>
        <c:ser>
          <c:idx val="12"/>
          <c:order val="12"/>
          <c:tx>
            <c:strRef>
              <c:f>'IAP Current'!$N$1</c:f>
              <c:strCache>
                <c:ptCount val="1"/>
                <c:pt idx="0">
                  <c:v>36</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Current'!$N$2:$N$43</c:f>
              <c:numCache>
                <c:formatCode>General</c:formatCode>
                <c:ptCount val="42"/>
                <c:pt idx="0">
                  <c:v>80</c:v>
                </c:pt>
                <c:pt idx="1">
                  <c:v>80</c:v>
                </c:pt>
                <c:pt idx="2">
                  <c:v>82</c:v>
                </c:pt>
                <c:pt idx="3">
                  <c:v>76</c:v>
                </c:pt>
                <c:pt idx="4">
                  <c:v>75</c:v>
                </c:pt>
                <c:pt idx="5">
                  <c:v>76</c:v>
                </c:pt>
                <c:pt idx="6">
                  <c:v>78</c:v>
                </c:pt>
                <c:pt idx="7">
                  <c:v>78</c:v>
                </c:pt>
                <c:pt idx="8">
                  <c:v>76</c:v>
                </c:pt>
                <c:pt idx="9">
                  <c:v>71</c:v>
                </c:pt>
                <c:pt idx="10">
                  <c:v>69</c:v>
                </c:pt>
                <c:pt idx="11">
                  <c:v>71</c:v>
                </c:pt>
                <c:pt idx="12">
                  <c:v>74</c:v>
                </c:pt>
                <c:pt idx="13">
                  <c:v>79</c:v>
                </c:pt>
                <c:pt idx="14">
                  <c:v>84</c:v>
                </c:pt>
                <c:pt idx="15">
                  <c:v>88</c:v>
                </c:pt>
                <c:pt idx="16">
                  <c:v>92</c:v>
                </c:pt>
                <c:pt idx="17">
                  <c:v>96</c:v>
                </c:pt>
                <c:pt idx="18">
                  <c:v>97</c:v>
                </c:pt>
                <c:pt idx="19">
                  <c:v>92</c:v>
                </c:pt>
                <c:pt idx="20">
                  <c:v>87</c:v>
                </c:pt>
                <c:pt idx="21">
                  <c:v>86</c:v>
                </c:pt>
                <c:pt idx="22">
                  <c:v>86</c:v>
                </c:pt>
                <c:pt idx="23">
                  <c:v>84</c:v>
                </c:pt>
                <c:pt idx="24">
                  <c:v>83</c:v>
                </c:pt>
                <c:pt idx="25">
                  <c:v>87</c:v>
                </c:pt>
                <c:pt idx="26">
                  <c:v>89</c:v>
                </c:pt>
                <c:pt idx="27">
                  <c:v>90</c:v>
                </c:pt>
                <c:pt idx="28">
                  <c:v>90</c:v>
                </c:pt>
                <c:pt idx="29">
                  <c:v>89</c:v>
                </c:pt>
                <c:pt idx="30">
                  <c:v>89</c:v>
                </c:pt>
                <c:pt idx="31">
                  <c:v>89</c:v>
                </c:pt>
                <c:pt idx="32">
                  <c:v>90</c:v>
                </c:pt>
                <c:pt idx="33">
                  <c:v>90</c:v>
                </c:pt>
                <c:pt idx="34">
                  <c:v>90</c:v>
                </c:pt>
                <c:pt idx="35">
                  <c:v>90</c:v>
                </c:pt>
                <c:pt idx="36">
                  <c:v>90</c:v>
                </c:pt>
                <c:pt idx="37">
                  <c:v>90</c:v>
                </c:pt>
                <c:pt idx="38">
                  <c:v>90</c:v>
                </c:pt>
                <c:pt idx="39">
                  <c:v>90</c:v>
                </c:pt>
                <c:pt idx="40">
                  <c:v>90</c:v>
                </c:pt>
                <c:pt idx="41">
                  <c:v>90</c:v>
                </c:pt>
              </c:numCache>
            </c:numRef>
          </c:val>
          <c:extLst>
            <c:ext xmlns:c16="http://schemas.microsoft.com/office/drawing/2014/chart" uri="{C3380CC4-5D6E-409C-BE32-E72D297353CC}">
              <c16:uniqueId val="{0000000C-57DA-47AC-9E0D-08130A7033CE}"/>
            </c:ext>
          </c:extLst>
        </c:ser>
        <c:ser>
          <c:idx val="13"/>
          <c:order val="13"/>
          <c:tx>
            <c:strRef>
              <c:f>'IAP Current'!$O$1</c:f>
              <c:strCache>
                <c:ptCount val="1"/>
                <c:pt idx="0">
                  <c:v>32</c:v>
                </c:pt>
              </c:strCache>
            </c:strRef>
          </c:tx>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Current'!$O$2:$O$43</c:f>
              <c:numCache>
                <c:formatCode>General</c:formatCode>
                <c:ptCount val="42"/>
                <c:pt idx="0">
                  <c:v>86</c:v>
                </c:pt>
                <c:pt idx="1">
                  <c:v>86</c:v>
                </c:pt>
                <c:pt idx="2">
                  <c:v>84</c:v>
                </c:pt>
                <c:pt idx="3">
                  <c:v>80</c:v>
                </c:pt>
                <c:pt idx="4">
                  <c:v>79</c:v>
                </c:pt>
                <c:pt idx="5">
                  <c:v>80</c:v>
                </c:pt>
                <c:pt idx="6">
                  <c:v>80</c:v>
                </c:pt>
                <c:pt idx="7">
                  <c:v>84</c:v>
                </c:pt>
                <c:pt idx="8">
                  <c:v>80</c:v>
                </c:pt>
                <c:pt idx="9">
                  <c:v>75</c:v>
                </c:pt>
                <c:pt idx="10">
                  <c:v>72</c:v>
                </c:pt>
                <c:pt idx="11">
                  <c:v>75</c:v>
                </c:pt>
                <c:pt idx="12">
                  <c:v>78</c:v>
                </c:pt>
                <c:pt idx="13">
                  <c:v>83</c:v>
                </c:pt>
                <c:pt idx="14">
                  <c:v>88</c:v>
                </c:pt>
                <c:pt idx="15">
                  <c:v>92</c:v>
                </c:pt>
                <c:pt idx="16">
                  <c:v>97</c:v>
                </c:pt>
                <c:pt idx="17">
                  <c:v>99</c:v>
                </c:pt>
                <c:pt idx="18">
                  <c:v>99</c:v>
                </c:pt>
                <c:pt idx="19">
                  <c:v>97</c:v>
                </c:pt>
                <c:pt idx="20">
                  <c:v>92</c:v>
                </c:pt>
                <c:pt idx="21">
                  <c:v>89</c:v>
                </c:pt>
                <c:pt idx="22">
                  <c:v>88</c:v>
                </c:pt>
                <c:pt idx="23">
                  <c:v>87</c:v>
                </c:pt>
                <c:pt idx="24">
                  <c:v>87</c:v>
                </c:pt>
                <c:pt idx="25">
                  <c:v>91</c:v>
                </c:pt>
                <c:pt idx="26">
                  <c:v>94</c:v>
                </c:pt>
                <c:pt idx="27">
                  <c:v>94</c:v>
                </c:pt>
                <c:pt idx="28">
                  <c:v>93</c:v>
                </c:pt>
                <c:pt idx="29">
                  <c:v>93</c:v>
                </c:pt>
                <c:pt idx="30">
                  <c:v>93</c:v>
                </c:pt>
                <c:pt idx="31">
                  <c:v>92</c:v>
                </c:pt>
                <c:pt idx="32">
                  <c:v>93</c:v>
                </c:pt>
                <c:pt idx="33">
                  <c:v>93</c:v>
                </c:pt>
                <c:pt idx="34">
                  <c:v>93</c:v>
                </c:pt>
                <c:pt idx="35">
                  <c:v>94</c:v>
                </c:pt>
                <c:pt idx="36">
                  <c:v>94</c:v>
                </c:pt>
                <c:pt idx="37">
                  <c:v>94</c:v>
                </c:pt>
                <c:pt idx="38">
                  <c:v>94</c:v>
                </c:pt>
                <c:pt idx="39">
                  <c:v>94</c:v>
                </c:pt>
                <c:pt idx="40">
                  <c:v>94</c:v>
                </c:pt>
                <c:pt idx="41">
                  <c:v>94</c:v>
                </c:pt>
              </c:numCache>
            </c:numRef>
          </c:val>
          <c:extLst>
            <c:ext xmlns:c16="http://schemas.microsoft.com/office/drawing/2014/chart" uri="{C3380CC4-5D6E-409C-BE32-E72D297353CC}">
              <c16:uniqueId val="{0000000D-57DA-47AC-9E0D-08130A7033CE}"/>
            </c:ext>
          </c:extLst>
        </c:ser>
        <c:ser>
          <c:idx val="14"/>
          <c:order val="14"/>
          <c:tx>
            <c:strRef>
              <c:f>'IAP Current'!$P$1</c:f>
              <c:strCache>
                <c:ptCount val="1"/>
                <c:pt idx="0">
                  <c:v>24</c:v>
                </c:pt>
              </c:strCache>
            </c:strRef>
          </c:tx>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Current'!$P$2:$P$43</c:f>
              <c:numCache>
                <c:formatCode>General</c:formatCode>
                <c:ptCount val="42"/>
                <c:pt idx="0">
                  <c:v>93</c:v>
                </c:pt>
                <c:pt idx="1">
                  <c:v>93</c:v>
                </c:pt>
                <c:pt idx="2">
                  <c:v>89</c:v>
                </c:pt>
                <c:pt idx="3">
                  <c:v>86</c:v>
                </c:pt>
                <c:pt idx="4">
                  <c:v>86</c:v>
                </c:pt>
                <c:pt idx="5">
                  <c:v>87</c:v>
                </c:pt>
                <c:pt idx="6">
                  <c:v>87</c:v>
                </c:pt>
                <c:pt idx="7">
                  <c:v>88</c:v>
                </c:pt>
                <c:pt idx="8">
                  <c:v>83</c:v>
                </c:pt>
                <c:pt idx="9">
                  <c:v>80</c:v>
                </c:pt>
                <c:pt idx="10">
                  <c:v>79</c:v>
                </c:pt>
                <c:pt idx="11">
                  <c:v>82</c:v>
                </c:pt>
                <c:pt idx="12">
                  <c:v>84</c:v>
                </c:pt>
                <c:pt idx="13">
                  <c:v>89</c:v>
                </c:pt>
                <c:pt idx="14">
                  <c:v>94</c:v>
                </c:pt>
                <c:pt idx="15">
                  <c:v>99</c:v>
                </c:pt>
                <c:pt idx="16">
                  <c:v>103</c:v>
                </c:pt>
                <c:pt idx="17">
                  <c:v>104</c:v>
                </c:pt>
                <c:pt idx="18">
                  <c:v>107</c:v>
                </c:pt>
                <c:pt idx="19">
                  <c:v>102</c:v>
                </c:pt>
                <c:pt idx="20">
                  <c:v>98</c:v>
                </c:pt>
                <c:pt idx="21">
                  <c:v>96</c:v>
                </c:pt>
                <c:pt idx="22">
                  <c:v>92</c:v>
                </c:pt>
                <c:pt idx="23">
                  <c:v>93</c:v>
                </c:pt>
                <c:pt idx="24">
                  <c:v>96</c:v>
                </c:pt>
                <c:pt idx="25">
                  <c:v>98</c:v>
                </c:pt>
                <c:pt idx="26">
                  <c:v>99</c:v>
                </c:pt>
                <c:pt idx="27">
                  <c:v>99</c:v>
                </c:pt>
                <c:pt idx="28">
                  <c:v>98</c:v>
                </c:pt>
                <c:pt idx="29">
                  <c:v>97</c:v>
                </c:pt>
                <c:pt idx="30">
                  <c:v>98</c:v>
                </c:pt>
                <c:pt idx="31">
                  <c:v>98</c:v>
                </c:pt>
                <c:pt idx="32">
                  <c:v>98</c:v>
                </c:pt>
                <c:pt idx="33">
                  <c:v>99</c:v>
                </c:pt>
                <c:pt idx="34">
                  <c:v>99</c:v>
                </c:pt>
                <c:pt idx="35">
                  <c:v>102</c:v>
                </c:pt>
                <c:pt idx="36">
                  <c:v>102</c:v>
                </c:pt>
                <c:pt idx="37">
                  <c:v>102</c:v>
                </c:pt>
                <c:pt idx="38">
                  <c:v>102</c:v>
                </c:pt>
                <c:pt idx="39">
                  <c:v>102</c:v>
                </c:pt>
                <c:pt idx="40">
                  <c:v>102</c:v>
                </c:pt>
                <c:pt idx="41">
                  <c:v>102</c:v>
                </c:pt>
              </c:numCache>
            </c:numRef>
          </c:val>
          <c:extLst>
            <c:ext xmlns:c16="http://schemas.microsoft.com/office/drawing/2014/chart" uri="{C3380CC4-5D6E-409C-BE32-E72D297353CC}">
              <c16:uniqueId val="{0000000E-57DA-47AC-9E0D-08130A7033CE}"/>
            </c:ext>
          </c:extLst>
        </c:ser>
        <c:ser>
          <c:idx val="15"/>
          <c:order val="15"/>
          <c:tx>
            <c:strRef>
              <c:f>'IAP Current'!$Q$1</c:f>
              <c:strCache>
                <c:ptCount val="1"/>
                <c:pt idx="0">
                  <c:v>20</c:v>
                </c:pt>
              </c:strCache>
            </c:strRef>
          </c:tx>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Current'!$Q$2:$Q$43</c:f>
              <c:numCache>
                <c:formatCode>General</c:formatCode>
                <c:ptCount val="42"/>
                <c:pt idx="0">
                  <c:v>102</c:v>
                </c:pt>
                <c:pt idx="1">
                  <c:v>102</c:v>
                </c:pt>
                <c:pt idx="2">
                  <c:v>96</c:v>
                </c:pt>
                <c:pt idx="3">
                  <c:v>90</c:v>
                </c:pt>
                <c:pt idx="4">
                  <c:v>89</c:v>
                </c:pt>
                <c:pt idx="5">
                  <c:v>90</c:v>
                </c:pt>
                <c:pt idx="6">
                  <c:v>92</c:v>
                </c:pt>
                <c:pt idx="7">
                  <c:v>92</c:v>
                </c:pt>
                <c:pt idx="8">
                  <c:v>89</c:v>
                </c:pt>
                <c:pt idx="9">
                  <c:v>86</c:v>
                </c:pt>
                <c:pt idx="10">
                  <c:v>84</c:v>
                </c:pt>
                <c:pt idx="11">
                  <c:v>87</c:v>
                </c:pt>
                <c:pt idx="12">
                  <c:v>90</c:v>
                </c:pt>
                <c:pt idx="13">
                  <c:v>97</c:v>
                </c:pt>
                <c:pt idx="14">
                  <c:v>102</c:v>
                </c:pt>
                <c:pt idx="15">
                  <c:v>106</c:v>
                </c:pt>
                <c:pt idx="16">
                  <c:v>109</c:v>
                </c:pt>
                <c:pt idx="17">
                  <c:v>112</c:v>
                </c:pt>
                <c:pt idx="18">
                  <c:v>112</c:v>
                </c:pt>
                <c:pt idx="19">
                  <c:v>107</c:v>
                </c:pt>
                <c:pt idx="20">
                  <c:v>102</c:v>
                </c:pt>
                <c:pt idx="21">
                  <c:v>99</c:v>
                </c:pt>
                <c:pt idx="22">
                  <c:v>99</c:v>
                </c:pt>
                <c:pt idx="23">
                  <c:v>99</c:v>
                </c:pt>
                <c:pt idx="24">
                  <c:v>101</c:v>
                </c:pt>
                <c:pt idx="25">
                  <c:v>102</c:v>
                </c:pt>
                <c:pt idx="26">
                  <c:v>103</c:v>
                </c:pt>
                <c:pt idx="27">
                  <c:v>103</c:v>
                </c:pt>
                <c:pt idx="28">
                  <c:v>104</c:v>
                </c:pt>
                <c:pt idx="29">
                  <c:v>104</c:v>
                </c:pt>
                <c:pt idx="30">
                  <c:v>107</c:v>
                </c:pt>
                <c:pt idx="31">
                  <c:v>107</c:v>
                </c:pt>
                <c:pt idx="32">
                  <c:v>107</c:v>
                </c:pt>
                <c:pt idx="33">
                  <c:v>104</c:v>
                </c:pt>
                <c:pt idx="34">
                  <c:v>104</c:v>
                </c:pt>
                <c:pt idx="35">
                  <c:v>104</c:v>
                </c:pt>
                <c:pt idx="36">
                  <c:v>107</c:v>
                </c:pt>
                <c:pt idx="37">
                  <c:v>107</c:v>
                </c:pt>
                <c:pt idx="38">
                  <c:v>107</c:v>
                </c:pt>
                <c:pt idx="39">
                  <c:v>107</c:v>
                </c:pt>
                <c:pt idx="40">
                  <c:v>107</c:v>
                </c:pt>
                <c:pt idx="41">
                  <c:v>107</c:v>
                </c:pt>
              </c:numCache>
            </c:numRef>
          </c:val>
          <c:extLst>
            <c:ext xmlns:c16="http://schemas.microsoft.com/office/drawing/2014/chart" uri="{C3380CC4-5D6E-409C-BE32-E72D297353CC}">
              <c16:uniqueId val="{0000000F-57DA-47AC-9E0D-08130A7033CE}"/>
            </c:ext>
          </c:extLst>
        </c:ser>
        <c:ser>
          <c:idx val="16"/>
          <c:order val="16"/>
          <c:tx>
            <c:strRef>
              <c:f>'IAP Current'!$R$1</c:f>
              <c:strCache>
                <c:ptCount val="1"/>
                <c:pt idx="0">
                  <c:v>16</c:v>
                </c:pt>
              </c:strCache>
            </c:strRef>
          </c:tx>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Current'!$R$2:$R$43</c:f>
              <c:numCache>
                <c:formatCode>General</c:formatCode>
                <c:ptCount val="42"/>
                <c:pt idx="0">
                  <c:v>108</c:v>
                </c:pt>
                <c:pt idx="1">
                  <c:v>108</c:v>
                </c:pt>
                <c:pt idx="2">
                  <c:v>101</c:v>
                </c:pt>
                <c:pt idx="3">
                  <c:v>93</c:v>
                </c:pt>
                <c:pt idx="4">
                  <c:v>92</c:v>
                </c:pt>
                <c:pt idx="5">
                  <c:v>94</c:v>
                </c:pt>
                <c:pt idx="6">
                  <c:v>97</c:v>
                </c:pt>
                <c:pt idx="7">
                  <c:v>97</c:v>
                </c:pt>
                <c:pt idx="8">
                  <c:v>94</c:v>
                </c:pt>
                <c:pt idx="9">
                  <c:v>92</c:v>
                </c:pt>
                <c:pt idx="10">
                  <c:v>92</c:v>
                </c:pt>
                <c:pt idx="11">
                  <c:v>94</c:v>
                </c:pt>
                <c:pt idx="12">
                  <c:v>97</c:v>
                </c:pt>
                <c:pt idx="13">
                  <c:v>104</c:v>
                </c:pt>
                <c:pt idx="14">
                  <c:v>109</c:v>
                </c:pt>
                <c:pt idx="15">
                  <c:v>113</c:v>
                </c:pt>
                <c:pt idx="16">
                  <c:v>117</c:v>
                </c:pt>
                <c:pt idx="17">
                  <c:v>118</c:v>
                </c:pt>
                <c:pt idx="18">
                  <c:v>118</c:v>
                </c:pt>
                <c:pt idx="19">
                  <c:v>114</c:v>
                </c:pt>
                <c:pt idx="20">
                  <c:v>109</c:v>
                </c:pt>
                <c:pt idx="21">
                  <c:v>107</c:v>
                </c:pt>
                <c:pt idx="22">
                  <c:v>106</c:v>
                </c:pt>
                <c:pt idx="23">
                  <c:v>108</c:v>
                </c:pt>
                <c:pt idx="24">
                  <c:v>112</c:v>
                </c:pt>
                <c:pt idx="25">
                  <c:v>112</c:v>
                </c:pt>
                <c:pt idx="26">
                  <c:v>113</c:v>
                </c:pt>
                <c:pt idx="27">
                  <c:v>113</c:v>
                </c:pt>
                <c:pt idx="28">
                  <c:v>113</c:v>
                </c:pt>
                <c:pt idx="29">
                  <c:v>114</c:v>
                </c:pt>
                <c:pt idx="30">
                  <c:v>114</c:v>
                </c:pt>
                <c:pt idx="31">
                  <c:v>114</c:v>
                </c:pt>
                <c:pt idx="32">
                  <c:v>114</c:v>
                </c:pt>
                <c:pt idx="33">
                  <c:v>113</c:v>
                </c:pt>
                <c:pt idx="34">
                  <c:v>109</c:v>
                </c:pt>
                <c:pt idx="35">
                  <c:v>109</c:v>
                </c:pt>
                <c:pt idx="36">
                  <c:v>109</c:v>
                </c:pt>
                <c:pt idx="37">
                  <c:v>109</c:v>
                </c:pt>
                <c:pt idx="38">
                  <c:v>109</c:v>
                </c:pt>
                <c:pt idx="39">
                  <c:v>109</c:v>
                </c:pt>
                <c:pt idx="40">
                  <c:v>109</c:v>
                </c:pt>
                <c:pt idx="41">
                  <c:v>109</c:v>
                </c:pt>
              </c:numCache>
            </c:numRef>
          </c:val>
          <c:extLst>
            <c:ext xmlns:c16="http://schemas.microsoft.com/office/drawing/2014/chart" uri="{C3380CC4-5D6E-409C-BE32-E72D297353CC}">
              <c16:uniqueId val="{00000010-57DA-47AC-9E0D-08130A7033CE}"/>
            </c:ext>
          </c:extLst>
        </c:ser>
        <c:ser>
          <c:idx val="17"/>
          <c:order val="17"/>
          <c:tx>
            <c:strRef>
              <c:f>'IAP Current'!$S$1</c:f>
              <c:strCache>
                <c:ptCount val="1"/>
                <c:pt idx="0">
                  <c:v>12</c:v>
                </c:pt>
              </c:strCache>
            </c:strRef>
          </c:tx>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Current'!$S$2:$S$43</c:f>
              <c:numCache>
                <c:formatCode>General</c:formatCode>
                <c:ptCount val="42"/>
                <c:pt idx="0">
                  <c:v>117</c:v>
                </c:pt>
                <c:pt idx="1">
                  <c:v>117</c:v>
                </c:pt>
                <c:pt idx="2">
                  <c:v>113</c:v>
                </c:pt>
                <c:pt idx="3">
                  <c:v>99</c:v>
                </c:pt>
                <c:pt idx="4">
                  <c:v>98</c:v>
                </c:pt>
                <c:pt idx="5">
                  <c:v>102</c:v>
                </c:pt>
                <c:pt idx="6">
                  <c:v>107</c:v>
                </c:pt>
                <c:pt idx="7">
                  <c:v>103</c:v>
                </c:pt>
                <c:pt idx="8">
                  <c:v>96</c:v>
                </c:pt>
                <c:pt idx="9">
                  <c:v>94</c:v>
                </c:pt>
                <c:pt idx="10">
                  <c:v>96</c:v>
                </c:pt>
                <c:pt idx="11">
                  <c:v>101</c:v>
                </c:pt>
                <c:pt idx="12">
                  <c:v>107</c:v>
                </c:pt>
                <c:pt idx="13">
                  <c:v>113</c:v>
                </c:pt>
                <c:pt idx="14">
                  <c:v>119</c:v>
                </c:pt>
                <c:pt idx="15">
                  <c:v>124</c:v>
                </c:pt>
                <c:pt idx="16">
                  <c:v>129</c:v>
                </c:pt>
                <c:pt idx="17">
                  <c:v>129</c:v>
                </c:pt>
                <c:pt idx="18">
                  <c:v>128</c:v>
                </c:pt>
                <c:pt idx="19">
                  <c:v>123</c:v>
                </c:pt>
                <c:pt idx="20">
                  <c:v>119</c:v>
                </c:pt>
                <c:pt idx="21">
                  <c:v>116</c:v>
                </c:pt>
                <c:pt idx="22">
                  <c:v>113</c:v>
                </c:pt>
                <c:pt idx="23">
                  <c:v>117</c:v>
                </c:pt>
                <c:pt idx="24">
                  <c:v>122</c:v>
                </c:pt>
                <c:pt idx="25">
                  <c:v>123</c:v>
                </c:pt>
                <c:pt idx="26">
                  <c:v>124</c:v>
                </c:pt>
                <c:pt idx="27">
                  <c:v>124</c:v>
                </c:pt>
                <c:pt idx="28">
                  <c:v>124</c:v>
                </c:pt>
                <c:pt idx="29">
                  <c:v>126</c:v>
                </c:pt>
                <c:pt idx="30">
                  <c:v>128</c:v>
                </c:pt>
                <c:pt idx="31">
                  <c:v>128</c:v>
                </c:pt>
                <c:pt idx="32">
                  <c:v>128</c:v>
                </c:pt>
                <c:pt idx="33">
                  <c:v>124</c:v>
                </c:pt>
                <c:pt idx="34">
                  <c:v>119</c:v>
                </c:pt>
                <c:pt idx="35">
                  <c:v>119</c:v>
                </c:pt>
                <c:pt idx="36">
                  <c:v>122</c:v>
                </c:pt>
                <c:pt idx="37">
                  <c:v>122</c:v>
                </c:pt>
                <c:pt idx="38">
                  <c:v>122</c:v>
                </c:pt>
                <c:pt idx="39">
                  <c:v>122</c:v>
                </c:pt>
                <c:pt idx="40">
                  <c:v>122</c:v>
                </c:pt>
                <c:pt idx="41">
                  <c:v>122</c:v>
                </c:pt>
              </c:numCache>
            </c:numRef>
          </c:val>
          <c:extLst>
            <c:ext xmlns:c16="http://schemas.microsoft.com/office/drawing/2014/chart" uri="{C3380CC4-5D6E-409C-BE32-E72D297353CC}">
              <c16:uniqueId val="{00000011-57DA-47AC-9E0D-08130A7033CE}"/>
            </c:ext>
          </c:extLst>
        </c:ser>
        <c:ser>
          <c:idx val="18"/>
          <c:order val="18"/>
          <c:tx>
            <c:strRef>
              <c:f>'IAP Current'!$T$1</c:f>
              <c:strCache>
                <c:ptCount val="1"/>
                <c:pt idx="0">
                  <c:v>8</c:v>
                </c:pt>
              </c:strCache>
            </c:strRef>
          </c:tx>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Current'!$T$2:$T$43</c:f>
              <c:numCache>
                <c:formatCode>General</c:formatCode>
                <c:ptCount val="42"/>
                <c:pt idx="0">
                  <c:v>128</c:v>
                </c:pt>
                <c:pt idx="1">
                  <c:v>128</c:v>
                </c:pt>
                <c:pt idx="2">
                  <c:v>125</c:v>
                </c:pt>
                <c:pt idx="3">
                  <c:v>114</c:v>
                </c:pt>
                <c:pt idx="4">
                  <c:v>112</c:v>
                </c:pt>
                <c:pt idx="5">
                  <c:v>113</c:v>
                </c:pt>
                <c:pt idx="6">
                  <c:v>122</c:v>
                </c:pt>
                <c:pt idx="7">
                  <c:v>117</c:v>
                </c:pt>
                <c:pt idx="8">
                  <c:v>108</c:v>
                </c:pt>
                <c:pt idx="9">
                  <c:v>106</c:v>
                </c:pt>
                <c:pt idx="10">
                  <c:v>106</c:v>
                </c:pt>
                <c:pt idx="11">
                  <c:v>112</c:v>
                </c:pt>
                <c:pt idx="12">
                  <c:v>120</c:v>
                </c:pt>
                <c:pt idx="13">
                  <c:v>126</c:v>
                </c:pt>
                <c:pt idx="14">
                  <c:v>134</c:v>
                </c:pt>
                <c:pt idx="15">
                  <c:v>139</c:v>
                </c:pt>
                <c:pt idx="16">
                  <c:v>143</c:v>
                </c:pt>
                <c:pt idx="17">
                  <c:v>143</c:v>
                </c:pt>
                <c:pt idx="18">
                  <c:v>142</c:v>
                </c:pt>
                <c:pt idx="19">
                  <c:v>140</c:v>
                </c:pt>
                <c:pt idx="20">
                  <c:v>138</c:v>
                </c:pt>
                <c:pt idx="21">
                  <c:v>136</c:v>
                </c:pt>
                <c:pt idx="22">
                  <c:v>136</c:v>
                </c:pt>
                <c:pt idx="23">
                  <c:v>136</c:v>
                </c:pt>
                <c:pt idx="24">
                  <c:v>139</c:v>
                </c:pt>
                <c:pt idx="25">
                  <c:v>142</c:v>
                </c:pt>
                <c:pt idx="26">
                  <c:v>146</c:v>
                </c:pt>
                <c:pt idx="27">
                  <c:v>148</c:v>
                </c:pt>
                <c:pt idx="28">
                  <c:v>146</c:v>
                </c:pt>
                <c:pt idx="29">
                  <c:v>147</c:v>
                </c:pt>
                <c:pt idx="30">
                  <c:v>156</c:v>
                </c:pt>
                <c:pt idx="31">
                  <c:v>158</c:v>
                </c:pt>
                <c:pt idx="32">
                  <c:v>152</c:v>
                </c:pt>
                <c:pt idx="33">
                  <c:v>150</c:v>
                </c:pt>
                <c:pt idx="34">
                  <c:v>148</c:v>
                </c:pt>
                <c:pt idx="35">
                  <c:v>147</c:v>
                </c:pt>
                <c:pt idx="36">
                  <c:v>147</c:v>
                </c:pt>
                <c:pt idx="37">
                  <c:v>147</c:v>
                </c:pt>
                <c:pt idx="38">
                  <c:v>147</c:v>
                </c:pt>
                <c:pt idx="39">
                  <c:v>147</c:v>
                </c:pt>
                <c:pt idx="40">
                  <c:v>147</c:v>
                </c:pt>
                <c:pt idx="41">
                  <c:v>147</c:v>
                </c:pt>
              </c:numCache>
            </c:numRef>
          </c:val>
          <c:extLst>
            <c:ext xmlns:c16="http://schemas.microsoft.com/office/drawing/2014/chart" uri="{C3380CC4-5D6E-409C-BE32-E72D297353CC}">
              <c16:uniqueId val="{00000012-57DA-47AC-9E0D-08130A7033CE}"/>
            </c:ext>
          </c:extLst>
        </c:ser>
        <c:ser>
          <c:idx val="19"/>
          <c:order val="19"/>
          <c:tx>
            <c:strRef>
              <c:f>'IAP Current'!$U$1</c:f>
              <c:strCache>
                <c:ptCount val="1"/>
                <c:pt idx="0">
                  <c:v>4</c:v>
                </c:pt>
              </c:strCache>
            </c:strRef>
          </c:tx>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Current'!$U$2:$U$43</c:f>
              <c:numCache>
                <c:formatCode>General</c:formatCode>
                <c:ptCount val="42"/>
                <c:pt idx="0">
                  <c:v>155</c:v>
                </c:pt>
                <c:pt idx="1">
                  <c:v>155</c:v>
                </c:pt>
                <c:pt idx="2">
                  <c:v>150</c:v>
                </c:pt>
                <c:pt idx="3">
                  <c:v>143</c:v>
                </c:pt>
                <c:pt idx="4">
                  <c:v>145</c:v>
                </c:pt>
                <c:pt idx="5">
                  <c:v>149</c:v>
                </c:pt>
                <c:pt idx="6">
                  <c:v>152</c:v>
                </c:pt>
                <c:pt idx="7">
                  <c:v>143</c:v>
                </c:pt>
                <c:pt idx="8">
                  <c:v>132</c:v>
                </c:pt>
                <c:pt idx="9">
                  <c:v>130</c:v>
                </c:pt>
                <c:pt idx="10">
                  <c:v>132</c:v>
                </c:pt>
                <c:pt idx="11">
                  <c:v>140</c:v>
                </c:pt>
                <c:pt idx="12">
                  <c:v>162</c:v>
                </c:pt>
                <c:pt idx="13">
                  <c:v>172</c:v>
                </c:pt>
                <c:pt idx="14">
                  <c:v>178</c:v>
                </c:pt>
                <c:pt idx="15">
                  <c:v>178</c:v>
                </c:pt>
                <c:pt idx="16">
                  <c:v>176</c:v>
                </c:pt>
                <c:pt idx="17">
                  <c:v>172</c:v>
                </c:pt>
                <c:pt idx="18">
                  <c:v>170</c:v>
                </c:pt>
                <c:pt idx="19">
                  <c:v>170</c:v>
                </c:pt>
                <c:pt idx="20">
                  <c:v>172</c:v>
                </c:pt>
                <c:pt idx="21">
                  <c:v>175</c:v>
                </c:pt>
                <c:pt idx="22">
                  <c:v>177</c:v>
                </c:pt>
                <c:pt idx="23">
                  <c:v>183</c:v>
                </c:pt>
                <c:pt idx="24">
                  <c:v>190</c:v>
                </c:pt>
                <c:pt idx="25">
                  <c:v>196</c:v>
                </c:pt>
                <c:pt idx="26">
                  <c:v>205</c:v>
                </c:pt>
                <c:pt idx="27">
                  <c:v>214</c:v>
                </c:pt>
                <c:pt idx="28">
                  <c:v>215</c:v>
                </c:pt>
                <c:pt idx="29">
                  <c:v>216</c:v>
                </c:pt>
                <c:pt idx="30">
                  <c:v>216</c:v>
                </c:pt>
                <c:pt idx="31">
                  <c:v>215</c:v>
                </c:pt>
                <c:pt idx="32">
                  <c:v>212</c:v>
                </c:pt>
                <c:pt idx="33">
                  <c:v>211</c:v>
                </c:pt>
                <c:pt idx="34">
                  <c:v>212</c:v>
                </c:pt>
                <c:pt idx="35">
                  <c:v>206</c:v>
                </c:pt>
                <c:pt idx="36">
                  <c:v>202</c:v>
                </c:pt>
                <c:pt idx="37">
                  <c:v>200</c:v>
                </c:pt>
                <c:pt idx="38">
                  <c:v>196</c:v>
                </c:pt>
                <c:pt idx="39">
                  <c:v>196</c:v>
                </c:pt>
                <c:pt idx="40">
                  <c:v>196</c:v>
                </c:pt>
                <c:pt idx="41">
                  <c:v>196</c:v>
                </c:pt>
              </c:numCache>
            </c:numRef>
          </c:val>
          <c:extLst>
            <c:ext xmlns:c16="http://schemas.microsoft.com/office/drawing/2014/chart" uri="{C3380CC4-5D6E-409C-BE32-E72D297353CC}">
              <c16:uniqueId val="{00000013-57DA-47AC-9E0D-08130A7033CE}"/>
            </c:ext>
          </c:extLst>
        </c:ser>
        <c:ser>
          <c:idx val="20"/>
          <c:order val="20"/>
          <c:tx>
            <c:strRef>
              <c:f>'IAP Current'!$V$1</c:f>
              <c:strCache>
                <c:ptCount val="1"/>
                <c:pt idx="0">
                  <c:v>0</c:v>
                </c:pt>
              </c:strCache>
            </c:strRef>
          </c:tx>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Current'!$A$2:$A$43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Current'!$V$2:$V$43</c:f>
              <c:numCache>
                <c:formatCode>General</c:formatCode>
                <c:ptCount val="42"/>
                <c:pt idx="0">
                  <c:v>166</c:v>
                </c:pt>
                <c:pt idx="1">
                  <c:v>166</c:v>
                </c:pt>
                <c:pt idx="2">
                  <c:v>156</c:v>
                </c:pt>
                <c:pt idx="3">
                  <c:v>153</c:v>
                </c:pt>
                <c:pt idx="4">
                  <c:v>155</c:v>
                </c:pt>
                <c:pt idx="5">
                  <c:v>164</c:v>
                </c:pt>
                <c:pt idx="6">
                  <c:v>163</c:v>
                </c:pt>
                <c:pt idx="7">
                  <c:v>166</c:v>
                </c:pt>
                <c:pt idx="8">
                  <c:v>171</c:v>
                </c:pt>
                <c:pt idx="9">
                  <c:v>176</c:v>
                </c:pt>
                <c:pt idx="10">
                  <c:v>183</c:v>
                </c:pt>
                <c:pt idx="11">
                  <c:v>189</c:v>
                </c:pt>
                <c:pt idx="12">
                  <c:v>194</c:v>
                </c:pt>
                <c:pt idx="13">
                  <c:v>196</c:v>
                </c:pt>
                <c:pt idx="14">
                  <c:v>198</c:v>
                </c:pt>
                <c:pt idx="15">
                  <c:v>204</c:v>
                </c:pt>
                <c:pt idx="16">
                  <c:v>208</c:v>
                </c:pt>
                <c:pt idx="17">
                  <c:v>208</c:v>
                </c:pt>
                <c:pt idx="18">
                  <c:v>208</c:v>
                </c:pt>
                <c:pt idx="19">
                  <c:v>204</c:v>
                </c:pt>
                <c:pt idx="20">
                  <c:v>202</c:v>
                </c:pt>
                <c:pt idx="21">
                  <c:v>202</c:v>
                </c:pt>
                <c:pt idx="22">
                  <c:v>202</c:v>
                </c:pt>
                <c:pt idx="23">
                  <c:v>206</c:v>
                </c:pt>
                <c:pt idx="24">
                  <c:v>214</c:v>
                </c:pt>
                <c:pt idx="25">
                  <c:v>218</c:v>
                </c:pt>
                <c:pt idx="26">
                  <c:v>226</c:v>
                </c:pt>
                <c:pt idx="27">
                  <c:v>236</c:v>
                </c:pt>
                <c:pt idx="28">
                  <c:v>239</c:v>
                </c:pt>
                <c:pt idx="29">
                  <c:v>243</c:v>
                </c:pt>
                <c:pt idx="30">
                  <c:v>243</c:v>
                </c:pt>
                <c:pt idx="31">
                  <c:v>245</c:v>
                </c:pt>
                <c:pt idx="32">
                  <c:v>243</c:v>
                </c:pt>
                <c:pt idx="33">
                  <c:v>240</c:v>
                </c:pt>
                <c:pt idx="34">
                  <c:v>243</c:v>
                </c:pt>
                <c:pt idx="35">
                  <c:v>239</c:v>
                </c:pt>
                <c:pt idx="36">
                  <c:v>236</c:v>
                </c:pt>
                <c:pt idx="37">
                  <c:v>231</c:v>
                </c:pt>
                <c:pt idx="38">
                  <c:v>228</c:v>
                </c:pt>
                <c:pt idx="39">
                  <c:v>222</c:v>
                </c:pt>
                <c:pt idx="40">
                  <c:v>222</c:v>
                </c:pt>
                <c:pt idx="41">
                  <c:v>222</c:v>
                </c:pt>
              </c:numCache>
            </c:numRef>
          </c:val>
          <c:extLst>
            <c:ext xmlns:c16="http://schemas.microsoft.com/office/drawing/2014/chart" uri="{C3380CC4-5D6E-409C-BE32-E72D297353CC}">
              <c16:uniqueId val="{00000014-57DA-47AC-9E0D-08130A7033CE}"/>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51115056"/>
        <c:axId val="351109648"/>
        <c:axId val="246914592"/>
      </c:surface3DChart>
      <c:catAx>
        <c:axId val="351115056"/>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09648"/>
        <c:crosses val="autoZero"/>
        <c:auto val="1"/>
        <c:lblAlgn val="ctr"/>
        <c:lblOffset val="100"/>
        <c:noMultiLvlLbl val="0"/>
      </c:catAx>
      <c:valAx>
        <c:axId val="35110964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15056"/>
        <c:crosses val="autoZero"/>
        <c:crossBetween val="midCat"/>
      </c:valAx>
      <c:serAx>
        <c:axId val="246914592"/>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0964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Desired TPS A/F</a:t>
            </a:r>
          </a:p>
        </c:rich>
      </c:tx>
      <c:overlay val="0"/>
      <c:spPr>
        <a:noFill/>
        <a:ln>
          <a:noFill/>
        </a:ln>
        <a:effectLst/>
      </c:spPr>
    </c:title>
    <c:autoTitleDeleted val="0"/>
    <c:view3D>
      <c:rotX val="30"/>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'Des TPS AFR'!$B$1</c:f>
              <c:strCache>
                <c:ptCount val="1"/>
                <c:pt idx="0">
                  <c:v>0</c:v>
                </c:pt>
              </c:strCache>
            </c:strRef>
          </c:tx>
          <c:spPr>
            <a:solidFill>
              <a:schemeClr val="accent1"/>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AFR'!$B$2:$B$43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0-143A-4BA3-ACFD-6BAD200E6285}"/>
            </c:ext>
          </c:extLst>
        </c:ser>
        <c:ser>
          <c:idx val="1"/>
          <c:order val="1"/>
          <c:tx>
            <c:strRef>
              <c:f>'Des TPS AFR'!$C$1</c:f>
              <c:strCache>
                <c:ptCount val="1"/>
                <c:pt idx="0">
                  <c:v>0.6</c:v>
                </c:pt>
              </c:strCache>
            </c:strRef>
          </c:tx>
          <c:spPr>
            <a:solidFill>
              <a:schemeClr val="accent2"/>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AFR'!$C$2:$C$43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1-143A-4BA3-ACFD-6BAD200E6285}"/>
            </c:ext>
          </c:extLst>
        </c:ser>
        <c:ser>
          <c:idx val="2"/>
          <c:order val="2"/>
          <c:tx>
            <c:strRef>
              <c:f>'Des TPS AFR'!$D$1</c:f>
              <c:strCache>
                <c:ptCount val="1"/>
                <c:pt idx="0">
                  <c:v>1.2</c:v>
                </c:pt>
              </c:strCache>
            </c:strRef>
          </c:tx>
          <c:spPr>
            <a:solidFill>
              <a:schemeClr val="accent3"/>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AFR'!$D$2:$D$43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2-143A-4BA3-ACFD-6BAD200E6285}"/>
            </c:ext>
          </c:extLst>
        </c:ser>
        <c:ser>
          <c:idx val="3"/>
          <c:order val="3"/>
          <c:tx>
            <c:strRef>
              <c:f>'Des TPS AFR'!$E$1</c:f>
              <c:strCache>
                <c:ptCount val="1"/>
                <c:pt idx="0">
                  <c:v>1.9</c:v>
                </c:pt>
              </c:strCache>
            </c:strRef>
          </c:tx>
          <c:spPr>
            <a:solidFill>
              <a:schemeClr val="accent4"/>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AFR'!$E$2:$E$43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3-143A-4BA3-ACFD-6BAD200E6285}"/>
            </c:ext>
          </c:extLst>
        </c:ser>
        <c:ser>
          <c:idx val="4"/>
          <c:order val="4"/>
          <c:tx>
            <c:strRef>
              <c:f>'Des TPS AFR'!$F$1</c:f>
              <c:strCache>
                <c:ptCount val="1"/>
                <c:pt idx="0">
                  <c:v>2.5</c:v>
                </c:pt>
              </c:strCache>
            </c:strRef>
          </c:tx>
          <c:spPr>
            <a:solidFill>
              <a:schemeClr val="accent5"/>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AFR'!$F$2:$F$43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4-143A-4BA3-ACFD-6BAD200E6285}"/>
            </c:ext>
          </c:extLst>
        </c:ser>
        <c:ser>
          <c:idx val="5"/>
          <c:order val="5"/>
          <c:tx>
            <c:strRef>
              <c:f>'Des TPS AFR'!$G$1</c:f>
              <c:strCache>
                <c:ptCount val="1"/>
                <c:pt idx="0">
                  <c:v>3.1</c:v>
                </c:pt>
              </c:strCache>
            </c:strRef>
          </c:tx>
          <c:spPr>
            <a:solidFill>
              <a:schemeClr val="accent6"/>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AFR'!$G$2:$G$43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13.4</c:v>
                </c:pt>
                <c:pt idx="18">
                  <c:v>13.4</c:v>
                </c:pt>
                <c:pt idx="19">
                  <c:v>13.4</c:v>
                </c:pt>
                <c:pt idx="20">
                  <c:v>13.4</c:v>
                </c:pt>
                <c:pt idx="21">
                  <c:v>13.4</c:v>
                </c:pt>
                <c:pt idx="22">
                  <c:v>13.4</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5-143A-4BA3-ACFD-6BAD200E6285}"/>
            </c:ext>
          </c:extLst>
        </c:ser>
        <c:ser>
          <c:idx val="6"/>
          <c:order val="6"/>
          <c:tx>
            <c:strRef>
              <c:f>'Des TPS AFR'!$H$1</c:f>
              <c:strCache>
                <c:ptCount val="1"/>
                <c:pt idx="0">
                  <c:v>3.7</c:v>
                </c:pt>
              </c:strCache>
            </c:strRef>
          </c:tx>
          <c:spPr>
            <a:solidFill>
              <a:schemeClr val="accent1">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AFR'!$H$2:$H$43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13.4</c:v>
                </c:pt>
                <c:pt idx="16">
                  <c:v>13.4</c:v>
                </c:pt>
                <c:pt idx="17">
                  <c:v>13.5</c:v>
                </c:pt>
                <c:pt idx="18">
                  <c:v>13.5</c:v>
                </c:pt>
                <c:pt idx="19">
                  <c:v>13.5</c:v>
                </c:pt>
                <c:pt idx="20">
                  <c:v>13.5</c:v>
                </c:pt>
                <c:pt idx="21">
                  <c:v>13.5</c:v>
                </c:pt>
                <c:pt idx="22">
                  <c:v>13.5</c:v>
                </c:pt>
                <c:pt idx="23">
                  <c:v>13.4</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6-143A-4BA3-ACFD-6BAD200E6285}"/>
            </c:ext>
          </c:extLst>
        </c:ser>
        <c:ser>
          <c:idx val="7"/>
          <c:order val="7"/>
          <c:tx>
            <c:strRef>
              <c:f>'Des TPS AFR'!$I$1</c:f>
              <c:strCache>
                <c:ptCount val="1"/>
                <c:pt idx="0">
                  <c:v>4.4</c:v>
                </c:pt>
              </c:strCache>
            </c:strRef>
          </c:tx>
          <c:spPr>
            <a:solidFill>
              <a:schemeClr val="accent2">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AFR'!$I$2:$I$43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7-143A-4BA3-ACFD-6BAD200E6285}"/>
            </c:ext>
          </c:extLst>
        </c:ser>
        <c:ser>
          <c:idx val="8"/>
          <c:order val="8"/>
          <c:tx>
            <c:strRef>
              <c:f>'Des TPS AFR'!$J$1</c:f>
              <c:strCache>
                <c:ptCount val="1"/>
                <c:pt idx="0">
                  <c:v>5.6</c:v>
                </c:pt>
              </c:strCache>
            </c:strRef>
          </c:tx>
          <c:spPr>
            <a:solidFill>
              <a:schemeClr val="accent3">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AFR'!$J$2:$J$43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8-143A-4BA3-ACFD-6BAD200E6285}"/>
            </c:ext>
          </c:extLst>
        </c:ser>
        <c:ser>
          <c:idx val="9"/>
          <c:order val="9"/>
          <c:tx>
            <c:strRef>
              <c:f>'Des TPS AFR'!$K$1</c:f>
              <c:strCache>
                <c:ptCount val="1"/>
                <c:pt idx="0">
                  <c:v>6.8</c:v>
                </c:pt>
              </c:strCache>
            </c:strRef>
          </c:tx>
          <c:spPr>
            <a:solidFill>
              <a:schemeClr val="accent4">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AFR'!$K$2:$K$43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9-143A-4BA3-ACFD-6BAD200E6285}"/>
            </c:ext>
          </c:extLst>
        </c:ser>
        <c:ser>
          <c:idx val="10"/>
          <c:order val="10"/>
          <c:tx>
            <c:strRef>
              <c:f>'Des TPS AFR'!$L$1</c:f>
              <c:strCache>
                <c:ptCount val="1"/>
                <c:pt idx="0">
                  <c:v>8.1</c:v>
                </c:pt>
              </c:strCache>
            </c:strRef>
          </c:tx>
          <c:spPr>
            <a:solidFill>
              <a:schemeClr val="accent5">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AFR'!$L$2:$L$43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A-143A-4BA3-ACFD-6BAD200E6285}"/>
            </c:ext>
          </c:extLst>
        </c:ser>
        <c:ser>
          <c:idx val="11"/>
          <c:order val="11"/>
          <c:tx>
            <c:strRef>
              <c:f>'Des TPS AFR'!$M$1</c:f>
              <c:strCache>
                <c:ptCount val="1"/>
                <c:pt idx="0">
                  <c:v>9.3</c:v>
                </c:pt>
              </c:strCache>
            </c:strRef>
          </c:tx>
          <c:spPr>
            <a:solidFill>
              <a:schemeClr val="accent6">
                <a:lumMod val="6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AFR'!$M$2:$M$43</c:f>
              <c:numCache>
                <c:formatCode>General</c:formatCode>
                <c:ptCount val="42"/>
                <c:pt idx="0">
                  <c:v>13.2</c:v>
                </c:pt>
                <c:pt idx="1">
                  <c:v>13.2</c:v>
                </c:pt>
                <c:pt idx="2">
                  <c:v>13.2</c:v>
                </c:pt>
                <c:pt idx="3">
                  <c:v>13.2</c:v>
                </c:pt>
                <c:pt idx="4">
                  <c:v>13.2</c:v>
                </c:pt>
                <c:pt idx="5">
                  <c:v>13.2</c:v>
                </c:pt>
                <c:pt idx="6">
                  <c:v>13.2</c:v>
                </c:pt>
                <c:pt idx="7">
                  <c:v>13.2</c:v>
                </c:pt>
                <c:pt idx="8">
                  <c:v>13.4</c:v>
                </c:pt>
                <c:pt idx="9">
                  <c:v>13.4</c:v>
                </c:pt>
                <c:pt idx="10">
                  <c:v>13.4</c:v>
                </c:pt>
                <c:pt idx="11">
                  <c:v>13.4</c:v>
                </c:pt>
                <c:pt idx="12">
                  <c:v>13.4</c:v>
                </c:pt>
                <c:pt idx="13">
                  <c:v>13.4</c:v>
                </c:pt>
                <c:pt idx="14">
                  <c:v>13.4</c:v>
                </c:pt>
                <c:pt idx="15">
                  <c:v>13.5</c:v>
                </c:pt>
                <c:pt idx="16">
                  <c:v>13.5</c:v>
                </c:pt>
                <c:pt idx="17">
                  <c:v>13.6</c:v>
                </c:pt>
                <c:pt idx="18">
                  <c:v>13.6</c:v>
                </c:pt>
                <c:pt idx="19">
                  <c:v>13.6</c:v>
                </c:pt>
                <c:pt idx="20">
                  <c:v>13.6</c:v>
                </c:pt>
                <c:pt idx="21">
                  <c:v>13.6</c:v>
                </c:pt>
                <c:pt idx="22">
                  <c:v>13.6</c:v>
                </c:pt>
                <c:pt idx="23">
                  <c:v>13.5</c:v>
                </c:pt>
                <c:pt idx="24">
                  <c:v>13.4</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B-143A-4BA3-ACFD-6BAD200E6285}"/>
            </c:ext>
          </c:extLst>
        </c:ser>
        <c:ser>
          <c:idx val="12"/>
          <c:order val="12"/>
          <c:tx>
            <c:strRef>
              <c:f>'Des TPS AFR'!$N$1</c:f>
              <c:strCache>
                <c:ptCount val="1"/>
                <c:pt idx="0">
                  <c:v>10.6</c:v>
                </c:pt>
              </c:strCache>
            </c:strRef>
          </c:tx>
          <c:spPr>
            <a:solidFill>
              <a:schemeClr val="accent1">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AFR'!$N$2:$N$43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13.4</c:v>
                </c:pt>
                <c:pt idx="16">
                  <c:v>13.4</c:v>
                </c:pt>
                <c:pt idx="17">
                  <c:v>13.5</c:v>
                </c:pt>
                <c:pt idx="18">
                  <c:v>13.5</c:v>
                </c:pt>
                <c:pt idx="19">
                  <c:v>13.5</c:v>
                </c:pt>
                <c:pt idx="20">
                  <c:v>13.5</c:v>
                </c:pt>
                <c:pt idx="21">
                  <c:v>13.5</c:v>
                </c:pt>
                <c:pt idx="22">
                  <c:v>13.5</c:v>
                </c:pt>
                <c:pt idx="23">
                  <c:v>13.4</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C-143A-4BA3-ACFD-6BAD200E6285}"/>
            </c:ext>
          </c:extLst>
        </c:ser>
        <c:ser>
          <c:idx val="13"/>
          <c:order val="13"/>
          <c:tx>
            <c:strRef>
              <c:f>'Des TPS AFR'!$O$1</c:f>
              <c:strCache>
                <c:ptCount val="1"/>
                <c:pt idx="0">
                  <c:v>15.5</c:v>
                </c:pt>
              </c:strCache>
            </c:strRef>
          </c:tx>
          <c:spPr>
            <a:solidFill>
              <a:schemeClr val="accent2">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AFR'!$O$2:$O$43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13.4</c:v>
                </c:pt>
                <c:pt idx="18">
                  <c:v>13.4</c:v>
                </c:pt>
                <c:pt idx="19">
                  <c:v>13.4</c:v>
                </c:pt>
                <c:pt idx="20">
                  <c:v>13.4</c:v>
                </c:pt>
                <c:pt idx="21">
                  <c:v>13.4</c:v>
                </c:pt>
                <c:pt idx="22">
                  <c:v>13.4</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D-143A-4BA3-ACFD-6BAD200E6285}"/>
            </c:ext>
          </c:extLst>
        </c:ser>
        <c:ser>
          <c:idx val="14"/>
          <c:order val="14"/>
          <c:tx>
            <c:strRef>
              <c:f>'Des TPS AFR'!$P$1</c:f>
              <c:strCache>
                <c:ptCount val="1"/>
                <c:pt idx="0">
                  <c:v>20.5</c:v>
                </c:pt>
              </c:strCache>
            </c:strRef>
          </c:tx>
          <c:spPr>
            <a:solidFill>
              <a:schemeClr val="accent3">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AFR'!$P$2:$P$43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E-143A-4BA3-ACFD-6BAD200E6285}"/>
            </c:ext>
          </c:extLst>
        </c:ser>
        <c:ser>
          <c:idx val="15"/>
          <c:order val="15"/>
          <c:tx>
            <c:strRef>
              <c:f>'Des TPS AFR'!$Q$1</c:f>
              <c:strCache>
                <c:ptCount val="1"/>
                <c:pt idx="0">
                  <c:v>25.5</c:v>
                </c:pt>
              </c:strCache>
            </c:strRef>
          </c:tx>
          <c:spPr>
            <a:solidFill>
              <a:schemeClr val="accent4">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AFR'!$Q$2:$Q$43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0F-143A-4BA3-ACFD-6BAD200E6285}"/>
            </c:ext>
          </c:extLst>
        </c:ser>
        <c:ser>
          <c:idx val="16"/>
          <c:order val="16"/>
          <c:tx>
            <c:strRef>
              <c:f>'Des TPS AFR'!$R$1</c:f>
              <c:strCache>
                <c:ptCount val="1"/>
                <c:pt idx="0">
                  <c:v>30.5</c:v>
                </c:pt>
              </c:strCache>
            </c:strRef>
          </c:tx>
          <c:spPr>
            <a:solidFill>
              <a:schemeClr val="accent5">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AFR'!$R$2:$R$43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0-143A-4BA3-ACFD-6BAD200E6285}"/>
            </c:ext>
          </c:extLst>
        </c:ser>
        <c:ser>
          <c:idx val="17"/>
          <c:order val="17"/>
          <c:tx>
            <c:strRef>
              <c:f>'Des TPS AFR'!$S$1</c:f>
              <c:strCache>
                <c:ptCount val="1"/>
                <c:pt idx="0">
                  <c:v>40.4</c:v>
                </c:pt>
              </c:strCache>
            </c:strRef>
          </c:tx>
          <c:spPr>
            <a:solidFill>
              <a:schemeClr val="accent6">
                <a:lumMod val="80000"/>
                <a:lumOff val="2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AFR'!$S$2:$S$43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1-143A-4BA3-ACFD-6BAD200E6285}"/>
            </c:ext>
          </c:extLst>
        </c:ser>
        <c:ser>
          <c:idx val="18"/>
          <c:order val="18"/>
          <c:tx>
            <c:strRef>
              <c:f>'Des TPS AFR'!$T$1</c:f>
              <c:strCache>
                <c:ptCount val="1"/>
                <c:pt idx="0">
                  <c:v>50.4</c:v>
                </c:pt>
              </c:strCache>
            </c:strRef>
          </c:tx>
          <c:spPr>
            <a:solidFill>
              <a:schemeClr val="accent1">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AFR'!$T$2:$T$43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2-143A-4BA3-ACFD-6BAD200E6285}"/>
            </c:ext>
          </c:extLst>
        </c:ser>
        <c:ser>
          <c:idx val="19"/>
          <c:order val="19"/>
          <c:tx>
            <c:strRef>
              <c:f>'Des TPS AFR'!$U$1</c:f>
              <c:strCache>
                <c:ptCount val="1"/>
                <c:pt idx="0">
                  <c:v>60.3</c:v>
                </c:pt>
              </c:strCache>
            </c:strRef>
          </c:tx>
          <c:spPr>
            <a:solidFill>
              <a:schemeClr val="accent2">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AFR'!$U$2:$U$43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3-143A-4BA3-ACFD-6BAD200E6285}"/>
            </c:ext>
          </c:extLst>
        </c:ser>
        <c:ser>
          <c:idx val="20"/>
          <c:order val="20"/>
          <c:tx>
            <c:strRef>
              <c:f>'Des TPS AFR'!$V$1</c:f>
              <c:strCache>
                <c:ptCount val="1"/>
                <c:pt idx="0">
                  <c:v>70.3</c:v>
                </c:pt>
              </c:strCache>
            </c:strRef>
          </c:tx>
          <c:spPr>
            <a:solidFill>
              <a:schemeClr val="accent3">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AFR'!$V$2:$V$43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4-143A-4BA3-ACFD-6BAD200E6285}"/>
            </c:ext>
          </c:extLst>
        </c:ser>
        <c:ser>
          <c:idx val="21"/>
          <c:order val="21"/>
          <c:tx>
            <c:strRef>
              <c:f>'Des TPS AFR'!$W$1</c:f>
              <c:strCache>
                <c:ptCount val="1"/>
                <c:pt idx="0">
                  <c:v>90.2</c:v>
                </c:pt>
              </c:strCache>
            </c:strRef>
          </c:tx>
          <c:spPr>
            <a:solidFill>
              <a:schemeClr val="accent4">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AFR'!$W$2:$W$43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5-143A-4BA3-ACFD-6BAD200E6285}"/>
            </c:ext>
          </c:extLst>
        </c:ser>
        <c:ser>
          <c:idx val="22"/>
          <c:order val="22"/>
          <c:tx>
            <c:strRef>
              <c:f>'Des TPS AFR'!$X$1</c:f>
              <c:strCache>
                <c:ptCount val="1"/>
                <c:pt idx="0">
                  <c:v>100</c:v>
                </c:pt>
              </c:strCache>
            </c:strRef>
          </c:tx>
          <c:spPr>
            <a:solidFill>
              <a:schemeClr val="accent5">
                <a:lumMod val="80000"/>
              </a:schemeClr>
            </a:solidFill>
            <a:ln/>
            <a:effectLst/>
            <a:sp3d/>
          </c:spPr>
          <c:cat>
            <c:numRef>
              <c:f>'Des TPS AFR'!$A$2:$A$43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'Des TPS AFR'!$X$2:$X$43</c:f>
              <c:numCache>
                <c:formatCode>General</c:formatCode>
                <c:ptCount val="42"/>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pt idx="21">
                  <c:v>13.2</c:v>
                </c:pt>
                <c:pt idx="22">
                  <c:v>13.2</c:v>
                </c:pt>
                <c:pt idx="23">
                  <c:v>13.2</c:v>
                </c:pt>
                <c:pt idx="24">
                  <c:v>13.2</c:v>
                </c:pt>
                <c:pt idx="25">
                  <c:v>13.2</c:v>
                </c:pt>
                <c:pt idx="26">
                  <c:v>13.2</c:v>
                </c:pt>
                <c:pt idx="27">
                  <c:v>13.2</c:v>
                </c:pt>
                <c:pt idx="28">
                  <c:v>13.2</c:v>
                </c:pt>
                <c:pt idx="29">
                  <c:v>13.2</c:v>
                </c:pt>
                <c:pt idx="30">
                  <c:v>13.2</c:v>
                </c:pt>
                <c:pt idx="31">
                  <c:v>13.2</c:v>
                </c:pt>
                <c:pt idx="32">
                  <c:v>13.2</c:v>
                </c:pt>
                <c:pt idx="33">
                  <c:v>13.2</c:v>
                </c:pt>
                <c:pt idx="34">
                  <c:v>13.2</c:v>
                </c:pt>
                <c:pt idx="35">
                  <c:v>13.2</c:v>
                </c:pt>
                <c:pt idx="36">
                  <c:v>13.2</c:v>
                </c:pt>
                <c:pt idx="37">
                  <c:v>13.2</c:v>
                </c:pt>
                <c:pt idx="38">
                  <c:v>13.2</c:v>
                </c:pt>
                <c:pt idx="39">
                  <c:v>13.2</c:v>
                </c:pt>
                <c:pt idx="40">
                  <c:v>13.2</c:v>
                </c:pt>
                <c:pt idx="41">
                  <c:v>13.2</c:v>
                </c:pt>
              </c:numCache>
            </c:numRef>
          </c:val>
          <c:extLst>
            <c:ext xmlns:c16="http://schemas.microsoft.com/office/drawing/2014/chart" uri="{C3380CC4-5D6E-409C-BE32-E72D297353CC}">
              <c16:uniqueId val="{00000016-143A-4BA3-ACFD-6BAD200E6285}"/>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214334544"/>
        <c:axId val="214332464"/>
        <c:axId val="2080187312"/>
      </c:surface3DChart>
      <c:catAx>
        <c:axId val="214334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2464"/>
        <c:crosses val="autoZero"/>
        <c:auto val="1"/>
        <c:lblAlgn val="ctr"/>
        <c:lblOffset val="100"/>
        <c:noMultiLvlLbl val="0"/>
      </c:catAx>
      <c:valAx>
        <c:axId val="21433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4544"/>
        <c:crosses val="autoZero"/>
        <c:crossBetween val="midCat"/>
      </c:valAx>
      <c:serAx>
        <c:axId val="208018731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3246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Desired IAP A/F</a:t>
            </a:r>
          </a:p>
        </c:rich>
      </c:tx>
      <c:overlay val="0"/>
      <c:spPr>
        <a:noFill/>
        <a:ln>
          <a:noFill/>
        </a:ln>
        <a:effectLst/>
      </c:spPr>
    </c:title>
    <c:autoTitleDeleted val="0"/>
    <c:view3D>
      <c:rotX val="30"/>
      <c:rotY val="14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'Des IAP AFR'!$A$2</c:f>
              <c:strCache>
                <c:ptCount val="1"/>
                <c:pt idx="0">
                  <c:v>800</c:v>
                </c:pt>
              </c:strCache>
            </c:strRef>
          </c:tx>
          <c:spPr>
            <a:solidFill>
              <a:schemeClr val="accent1"/>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AFR'!$B$2:$V$2</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0-DC2A-4BD1-BD04-69AB6CAF9D8C}"/>
            </c:ext>
          </c:extLst>
        </c:ser>
        <c:ser>
          <c:idx val="1"/>
          <c:order val="1"/>
          <c:tx>
            <c:strRef>
              <c:f>'Des IAP AFR'!$A$3</c:f>
              <c:strCache>
                <c:ptCount val="1"/>
                <c:pt idx="0">
                  <c:v>1000</c:v>
                </c:pt>
              </c:strCache>
            </c:strRef>
          </c:tx>
          <c:spPr>
            <a:solidFill>
              <a:schemeClr val="accent2"/>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AFR'!$B$3:$V$3</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1-DC2A-4BD1-BD04-69AB6CAF9D8C}"/>
            </c:ext>
          </c:extLst>
        </c:ser>
        <c:ser>
          <c:idx val="2"/>
          <c:order val="2"/>
          <c:tx>
            <c:strRef>
              <c:f>'Des IAP AFR'!$A$4</c:f>
              <c:strCache>
                <c:ptCount val="1"/>
                <c:pt idx="0">
                  <c:v>1200</c:v>
                </c:pt>
              </c:strCache>
            </c:strRef>
          </c:tx>
          <c:spPr>
            <a:solidFill>
              <a:schemeClr val="accent3"/>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AFR'!$B$4:$V$4</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2-DC2A-4BD1-BD04-69AB6CAF9D8C}"/>
            </c:ext>
          </c:extLst>
        </c:ser>
        <c:ser>
          <c:idx val="3"/>
          <c:order val="3"/>
          <c:tx>
            <c:strRef>
              <c:f>'Des IAP AFR'!$A$5</c:f>
              <c:strCache>
                <c:ptCount val="1"/>
                <c:pt idx="0">
                  <c:v>1400</c:v>
                </c:pt>
              </c:strCache>
            </c:strRef>
          </c:tx>
          <c:spPr>
            <a:solidFill>
              <a:schemeClr val="accent4"/>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AFR'!$B$5:$V$5</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3-DC2A-4BD1-BD04-69AB6CAF9D8C}"/>
            </c:ext>
          </c:extLst>
        </c:ser>
        <c:ser>
          <c:idx val="4"/>
          <c:order val="4"/>
          <c:tx>
            <c:strRef>
              <c:f>'Des IAP AFR'!$A$6</c:f>
              <c:strCache>
                <c:ptCount val="1"/>
                <c:pt idx="0">
                  <c:v>1600</c:v>
                </c:pt>
              </c:strCache>
            </c:strRef>
          </c:tx>
          <c:spPr>
            <a:solidFill>
              <a:schemeClr val="accent5"/>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AFR'!$B$6:$V$6</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4-DC2A-4BD1-BD04-69AB6CAF9D8C}"/>
            </c:ext>
          </c:extLst>
        </c:ser>
        <c:ser>
          <c:idx val="5"/>
          <c:order val="5"/>
          <c:tx>
            <c:strRef>
              <c:f>'Des IAP AFR'!$A$7</c:f>
              <c:strCache>
                <c:ptCount val="1"/>
                <c:pt idx="0">
                  <c:v>1800</c:v>
                </c:pt>
              </c:strCache>
            </c:strRef>
          </c:tx>
          <c:spPr>
            <a:solidFill>
              <a:schemeClr val="accent6"/>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AFR'!$B$7:$V$7</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5-DC2A-4BD1-BD04-69AB6CAF9D8C}"/>
            </c:ext>
          </c:extLst>
        </c:ser>
        <c:ser>
          <c:idx val="6"/>
          <c:order val="6"/>
          <c:tx>
            <c:strRef>
              <c:f>'Des IAP AFR'!$A$8</c:f>
              <c:strCache>
                <c:ptCount val="1"/>
                <c:pt idx="0">
                  <c:v>2000</c:v>
                </c:pt>
              </c:strCache>
            </c:strRef>
          </c:tx>
          <c:spPr>
            <a:solidFill>
              <a:schemeClr val="accent1">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AFR'!$B$8:$V$8</c:f>
              <c:numCache>
                <c:formatCode>General</c:formatCode>
                <c:ptCount val="21"/>
                <c:pt idx="0">
                  <c:v>13</c:v>
                </c:pt>
                <c:pt idx="1">
                  <c:v>13</c:v>
                </c:pt>
                <c:pt idx="2">
                  <c:v>13</c:v>
                </c:pt>
                <c:pt idx="3">
                  <c:v>13</c:v>
                </c:pt>
                <c:pt idx="4">
                  <c:v>13</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6-DC2A-4BD1-BD04-69AB6CAF9D8C}"/>
            </c:ext>
          </c:extLst>
        </c:ser>
        <c:ser>
          <c:idx val="7"/>
          <c:order val="7"/>
          <c:tx>
            <c:strRef>
              <c:f>'Des IAP AFR'!$A$9</c:f>
              <c:strCache>
                <c:ptCount val="1"/>
                <c:pt idx="0">
                  <c:v>2200</c:v>
                </c:pt>
              </c:strCache>
            </c:strRef>
          </c:tx>
          <c:spPr>
            <a:solidFill>
              <a:schemeClr val="accent2">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AFR'!$B$9:$V$9</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7-DC2A-4BD1-BD04-69AB6CAF9D8C}"/>
            </c:ext>
          </c:extLst>
        </c:ser>
        <c:ser>
          <c:idx val="8"/>
          <c:order val="8"/>
          <c:tx>
            <c:strRef>
              <c:f>'Des IAP AFR'!$A$10</c:f>
              <c:strCache>
                <c:ptCount val="1"/>
                <c:pt idx="0">
                  <c:v>2400</c:v>
                </c:pt>
              </c:strCache>
            </c:strRef>
          </c:tx>
          <c:spPr>
            <a:solidFill>
              <a:schemeClr val="accent3">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AFR'!$B$10:$V$10</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8-DC2A-4BD1-BD04-69AB6CAF9D8C}"/>
            </c:ext>
          </c:extLst>
        </c:ser>
        <c:ser>
          <c:idx val="9"/>
          <c:order val="9"/>
          <c:tx>
            <c:strRef>
              <c:f>'Des IAP AFR'!$A$11</c:f>
              <c:strCache>
                <c:ptCount val="1"/>
                <c:pt idx="0">
                  <c:v>2600</c:v>
                </c:pt>
              </c:strCache>
            </c:strRef>
          </c:tx>
          <c:spPr>
            <a:solidFill>
              <a:schemeClr val="accent4">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AFR'!$B$11:$V$11</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9-DC2A-4BD1-BD04-69AB6CAF9D8C}"/>
            </c:ext>
          </c:extLst>
        </c:ser>
        <c:ser>
          <c:idx val="10"/>
          <c:order val="10"/>
          <c:tx>
            <c:strRef>
              <c:f>'Des IAP AFR'!$A$12</c:f>
              <c:strCache>
                <c:ptCount val="1"/>
                <c:pt idx="0">
                  <c:v>2800</c:v>
                </c:pt>
              </c:strCache>
            </c:strRef>
          </c:tx>
          <c:spPr>
            <a:solidFill>
              <a:schemeClr val="accent5">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AFR'!$B$12:$V$12</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A-DC2A-4BD1-BD04-69AB6CAF9D8C}"/>
            </c:ext>
          </c:extLst>
        </c:ser>
        <c:ser>
          <c:idx val="11"/>
          <c:order val="11"/>
          <c:tx>
            <c:strRef>
              <c:f>'Des IAP AFR'!$A$13</c:f>
              <c:strCache>
                <c:ptCount val="1"/>
                <c:pt idx="0">
                  <c:v>3000</c:v>
                </c:pt>
              </c:strCache>
            </c:strRef>
          </c:tx>
          <c:spPr>
            <a:solidFill>
              <a:schemeClr val="accent6">
                <a:lumMod val="6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AFR'!$B$13:$V$13</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B-DC2A-4BD1-BD04-69AB6CAF9D8C}"/>
            </c:ext>
          </c:extLst>
        </c:ser>
        <c:ser>
          <c:idx val="12"/>
          <c:order val="12"/>
          <c:tx>
            <c:strRef>
              <c:f>'Des IAP AFR'!$A$14</c:f>
              <c:strCache>
                <c:ptCount val="1"/>
                <c:pt idx="0">
                  <c:v>3200</c:v>
                </c:pt>
              </c:strCache>
            </c:strRef>
          </c:tx>
          <c:spPr>
            <a:solidFill>
              <a:schemeClr val="accent1">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AFR'!$B$14:$V$14</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C-DC2A-4BD1-BD04-69AB6CAF9D8C}"/>
            </c:ext>
          </c:extLst>
        </c:ser>
        <c:ser>
          <c:idx val="13"/>
          <c:order val="13"/>
          <c:tx>
            <c:strRef>
              <c:f>'Des IAP AFR'!$A$15</c:f>
              <c:strCache>
                <c:ptCount val="1"/>
                <c:pt idx="0">
                  <c:v>3400</c:v>
                </c:pt>
              </c:strCache>
            </c:strRef>
          </c:tx>
          <c:spPr>
            <a:solidFill>
              <a:schemeClr val="accent2">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AFR'!$B$15:$V$15</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D-DC2A-4BD1-BD04-69AB6CAF9D8C}"/>
            </c:ext>
          </c:extLst>
        </c:ser>
        <c:ser>
          <c:idx val="14"/>
          <c:order val="14"/>
          <c:tx>
            <c:strRef>
              <c:f>'Des IAP AFR'!$A$16</c:f>
              <c:strCache>
                <c:ptCount val="1"/>
                <c:pt idx="0">
                  <c:v>3600</c:v>
                </c:pt>
              </c:strCache>
            </c:strRef>
          </c:tx>
          <c:spPr>
            <a:solidFill>
              <a:schemeClr val="accent3">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AFR'!$B$16:$V$16</c:f>
              <c:numCache>
                <c:formatCode>General</c:formatCode>
                <c:ptCount val="21"/>
                <c:pt idx="0">
                  <c:v>13.4</c:v>
                </c:pt>
                <c:pt idx="1">
                  <c:v>13.4</c:v>
                </c:pt>
                <c:pt idx="2">
                  <c:v>13.4</c:v>
                </c:pt>
                <c:pt idx="3">
                  <c:v>13.4</c:v>
                </c:pt>
                <c:pt idx="4">
                  <c:v>13.4</c:v>
                </c:pt>
                <c:pt idx="5">
                  <c:v>13.4</c:v>
                </c:pt>
                <c:pt idx="6">
                  <c:v>13.4</c:v>
                </c:pt>
                <c:pt idx="7">
                  <c:v>13.4</c:v>
                </c:pt>
                <c:pt idx="8">
                  <c:v>13.4</c:v>
                </c:pt>
                <c:pt idx="9">
                  <c:v>13.4</c:v>
                </c:pt>
                <c:pt idx="10">
                  <c:v>13.4</c:v>
                </c:pt>
                <c:pt idx="11">
                  <c:v>13.4</c:v>
                </c:pt>
                <c:pt idx="12">
                  <c:v>13.4</c:v>
                </c:pt>
                <c:pt idx="13">
                  <c:v>13.4</c:v>
                </c:pt>
                <c:pt idx="14">
                  <c:v>13.4</c:v>
                </c:pt>
                <c:pt idx="15">
                  <c:v>13.4</c:v>
                </c:pt>
                <c:pt idx="16">
                  <c:v>13.4</c:v>
                </c:pt>
                <c:pt idx="17">
                  <c:v>13.4</c:v>
                </c:pt>
                <c:pt idx="18">
                  <c:v>13.4</c:v>
                </c:pt>
                <c:pt idx="19">
                  <c:v>13.4</c:v>
                </c:pt>
                <c:pt idx="20">
                  <c:v>13.4</c:v>
                </c:pt>
              </c:numCache>
            </c:numRef>
          </c:val>
          <c:extLst>
            <c:ext xmlns:c16="http://schemas.microsoft.com/office/drawing/2014/chart" uri="{C3380CC4-5D6E-409C-BE32-E72D297353CC}">
              <c16:uniqueId val="{0000000E-DC2A-4BD1-BD04-69AB6CAF9D8C}"/>
            </c:ext>
          </c:extLst>
        </c:ser>
        <c:ser>
          <c:idx val="15"/>
          <c:order val="15"/>
          <c:tx>
            <c:strRef>
              <c:f>'Des IAP AFR'!$A$17</c:f>
              <c:strCache>
                <c:ptCount val="1"/>
                <c:pt idx="0">
                  <c:v>3800</c:v>
                </c:pt>
              </c:strCache>
            </c:strRef>
          </c:tx>
          <c:spPr>
            <a:solidFill>
              <a:schemeClr val="accent4">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AFR'!$B$17:$V$17</c:f>
              <c:numCache>
                <c:formatCode>General</c:formatCode>
                <c:ptCount val="21"/>
                <c:pt idx="0">
                  <c:v>13.5</c:v>
                </c:pt>
                <c:pt idx="1">
                  <c:v>13.5</c:v>
                </c:pt>
                <c:pt idx="2">
                  <c:v>13.5</c:v>
                </c:pt>
                <c:pt idx="3">
                  <c:v>13.5</c:v>
                </c:pt>
                <c:pt idx="4">
                  <c:v>13.5</c:v>
                </c:pt>
                <c:pt idx="5">
                  <c:v>13.5</c:v>
                </c:pt>
                <c:pt idx="6">
                  <c:v>13.5</c:v>
                </c:pt>
                <c:pt idx="7">
                  <c:v>13.5</c:v>
                </c:pt>
                <c:pt idx="8">
                  <c:v>13.5</c:v>
                </c:pt>
                <c:pt idx="9">
                  <c:v>13.5</c:v>
                </c:pt>
                <c:pt idx="10">
                  <c:v>13.5</c:v>
                </c:pt>
                <c:pt idx="11">
                  <c:v>13.5</c:v>
                </c:pt>
                <c:pt idx="12">
                  <c:v>13.5</c:v>
                </c:pt>
                <c:pt idx="13">
                  <c:v>13.5</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0F-DC2A-4BD1-BD04-69AB6CAF9D8C}"/>
            </c:ext>
          </c:extLst>
        </c:ser>
        <c:ser>
          <c:idx val="16"/>
          <c:order val="16"/>
          <c:tx>
            <c:strRef>
              <c:f>'Des IAP AFR'!$A$18</c:f>
              <c:strCache>
                <c:ptCount val="1"/>
                <c:pt idx="0">
                  <c:v>4000</c:v>
                </c:pt>
              </c:strCache>
            </c:strRef>
          </c:tx>
          <c:spPr>
            <a:solidFill>
              <a:schemeClr val="accent5">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AFR'!$B$18:$V$18</c:f>
              <c:numCache>
                <c:formatCode>General</c:formatCode>
                <c:ptCount val="21"/>
                <c:pt idx="0">
                  <c:v>13.5</c:v>
                </c:pt>
                <c:pt idx="1">
                  <c:v>13.5</c:v>
                </c:pt>
                <c:pt idx="2">
                  <c:v>13.5</c:v>
                </c:pt>
                <c:pt idx="3">
                  <c:v>13.5</c:v>
                </c:pt>
                <c:pt idx="4">
                  <c:v>13.5</c:v>
                </c:pt>
                <c:pt idx="5">
                  <c:v>13.5</c:v>
                </c:pt>
                <c:pt idx="6">
                  <c:v>13.5</c:v>
                </c:pt>
                <c:pt idx="7">
                  <c:v>13.5</c:v>
                </c:pt>
                <c:pt idx="8">
                  <c:v>13.5</c:v>
                </c:pt>
                <c:pt idx="9">
                  <c:v>13.5</c:v>
                </c:pt>
                <c:pt idx="10">
                  <c:v>13.5</c:v>
                </c:pt>
                <c:pt idx="11">
                  <c:v>13.5</c:v>
                </c:pt>
                <c:pt idx="12">
                  <c:v>13.5</c:v>
                </c:pt>
                <c:pt idx="13">
                  <c:v>13.5</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10-DC2A-4BD1-BD04-69AB6CAF9D8C}"/>
            </c:ext>
          </c:extLst>
        </c:ser>
        <c:ser>
          <c:idx val="17"/>
          <c:order val="17"/>
          <c:tx>
            <c:strRef>
              <c:f>'Des IAP AFR'!$A$19</c:f>
              <c:strCache>
                <c:ptCount val="1"/>
                <c:pt idx="0">
                  <c:v>4200</c:v>
                </c:pt>
              </c:strCache>
            </c:strRef>
          </c:tx>
          <c:spPr>
            <a:solidFill>
              <a:schemeClr val="accent6">
                <a:lumMod val="80000"/>
                <a:lumOff val="2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AFR'!$B$19:$V$19</c:f>
              <c:numCache>
                <c:formatCode>General</c:formatCode>
                <c:ptCount val="21"/>
                <c:pt idx="0">
                  <c:v>13.4</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13.5</c:v>
                </c:pt>
                <c:pt idx="18">
                  <c:v>13.4</c:v>
                </c:pt>
                <c:pt idx="19">
                  <c:v>13.2</c:v>
                </c:pt>
                <c:pt idx="20">
                  <c:v>13.2</c:v>
                </c:pt>
              </c:numCache>
            </c:numRef>
          </c:val>
          <c:extLst>
            <c:ext xmlns:c16="http://schemas.microsoft.com/office/drawing/2014/chart" uri="{C3380CC4-5D6E-409C-BE32-E72D297353CC}">
              <c16:uniqueId val="{00000011-DC2A-4BD1-BD04-69AB6CAF9D8C}"/>
            </c:ext>
          </c:extLst>
        </c:ser>
        <c:ser>
          <c:idx val="18"/>
          <c:order val="18"/>
          <c:tx>
            <c:strRef>
              <c:f>'Des IAP AFR'!$A$20</c:f>
              <c:strCache>
                <c:ptCount val="1"/>
                <c:pt idx="0">
                  <c:v>4400</c:v>
                </c:pt>
              </c:strCache>
            </c:strRef>
          </c:tx>
          <c:spPr>
            <a:solidFill>
              <a:schemeClr val="accent1">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AFR'!$B$20:$V$20</c:f>
              <c:numCache>
                <c:formatCode>General</c:formatCode>
                <c:ptCount val="21"/>
                <c:pt idx="0">
                  <c:v>13.4</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2-DC2A-4BD1-BD04-69AB6CAF9D8C}"/>
            </c:ext>
          </c:extLst>
        </c:ser>
        <c:ser>
          <c:idx val="19"/>
          <c:order val="19"/>
          <c:tx>
            <c:strRef>
              <c:f>'Des IAP AFR'!$A$21</c:f>
              <c:strCache>
                <c:ptCount val="1"/>
                <c:pt idx="0">
                  <c:v>4600</c:v>
                </c:pt>
              </c:strCache>
            </c:strRef>
          </c:tx>
          <c:spPr>
            <a:solidFill>
              <a:schemeClr val="accent2">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AFR'!$B$21:$V$21</c:f>
              <c:numCache>
                <c:formatCode>General</c:formatCode>
                <c:ptCount val="21"/>
                <c:pt idx="0">
                  <c:v>13.2</c:v>
                </c:pt>
                <c:pt idx="1">
                  <c:v>13.4</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3-DC2A-4BD1-BD04-69AB6CAF9D8C}"/>
            </c:ext>
          </c:extLst>
        </c:ser>
        <c:ser>
          <c:idx val="20"/>
          <c:order val="20"/>
          <c:tx>
            <c:strRef>
              <c:f>'Des IAP AFR'!$A$22</c:f>
              <c:strCache>
                <c:ptCount val="1"/>
                <c:pt idx="0">
                  <c:v>4800</c:v>
                </c:pt>
              </c:strCache>
            </c:strRef>
          </c:tx>
          <c:spPr>
            <a:solidFill>
              <a:schemeClr val="accent3">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AFR'!$B$22:$V$22</c:f>
              <c:numCache>
                <c:formatCode>General</c:formatCode>
                <c:ptCount val="21"/>
                <c:pt idx="0">
                  <c:v>13.2</c:v>
                </c:pt>
                <c:pt idx="1">
                  <c:v>13.2</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4-DC2A-4BD1-BD04-69AB6CAF9D8C}"/>
            </c:ext>
          </c:extLst>
        </c:ser>
        <c:ser>
          <c:idx val="21"/>
          <c:order val="21"/>
          <c:tx>
            <c:strRef>
              <c:f>'Des IAP AFR'!$A$23</c:f>
              <c:strCache>
                <c:ptCount val="1"/>
                <c:pt idx="0">
                  <c:v>5000</c:v>
                </c:pt>
              </c:strCache>
            </c:strRef>
          </c:tx>
          <c:spPr>
            <a:solidFill>
              <a:schemeClr val="accent4">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AFR'!$B$23:$V$23</c:f>
              <c:numCache>
                <c:formatCode>General</c:formatCode>
                <c:ptCount val="21"/>
                <c:pt idx="0">
                  <c:v>13.2</c:v>
                </c:pt>
                <c:pt idx="1">
                  <c:v>13.2</c:v>
                </c:pt>
                <c:pt idx="2">
                  <c:v>13.4</c:v>
                </c:pt>
                <c:pt idx="3">
                  <c:v>13.5</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5-DC2A-4BD1-BD04-69AB6CAF9D8C}"/>
            </c:ext>
          </c:extLst>
        </c:ser>
        <c:ser>
          <c:idx val="22"/>
          <c:order val="22"/>
          <c:tx>
            <c:strRef>
              <c:f>'Des IAP AFR'!$A$24</c:f>
              <c:strCache>
                <c:ptCount val="1"/>
                <c:pt idx="0">
                  <c:v>5200</c:v>
                </c:pt>
              </c:strCache>
            </c:strRef>
          </c:tx>
          <c:spPr>
            <a:solidFill>
              <a:schemeClr val="accent5">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AFR'!$B$24:$V$24</c:f>
              <c:numCache>
                <c:formatCode>General</c:formatCode>
                <c:ptCount val="21"/>
                <c:pt idx="0">
                  <c:v>13.2</c:v>
                </c:pt>
                <c:pt idx="1">
                  <c:v>13.2</c:v>
                </c:pt>
                <c:pt idx="2">
                  <c:v>13.4</c:v>
                </c:pt>
                <c:pt idx="3">
                  <c:v>13.4</c:v>
                </c:pt>
                <c:pt idx="4">
                  <c:v>13.5</c:v>
                </c:pt>
                <c:pt idx="5">
                  <c:v>13.5</c:v>
                </c:pt>
                <c:pt idx="6">
                  <c:v>13.5</c:v>
                </c:pt>
                <c:pt idx="7">
                  <c:v>13.6</c:v>
                </c:pt>
                <c:pt idx="8">
                  <c:v>13.6</c:v>
                </c:pt>
                <c:pt idx="9">
                  <c:v>13.6</c:v>
                </c:pt>
                <c:pt idx="10">
                  <c:v>13.6</c:v>
                </c:pt>
                <c:pt idx="11">
                  <c:v>13.6</c:v>
                </c:pt>
                <c:pt idx="12">
                  <c:v>13.6</c:v>
                </c:pt>
                <c:pt idx="13">
                  <c:v>13.6</c:v>
                </c:pt>
                <c:pt idx="14">
                  <c:v>13.5</c:v>
                </c:pt>
                <c:pt idx="15">
                  <c:v>13.5</c:v>
                </c:pt>
                <c:pt idx="16">
                  <c:v>13.5</c:v>
                </c:pt>
                <c:pt idx="17">
                  <c:v>13.4</c:v>
                </c:pt>
                <c:pt idx="18">
                  <c:v>13.2</c:v>
                </c:pt>
                <c:pt idx="19">
                  <c:v>13.2</c:v>
                </c:pt>
                <c:pt idx="20">
                  <c:v>13.2</c:v>
                </c:pt>
              </c:numCache>
            </c:numRef>
          </c:val>
          <c:extLst>
            <c:ext xmlns:c16="http://schemas.microsoft.com/office/drawing/2014/chart" uri="{C3380CC4-5D6E-409C-BE32-E72D297353CC}">
              <c16:uniqueId val="{00000016-DC2A-4BD1-BD04-69AB6CAF9D8C}"/>
            </c:ext>
          </c:extLst>
        </c:ser>
        <c:ser>
          <c:idx val="23"/>
          <c:order val="23"/>
          <c:tx>
            <c:strRef>
              <c:f>'Des IAP AFR'!$A$25</c:f>
              <c:strCache>
                <c:ptCount val="1"/>
                <c:pt idx="0">
                  <c:v>5600</c:v>
                </c:pt>
              </c:strCache>
            </c:strRef>
          </c:tx>
          <c:spPr>
            <a:solidFill>
              <a:schemeClr val="accent6">
                <a:lumMod val="8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AFR'!$B$25:$V$25</c:f>
              <c:numCache>
                <c:formatCode>General</c:formatCode>
                <c:ptCount val="21"/>
                <c:pt idx="0">
                  <c:v>13.2</c:v>
                </c:pt>
                <c:pt idx="1">
                  <c:v>13.2</c:v>
                </c:pt>
                <c:pt idx="2">
                  <c:v>13.2</c:v>
                </c:pt>
                <c:pt idx="3">
                  <c:v>13.4</c:v>
                </c:pt>
                <c:pt idx="4">
                  <c:v>13.4</c:v>
                </c:pt>
                <c:pt idx="5">
                  <c:v>13.4</c:v>
                </c:pt>
                <c:pt idx="6">
                  <c:v>13.4</c:v>
                </c:pt>
                <c:pt idx="7">
                  <c:v>13.4</c:v>
                </c:pt>
                <c:pt idx="8">
                  <c:v>13.4</c:v>
                </c:pt>
                <c:pt idx="9">
                  <c:v>13.4</c:v>
                </c:pt>
                <c:pt idx="10">
                  <c:v>13.5</c:v>
                </c:pt>
                <c:pt idx="11">
                  <c:v>13.5</c:v>
                </c:pt>
                <c:pt idx="12">
                  <c:v>13.5</c:v>
                </c:pt>
                <c:pt idx="13">
                  <c:v>13.5</c:v>
                </c:pt>
                <c:pt idx="14">
                  <c:v>13.4</c:v>
                </c:pt>
                <c:pt idx="15">
                  <c:v>13.4</c:v>
                </c:pt>
                <c:pt idx="16">
                  <c:v>13.4</c:v>
                </c:pt>
                <c:pt idx="17">
                  <c:v>13.4</c:v>
                </c:pt>
                <c:pt idx="18">
                  <c:v>13.2</c:v>
                </c:pt>
                <c:pt idx="19">
                  <c:v>13.2</c:v>
                </c:pt>
                <c:pt idx="20">
                  <c:v>13.2</c:v>
                </c:pt>
              </c:numCache>
            </c:numRef>
          </c:val>
          <c:extLst>
            <c:ext xmlns:c16="http://schemas.microsoft.com/office/drawing/2014/chart" uri="{C3380CC4-5D6E-409C-BE32-E72D297353CC}">
              <c16:uniqueId val="{00000017-DC2A-4BD1-BD04-69AB6CAF9D8C}"/>
            </c:ext>
          </c:extLst>
        </c:ser>
        <c:ser>
          <c:idx val="24"/>
          <c:order val="24"/>
          <c:tx>
            <c:strRef>
              <c:f>'Des IAP AFR'!$A$26</c:f>
              <c:strCache>
                <c:ptCount val="1"/>
                <c:pt idx="0">
                  <c:v>6000</c:v>
                </c:pt>
              </c:strCache>
            </c:strRef>
          </c:tx>
          <c:spPr>
            <a:solidFill>
              <a:schemeClr val="accent1">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AFR'!$B$26:$V$26</c:f>
              <c:numCache>
                <c:formatCode>General</c:formatCode>
                <c:ptCount val="21"/>
                <c:pt idx="0">
                  <c:v>13.2</c:v>
                </c:pt>
                <c:pt idx="1">
                  <c:v>13.2</c:v>
                </c:pt>
                <c:pt idx="2">
                  <c:v>13.2</c:v>
                </c:pt>
                <c:pt idx="3">
                  <c:v>13.2</c:v>
                </c:pt>
                <c:pt idx="4">
                  <c:v>13.2</c:v>
                </c:pt>
                <c:pt idx="5">
                  <c:v>13.2</c:v>
                </c:pt>
                <c:pt idx="6">
                  <c:v>13.2</c:v>
                </c:pt>
                <c:pt idx="7">
                  <c:v>13.2</c:v>
                </c:pt>
                <c:pt idx="8">
                  <c:v>13.2</c:v>
                </c:pt>
                <c:pt idx="9">
                  <c:v>13.4</c:v>
                </c:pt>
                <c:pt idx="10">
                  <c:v>13.4</c:v>
                </c:pt>
                <c:pt idx="11">
                  <c:v>13.4</c:v>
                </c:pt>
                <c:pt idx="12">
                  <c:v>13.4</c:v>
                </c:pt>
                <c:pt idx="13">
                  <c:v>13.4</c:v>
                </c:pt>
                <c:pt idx="14">
                  <c:v>13.4</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8-DC2A-4BD1-BD04-69AB6CAF9D8C}"/>
            </c:ext>
          </c:extLst>
        </c:ser>
        <c:ser>
          <c:idx val="25"/>
          <c:order val="25"/>
          <c:tx>
            <c:strRef>
              <c:f>'Des IAP AFR'!$A$27</c:f>
              <c:strCache>
                <c:ptCount val="1"/>
                <c:pt idx="0">
                  <c:v>6400</c:v>
                </c:pt>
              </c:strCache>
            </c:strRef>
          </c:tx>
          <c:spPr>
            <a:solidFill>
              <a:schemeClr val="accent2">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AFR'!$B$27:$V$27</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9-DC2A-4BD1-BD04-69AB6CAF9D8C}"/>
            </c:ext>
          </c:extLst>
        </c:ser>
        <c:ser>
          <c:idx val="26"/>
          <c:order val="26"/>
          <c:tx>
            <c:strRef>
              <c:f>'Des IAP AFR'!$A$28</c:f>
              <c:strCache>
                <c:ptCount val="1"/>
                <c:pt idx="0">
                  <c:v>6800</c:v>
                </c:pt>
              </c:strCache>
            </c:strRef>
          </c:tx>
          <c:spPr>
            <a:solidFill>
              <a:schemeClr val="accent3">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AFR'!$B$28:$V$28</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A-DC2A-4BD1-BD04-69AB6CAF9D8C}"/>
            </c:ext>
          </c:extLst>
        </c:ser>
        <c:ser>
          <c:idx val="27"/>
          <c:order val="27"/>
          <c:tx>
            <c:strRef>
              <c:f>'Des IAP AFR'!$A$29</c:f>
              <c:strCache>
                <c:ptCount val="1"/>
                <c:pt idx="0">
                  <c:v>7200</c:v>
                </c:pt>
              </c:strCache>
            </c:strRef>
          </c:tx>
          <c:spPr>
            <a:solidFill>
              <a:schemeClr val="accent4">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AFR'!$B$29:$V$29</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B-DC2A-4BD1-BD04-69AB6CAF9D8C}"/>
            </c:ext>
          </c:extLst>
        </c:ser>
        <c:ser>
          <c:idx val="28"/>
          <c:order val="28"/>
          <c:tx>
            <c:strRef>
              <c:f>'Des IAP AFR'!$A$30</c:f>
              <c:strCache>
                <c:ptCount val="1"/>
                <c:pt idx="0">
                  <c:v>7600</c:v>
                </c:pt>
              </c:strCache>
            </c:strRef>
          </c:tx>
          <c:spPr>
            <a:solidFill>
              <a:schemeClr val="accent5">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AFR'!$B$30:$V$30</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C-DC2A-4BD1-BD04-69AB6CAF9D8C}"/>
            </c:ext>
          </c:extLst>
        </c:ser>
        <c:ser>
          <c:idx val="29"/>
          <c:order val="29"/>
          <c:tx>
            <c:strRef>
              <c:f>'Des IAP AFR'!$A$31</c:f>
              <c:strCache>
                <c:ptCount val="1"/>
                <c:pt idx="0">
                  <c:v>8000</c:v>
                </c:pt>
              </c:strCache>
            </c:strRef>
          </c:tx>
          <c:spPr>
            <a:solidFill>
              <a:schemeClr val="accent6">
                <a:lumMod val="60000"/>
                <a:lumOff val="4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AFR'!$B$31:$V$31</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D-DC2A-4BD1-BD04-69AB6CAF9D8C}"/>
            </c:ext>
          </c:extLst>
        </c:ser>
        <c:ser>
          <c:idx val="30"/>
          <c:order val="30"/>
          <c:tx>
            <c:strRef>
              <c:f>'Des IAP AFR'!$A$32</c:f>
              <c:strCache>
                <c:ptCount val="1"/>
                <c:pt idx="0">
                  <c:v>8400</c:v>
                </c:pt>
              </c:strCache>
            </c:strRef>
          </c:tx>
          <c:spPr>
            <a:solidFill>
              <a:schemeClr val="accent1">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AFR'!$B$32:$V$32</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E-DC2A-4BD1-BD04-69AB6CAF9D8C}"/>
            </c:ext>
          </c:extLst>
        </c:ser>
        <c:ser>
          <c:idx val="31"/>
          <c:order val="31"/>
          <c:tx>
            <c:strRef>
              <c:f>'Des IAP AFR'!$A$33</c:f>
              <c:strCache>
                <c:ptCount val="1"/>
                <c:pt idx="0">
                  <c:v>8800</c:v>
                </c:pt>
              </c:strCache>
            </c:strRef>
          </c:tx>
          <c:spPr>
            <a:solidFill>
              <a:schemeClr val="accent2">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AFR'!$B$33:$V$33</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1F-DC2A-4BD1-BD04-69AB6CAF9D8C}"/>
            </c:ext>
          </c:extLst>
        </c:ser>
        <c:ser>
          <c:idx val="32"/>
          <c:order val="32"/>
          <c:tx>
            <c:strRef>
              <c:f>'Des IAP AFR'!$A$34</c:f>
              <c:strCache>
                <c:ptCount val="1"/>
                <c:pt idx="0">
                  <c:v>9200</c:v>
                </c:pt>
              </c:strCache>
            </c:strRef>
          </c:tx>
          <c:spPr>
            <a:solidFill>
              <a:schemeClr val="accent3">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AFR'!$B$34:$V$34</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0-DC2A-4BD1-BD04-69AB6CAF9D8C}"/>
            </c:ext>
          </c:extLst>
        </c:ser>
        <c:ser>
          <c:idx val="33"/>
          <c:order val="33"/>
          <c:tx>
            <c:strRef>
              <c:f>'Des IAP AFR'!$A$35</c:f>
              <c:strCache>
                <c:ptCount val="1"/>
                <c:pt idx="0">
                  <c:v>9600</c:v>
                </c:pt>
              </c:strCache>
            </c:strRef>
          </c:tx>
          <c:spPr>
            <a:solidFill>
              <a:schemeClr val="accent4">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AFR'!$B$35:$V$35</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1-DC2A-4BD1-BD04-69AB6CAF9D8C}"/>
            </c:ext>
          </c:extLst>
        </c:ser>
        <c:ser>
          <c:idx val="34"/>
          <c:order val="34"/>
          <c:tx>
            <c:strRef>
              <c:f>'Des IAP AFR'!$A$36</c:f>
              <c:strCache>
                <c:ptCount val="1"/>
                <c:pt idx="0">
                  <c:v>10000</c:v>
                </c:pt>
              </c:strCache>
            </c:strRef>
          </c:tx>
          <c:spPr>
            <a:solidFill>
              <a:schemeClr val="accent5">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AFR'!$B$36:$V$36</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2-DC2A-4BD1-BD04-69AB6CAF9D8C}"/>
            </c:ext>
          </c:extLst>
        </c:ser>
        <c:ser>
          <c:idx val="35"/>
          <c:order val="35"/>
          <c:tx>
            <c:strRef>
              <c:f>'Des IAP AFR'!$A$37</c:f>
              <c:strCache>
                <c:ptCount val="1"/>
                <c:pt idx="0">
                  <c:v>10400</c:v>
                </c:pt>
              </c:strCache>
            </c:strRef>
          </c:tx>
          <c:spPr>
            <a:solidFill>
              <a:schemeClr val="accent6">
                <a:lumMod val="5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AFR'!$B$37:$V$37</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3-DC2A-4BD1-BD04-69AB6CAF9D8C}"/>
            </c:ext>
          </c:extLst>
        </c:ser>
        <c:ser>
          <c:idx val="36"/>
          <c:order val="36"/>
          <c:tx>
            <c:strRef>
              <c:f>'Des IAP AFR'!$A$38</c:f>
              <c:strCache>
                <c:ptCount val="1"/>
                <c:pt idx="0">
                  <c:v>10800</c:v>
                </c:pt>
              </c:strCache>
            </c:strRef>
          </c:tx>
          <c:spPr>
            <a:solidFill>
              <a:schemeClr val="accent1">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AFR'!$B$38:$V$38</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4-DC2A-4BD1-BD04-69AB6CAF9D8C}"/>
            </c:ext>
          </c:extLst>
        </c:ser>
        <c:ser>
          <c:idx val="37"/>
          <c:order val="37"/>
          <c:tx>
            <c:strRef>
              <c:f>'Des IAP AFR'!$A$39</c:f>
              <c:strCache>
                <c:ptCount val="1"/>
                <c:pt idx="0">
                  <c:v>11200</c:v>
                </c:pt>
              </c:strCache>
            </c:strRef>
          </c:tx>
          <c:spPr>
            <a:solidFill>
              <a:schemeClr val="accent2">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AFR'!$B$39:$V$39</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5-DC2A-4BD1-BD04-69AB6CAF9D8C}"/>
            </c:ext>
          </c:extLst>
        </c:ser>
        <c:ser>
          <c:idx val="38"/>
          <c:order val="38"/>
          <c:tx>
            <c:strRef>
              <c:f>'Des IAP AFR'!$A$40</c:f>
              <c:strCache>
                <c:ptCount val="1"/>
                <c:pt idx="0">
                  <c:v>11600</c:v>
                </c:pt>
              </c:strCache>
            </c:strRef>
          </c:tx>
          <c:spPr>
            <a:solidFill>
              <a:schemeClr val="accent3">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AFR'!$B$40:$V$40</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6-DC2A-4BD1-BD04-69AB6CAF9D8C}"/>
            </c:ext>
          </c:extLst>
        </c:ser>
        <c:ser>
          <c:idx val="39"/>
          <c:order val="39"/>
          <c:tx>
            <c:strRef>
              <c:f>'Des IAP AFR'!$A$41</c:f>
              <c:strCache>
                <c:ptCount val="1"/>
                <c:pt idx="0">
                  <c:v>12000</c:v>
                </c:pt>
              </c:strCache>
            </c:strRef>
          </c:tx>
          <c:spPr>
            <a:solidFill>
              <a:schemeClr val="accent4">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AFR'!$B$41:$V$41</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7-DC2A-4BD1-BD04-69AB6CAF9D8C}"/>
            </c:ext>
          </c:extLst>
        </c:ser>
        <c:ser>
          <c:idx val="40"/>
          <c:order val="40"/>
          <c:tx>
            <c:strRef>
              <c:f>'Des IAP AFR'!$A$42</c:f>
              <c:strCache>
                <c:ptCount val="1"/>
                <c:pt idx="0">
                  <c:v>12400</c:v>
                </c:pt>
              </c:strCache>
            </c:strRef>
          </c:tx>
          <c:spPr>
            <a:solidFill>
              <a:schemeClr val="accent5">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AFR'!$B$42:$V$42</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8-DC2A-4BD1-BD04-69AB6CAF9D8C}"/>
            </c:ext>
          </c:extLst>
        </c:ser>
        <c:ser>
          <c:idx val="41"/>
          <c:order val="41"/>
          <c:tx>
            <c:strRef>
              <c:f>'Des IAP AFR'!$A$43</c:f>
              <c:strCache>
                <c:ptCount val="1"/>
                <c:pt idx="0">
                  <c:v>12800</c:v>
                </c:pt>
              </c:strCache>
            </c:strRef>
          </c:tx>
          <c:spPr>
            <a:solidFill>
              <a:schemeClr val="accent6">
                <a:lumMod val="70000"/>
                <a:lumOff val="30000"/>
              </a:schemeClr>
            </a:solidFill>
            <a:ln/>
            <a:effectLst/>
            <a:sp3d/>
          </c:spPr>
          <c:cat>
            <c:numRef>
              <c:f>'Des IAP AFR'!$B$1:$V$1</c:f>
              <c:numCache>
                <c:formatCode>General</c:formatCode>
                <c:ptCount val="21"/>
                <c:pt idx="0">
                  <c:v>120</c:v>
                </c:pt>
                <c:pt idx="1">
                  <c:v>104</c:v>
                </c:pt>
                <c:pt idx="2">
                  <c:v>88</c:v>
                </c:pt>
                <c:pt idx="3">
                  <c:v>72</c:v>
                </c:pt>
                <c:pt idx="4">
                  <c:v>68</c:v>
                </c:pt>
                <c:pt idx="5">
                  <c:v>64</c:v>
                </c:pt>
                <c:pt idx="6">
                  <c:v>60</c:v>
                </c:pt>
                <c:pt idx="7">
                  <c:v>56</c:v>
                </c:pt>
                <c:pt idx="8">
                  <c:v>52</c:v>
                </c:pt>
                <c:pt idx="9">
                  <c:v>48</c:v>
                </c:pt>
                <c:pt idx="10">
                  <c:v>44</c:v>
                </c:pt>
                <c:pt idx="11">
                  <c:v>40</c:v>
                </c:pt>
                <c:pt idx="12">
                  <c:v>36</c:v>
                </c:pt>
                <c:pt idx="13">
                  <c:v>32</c:v>
                </c:pt>
                <c:pt idx="14">
                  <c:v>24</c:v>
                </c:pt>
                <c:pt idx="15">
                  <c:v>20</c:v>
                </c:pt>
                <c:pt idx="16">
                  <c:v>16</c:v>
                </c:pt>
                <c:pt idx="17">
                  <c:v>12</c:v>
                </c:pt>
                <c:pt idx="18">
                  <c:v>8</c:v>
                </c:pt>
                <c:pt idx="19">
                  <c:v>4</c:v>
                </c:pt>
                <c:pt idx="20">
                  <c:v>0</c:v>
                </c:pt>
              </c:numCache>
            </c:numRef>
          </c:cat>
          <c:val>
            <c:numRef>
              <c:f>'Des IAP AFR'!$B$43:$V$43</c:f>
              <c:numCache>
                <c:formatCode>General</c:formatCode>
                <c:ptCount val="21"/>
                <c:pt idx="0">
                  <c:v>13.2</c:v>
                </c:pt>
                <c:pt idx="1">
                  <c:v>13.2</c:v>
                </c:pt>
                <c:pt idx="2">
                  <c:v>13.2</c:v>
                </c:pt>
                <c:pt idx="3">
                  <c:v>13.2</c:v>
                </c:pt>
                <c:pt idx="4">
                  <c:v>13.2</c:v>
                </c:pt>
                <c:pt idx="5">
                  <c:v>13.2</c:v>
                </c:pt>
                <c:pt idx="6">
                  <c:v>13.2</c:v>
                </c:pt>
                <c:pt idx="7">
                  <c:v>13.2</c:v>
                </c:pt>
                <c:pt idx="8">
                  <c:v>13.2</c:v>
                </c:pt>
                <c:pt idx="9">
                  <c:v>13.2</c:v>
                </c:pt>
                <c:pt idx="10">
                  <c:v>13.2</c:v>
                </c:pt>
                <c:pt idx="11">
                  <c:v>13.2</c:v>
                </c:pt>
                <c:pt idx="12">
                  <c:v>13.2</c:v>
                </c:pt>
                <c:pt idx="13">
                  <c:v>13.2</c:v>
                </c:pt>
                <c:pt idx="14">
                  <c:v>13.2</c:v>
                </c:pt>
                <c:pt idx="15">
                  <c:v>13.2</c:v>
                </c:pt>
                <c:pt idx="16">
                  <c:v>13.2</c:v>
                </c:pt>
                <c:pt idx="17">
                  <c:v>13.2</c:v>
                </c:pt>
                <c:pt idx="18">
                  <c:v>13.2</c:v>
                </c:pt>
                <c:pt idx="19">
                  <c:v>13.2</c:v>
                </c:pt>
                <c:pt idx="20">
                  <c:v>13.2</c:v>
                </c:pt>
              </c:numCache>
            </c:numRef>
          </c:val>
          <c:extLst>
            <c:ext xmlns:c16="http://schemas.microsoft.com/office/drawing/2014/chart" uri="{C3380CC4-5D6E-409C-BE32-E72D297353CC}">
              <c16:uniqueId val="{00000029-DC2A-4BD1-BD04-69AB6CAF9D8C}"/>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349646784"/>
        <c:axId val="349644704"/>
        <c:axId val="336978976"/>
      </c:surface3DChart>
      <c:catAx>
        <c:axId val="349646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4704"/>
        <c:crosses val="autoZero"/>
        <c:auto val="1"/>
        <c:lblAlgn val="ctr"/>
        <c:lblOffset val="100"/>
        <c:noMultiLvlLbl val="0"/>
      </c:catAx>
      <c:valAx>
        <c:axId val="349644704"/>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6784"/>
        <c:crosses val="autoZero"/>
        <c:crossBetween val="midCat"/>
      </c:valAx>
      <c:serAx>
        <c:axId val="33697897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44704"/>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a:t>
            </a:r>
            <a:r>
              <a:rPr lang="en-US" baseline="0"/>
              <a:t> Fuel Correction Factor</a:t>
            </a:r>
            <a:endParaRPr lang="en-US"/>
          </a:p>
        </c:rich>
      </c:tx>
      <c:overlay val="0"/>
      <c:spPr>
        <a:noFill/>
        <a:ln>
          <a:noFill/>
        </a:ln>
        <a:effectLst/>
      </c:spPr>
    </c:title>
    <c:autoTitleDeleted val="0"/>
    <c:view3D>
      <c:rotX val="10"/>
      <c:rotY val="31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'TPS Correction'!$B$1</c:f>
              <c:strCache>
                <c:ptCount val="1"/>
                <c:pt idx="0">
                  <c:v>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Correction'!$B$2:$B$43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0-AEC0-418F-9556-182B4E94A04B}"/>
            </c:ext>
          </c:extLst>
        </c:ser>
        <c:ser>
          <c:idx val="1"/>
          <c:order val="1"/>
          <c:tx>
            <c:strRef>
              <c:f>'TPS Correction'!$C$1</c:f>
              <c:strCache>
                <c:ptCount val="1"/>
                <c:pt idx="0">
                  <c:v>0.6</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Correction'!$C$2:$C$43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1-AEC0-418F-9556-182B4E94A04B}"/>
            </c:ext>
          </c:extLst>
        </c:ser>
        <c:ser>
          <c:idx val="2"/>
          <c:order val="2"/>
          <c:tx>
            <c:strRef>
              <c:f>'TPS Correction'!$D$1</c:f>
              <c:strCache>
                <c:ptCount val="1"/>
                <c:pt idx="0">
                  <c:v>1.2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Correction'!$D$2:$D$43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2-AEC0-418F-9556-182B4E94A04B}"/>
            </c:ext>
          </c:extLst>
        </c:ser>
        <c:ser>
          <c:idx val="3"/>
          <c:order val="3"/>
          <c:tx>
            <c:strRef>
              <c:f>'TPS Correction'!$E$1</c:f>
              <c:strCache>
                <c:ptCount val="1"/>
                <c:pt idx="0">
                  <c:v>1.9</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Correction'!$E$2:$E$43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3-AEC0-418F-9556-182B4E94A04B}"/>
            </c:ext>
          </c:extLst>
        </c:ser>
        <c:ser>
          <c:idx val="4"/>
          <c:order val="4"/>
          <c:tx>
            <c:strRef>
              <c:f>'TPS Correction'!$F$1</c:f>
              <c:strCache>
                <c:ptCount val="1"/>
                <c:pt idx="0">
                  <c:v>2.5</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Correction'!$F$2:$F$43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4-AEC0-418F-9556-182B4E94A04B}"/>
            </c:ext>
          </c:extLst>
        </c:ser>
        <c:ser>
          <c:idx val="5"/>
          <c:order val="5"/>
          <c:tx>
            <c:strRef>
              <c:f>'TPS Correction'!$G$1</c:f>
              <c:strCache>
                <c:ptCount val="1"/>
                <c:pt idx="0">
                  <c:v>3.1</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Correction'!$G$2:$G$43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5-AEC0-418F-9556-182B4E94A04B}"/>
            </c:ext>
          </c:extLst>
        </c:ser>
        <c:ser>
          <c:idx val="6"/>
          <c:order val="6"/>
          <c:tx>
            <c:strRef>
              <c:f>'TPS Correction'!$H$1</c:f>
              <c:strCache>
                <c:ptCount val="1"/>
                <c:pt idx="0">
                  <c:v>3.7</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Correction'!$H$2:$H$43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6-AEC0-418F-9556-182B4E94A04B}"/>
            </c:ext>
          </c:extLst>
        </c:ser>
        <c:ser>
          <c:idx val="7"/>
          <c:order val="7"/>
          <c:tx>
            <c:strRef>
              <c:f>'TPS Correction'!$I$1</c:f>
              <c:strCache>
                <c:ptCount val="1"/>
                <c:pt idx="0">
                  <c:v>4.4</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Correction'!$I$2:$I$43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7-AEC0-418F-9556-182B4E94A04B}"/>
            </c:ext>
          </c:extLst>
        </c:ser>
        <c:ser>
          <c:idx val="8"/>
          <c:order val="8"/>
          <c:tx>
            <c:strRef>
              <c:f>'TPS Correction'!$J$1</c:f>
              <c:strCache>
                <c:ptCount val="1"/>
                <c:pt idx="0">
                  <c:v>5.6</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Correction'!$J$2:$J$43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8-AEC0-418F-9556-182B4E94A04B}"/>
            </c:ext>
          </c:extLst>
        </c:ser>
        <c:ser>
          <c:idx val="9"/>
          <c:order val="9"/>
          <c:tx>
            <c:strRef>
              <c:f>'TPS Correction'!$K$1</c:f>
              <c:strCache>
                <c:ptCount val="1"/>
                <c:pt idx="0">
                  <c:v>6.8</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Correction'!$K$2:$K$43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9-AEC0-418F-9556-182B4E94A04B}"/>
            </c:ext>
          </c:extLst>
        </c:ser>
        <c:ser>
          <c:idx val="10"/>
          <c:order val="10"/>
          <c:tx>
            <c:strRef>
              <c:f>'TPS Correction'!$L$1</c:f>
              <c:strCache>
                <c:ptCount val="1"/>
                <c:pt idx="0">
                  <c:v>8.1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Correction'!$L$2:$L$43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A-AEC0-418F-9556-182B4E94A04B}"/>
            </c:ext>
          </c:extLst>
        </c:ser>
        <c:ser>
          <c:idx val="11"/>
          <c:order val="11"/>
          <c:tx>
            <c:strRef>
              <c:f>'TPS Correction'!$M$1</c:f>
              <c:strCache>
                <c:ptCount val="1"/>
                <c:pt idx="0">
                  <c:v>9.3</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Correction'!$M$2:$M$43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B-AEC0-418F-9556-182B4E94A04B}"/>
            </c:ext>
          </c:extLst>
        </c:ser>
        <c:ser>
          <c:idx val="12"/>
          <c:order val="12"/>
          <c:tx>
            <c:strRef>
              <c:f>'TPS Correction'!$N$1</c:f>
              <c:strCache>
                <c:ptCount val="1"/>
                <c:pt idx="0">
                  <c:v>10.6</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Correction'!$N$2:$N$43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C-AEC0-418F-9556-182B4E94A04B}"/>
            </c:ext>
          </c:extLst>
        </c:ser>
        <c:ser>
          <c:idx val="13"/>
          <c:order val="13"/>
          <c:tx>
            <c:strRef>
              <c:f>'TPS Correction'!$O$1</c:f>
              <c:strCache>
                <c:ptCount val="1"/>
                <c:pt idx="0">
                  <c:v>15.5</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Correction'!$O$2:$O$43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D-AEC0-418F-9556-182B4E94A04B}"/>
            </c:ext>
          </c:extLst>
        </c:ser>
        <c:ser>
          <c:idx val="14"/>
          <c:order val="14"/>
          <c:tx>
            <c:strRef>
              <c:f>'TPS Correction'!$P$1</c:f>
              <c:strCache>
                <c:ptCount val="1"/>
                <c:pt idx="0">
                  <c:v>20.5</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Correction'!$P$2:$P$43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E-AEC0-418F-9556-182B4E94A04B}"/>
            </c:ext>
          </c:extLst>
        </c:ser>
        <c:ser>
          <c:idx val="15"/>
          <c:order val="15"/>
          <c:tx>
            <c:strRef>
              <c:f>'TPS Correction'!$Q$1</c:f>
              <c:strCache>
                <c:ptCount val="1"/>
                <c:pt idx="0">
                  <c:v>25.5</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Correction'!$Q$2:$Q$43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F-AEC0-418F-9556-182B4E94A04B}"/>
            </c:ext>
          </c:extLst>
        </c:ser>
        <c:ser>
          <c:idx val="16"/>
          <c:order val="16"/>
          <c:tx>
            <c:strRef>
              <c:f>'TPS Correction'!$R$1</c:f>
              <c:strCache>
                <c:ptCount val="1"/>
                <c:pt idx="0">
                  <c:v>30.5</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Correction'!$R$2:$R$43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0.4015151515151516</c:v>
                </c:pt>
              </c:numCache>
            </c:numRef>
          </c:val>
          <c:extLst>
            <c:ext xmlns:c16="http://schemas.microsoft.com/office/drawing/2014/chart" uri="{C3380CC4-5D6E-409C-BE32-E72D297353CC}">
              <c16:uniqueId val="{00000010-AEC0-418F-9556-182B4E94A04B}"/>
            </c:ext>
          </c:extLst>
        </c:ser>
        <c:ser>
          <c:idx val="17"/>
          <c:order val="17"/>
          <c:tx>
            <c:strRef>
              <c:f>'TPS Correction'!$S$1</c:f>
              <c:strCache>
                <c:ptCount val="1"/>
                <c:pt idx="0">
                  <c:v>40.4</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Correction'!$S$2:$S$43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0.24449035812672171</c:v>
                </c:pt>
              </c:numCache>
            </c:numRef>
          </c:val>
          <c:extLst>
            <c:ext xmlns:c16="http://schemas.microsoft.com/office/drawing/2014/chart" uri="{C3380CC4-5D6E-409C-BE32-E72D297353CC}">
              <c16:uniqueId val="{00000011-AEC0-418F-9556-182B4E94A04B}"/>
            </c:ext>
          </c:extLst>
        </c:ser>
        <c:ser>
          <c:idx val="18"/>
          <c:order val="18"/>
          <c:tx>
            <c:strRef>
              <c:f>'TPS Correction'!$T$1</c:f>
              <c:strCache>
                <c:ptCount val="1"/>
                <c:pt idx="0">
                  <c:v>50.4</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Correction'!$T$2:$T$43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2-AEC0-418F-9556-182B4E94A04B}"/>
            </c:ext>
          </c:extLst>
        </c:ser>
        <c:ser>
          <c:idx val="19"/>
          <c:order val="19"/>
          <c:tx>
            <c:strRef>
              <c:f>'TPS Correction'!$U$1</c:f>
              <c:strCache>
                <c:ptCount val="1"/>
                <c:pt idx="0">
                  <c:v>60.3</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Correction'!$U$2:$U$43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3-AEC0-418F-9556-182B4E94A04B}"/>
            </c:ext>
          </c:extLst>
        </c:ser>
        <c:ser>
          <c:idx val="20"/>
          <c:order val="20"/>
          <c:tx>
            <c:strRef>
              <c:f>'TPS Correction'!$V$1</c:f>
              <c:strCache>
                <c:ptCount val="1"/>
                <c:pt idx="0">
                  <c:v>70.3</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Correction'!$V$2:$V$43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4-AEC0-418F-9556-182B4E94A04B}"/>
            </c:ext>
          </c:extLst>
        </c:ser>
        <c:ser>
          <c:idx val="21"/>
          <c:order val="21"/>
          <c:tx>
            <c:strRef>
              <c:f>'TPS Correction'!$W$1</c:f>
              <c:strCache>
                <c:ptCount val="1"/>
                <c:pt idx="0">
                  <c:v>90.2</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Correction'!$W$2:$W$43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5-AEC0-418F-9556-182B4E94A04B}"/>
            </c:ext>
          </c:extLst>
        </c:ser>
        <c:ser>
          <c:idx val="22"/>
          <c:order val="22"/>
          <c:tx>
            <c:strRef>
              <c:f>'TPS Correction'!$X$1</c:f>
              <c:strCache>
                <c:ptCount val="1"/>
                <c:pt idx="0">
                  <c:v>100</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'TPS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'TPS Correction'!$X$2:$X$43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6-AEC0-418F-9556-182B4E94A04B}"/>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28456640"/>
        <c:axId val="328460800"/>
        <c:axId val="350275152"/>
      </c:surface3DChart>
      <c:catAx>
        <c:axId val="328456640"/>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60800"/>
        <c:crosses val="autoZero"/>
        <c:auto val="1"/>
        <c:lblAlgn val="ctr"/>
        <c:lblOffset val="100"/>
        <c:noMultiLvlLbl val="0"/>
      </c:catAx>
      <c:valAx>
        <c:axId val="328460800"/>
        <c:scaling>
          <c:orientation val="minMax"/>
        </c:scaling>
        <c:delete val="0"/>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56640"/>
        <c:crosses val="autoZero"/>
        <c:crossBetween val="midCat"/>
      </c:valAx>
      <c:serAx>
        <c:axId val="350275152"/>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2846080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IAP Fuel</a:t>
            </a:r>
            <a:r>
              <a:rPr lang="en-US" baseline="0"/>
              <a:t> Correction Factor</a:t>
            </a:r>
          </a:p>
        </c:rich>
      </c:tx>
      <c:overlay val="0"/>
      <c:spPr>
        <a:noFill/>
        <a:ln>
          <a:noFill/>
        </a:ln>
        <a:effectLst/>
      </c:spPr>
    </c:title>
    <c:autoTitleDeleted val="0"/>
    <c:view3D>
      <c:rotX val="20"/>
      <c:rotY val="23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'IAP Correction'!$B$1</c:f>
              <c:strCache>
                <c:ptCount val="1"/>
                <c:pt idx="0">
                  <c:v>120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Correction'!$B$2:$B$43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0-9A95-41DE-9F44-CF8F62D31A3D}"/>
            </c:ext>
          </c:extLst>
        </c:ser>
        <c:ser>
          <c:idx val="1"/>
          <c:order val="1"/>
          <c:tx>
            <c:strRef>
              <c:f>'IAP Correction'!$C$1</c:f>
              <c:strCache>
                <c:ptCount val="1"/>
                <c:pt idx="0">
                  <c:v>104</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Correction'!$C$2:$C$43</c:f>
              <c:numCache>
                <c:formatCode>0.00</c:formatCode>
                <c:ptCount val="42"/>
                <c:pt idx="0">
                  <c:v>0</c:v>
                </c:pt>
                <c:pt idx="1">
                  <c:v>0</c:v>
                </c:pt>
                <c:pt idx="2">
                  <c:v>0.30625000000000013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1-9A95-41DE-9F44-CF8F62D31A3D}"/>
            </c:ext>
          </c:extLst>
        </c:ser>
        <c:ser>
          <c:idx val="2"/>
          <c:order val="2"/>
          <c:tx>
            <c:strRef>
              <c:f>'IAP Correction'!$D$1</c:f>
              <c:strCache>
                <c:ptCount val="1"/>
                <c:pt idx="0">
                  <c:v>88</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Correction'!$D$2:$D$43</c:f>
              <c:numCache>
                <c:formatCode>0.00</c:formatCode>
                <c:ptCount val="42"/>
                <c:pt idx="0">
                  <c:v>0</c:v>
                </c:pt>
                <c:pt idx="1">
                  <c:v>0.29514170040485821</c:v>
                </c:pt>
                <c:pt idx="2">
                  <c:v>0.28316008316008334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2-9A95-41DE-9F44-CF8F62D31A3D}"/>
            </c:ext>
          </c:extLst>
        </c:ser>
        <c:ser>
          <c:idx val="3"/>
          <c:order val="3"/>
          <c:tx>
            <c:strRef>
              <c:f>'IAP Correction'!$E$1</c:f>
              <c:strCache>
                <c:ptCount val="1"/>
                <c:pt idx="0">
                  <c:v>72</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Correction'!$E$2:$E$43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3-9A95-41DE-9F44-CF8F62D31A3D}"/>
            </c:ext>
          </c:extLst>
        </c:ser>
        <c:ser>
          <c:idx val="4"/>
          <c:order val="4"/>
          <c:tx>
            <c:strRef>
              <c:f>'IAP Correction'!$F$1</c:f>
              <c:strCache>
                <c:ptCount val="1"/>
                <c:pt idx="0">
                  <c:v>68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Correction'!$F$2:$F$43</c:f>
              <c:numCache>
                <c:formatCode>0.00</c:formatCode>
                <c:ptCount val="42"/>
                <c:pt idx="0">
                  <c:v>0</c:v>
                </c:pt>
                <c:pt idx="1">
                  <c:v>0</c:v>
                </c:pt>
                <c:pt idx="2">
                  <c:v>0.29538461538461513</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4-9A95-41DE-9F44-CF8F62D31A3D}"/>
            </c:ext>
          </c:extLst>
        </c:ser>
        <c:ser>
          <c:idx val="5"/>
          <c:order val="5"/>
          <c:tx>
            <c:strRef>
              <c:f>'IAP Correction'!$G$1</c:f>
              <c:strCache>
                <c:ptCount val="1"/>
                <c:pt idx="0">
                  <c:v>64</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Correction'!$G$2:$G$43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5-9A95-41DE-9F44-CF8F62D31A3D}"/>
            </c:ext>
          </c:extLst>
        </c:ser>
        <c:ser>
          <c:idx val="6"/>
          <c:order val="6"/>
          <c:tx>
            <c:strRef>
              <c:f>'IAP Correction'!$H$1</c:f>
              <c:strCache>
                <c:ptCount val="1"/>
                <c:pt idx="0">
                  <c:v>60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Correction'!$H$2:$H$43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6-9A95-41DE-9F44-CF8F62D31A3D}"/>
            </c:ext>
          </c:extLst>
        </c:ser>
        <c:ser>
          <c:idx val="7"/>
          <c:order val="7"/>
          <c:tx>
            <c:strRef>
              <c:f>'IAP Correction'!$I$1</c:f>
              <c:strCache>
                <c:ptCount val="1"/>
                <c:pt idx="0">
                  <c:v>56</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Correction'!$I$2:$I$43</c:f>
              <c:numCache>
                <c:formatCode>0.00</c:formatCode>
                <c:ptCount val="42"/>
                <c:pt idx="0">
                  <c:v>0</c:v>
                </c:pt>
                <c:pt idx="1">
                  <c:v>0.25576662143826323</c:v>
                </c:pt>
                <c:pt idx="2">
                  <c:v>0.27815468113975594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7-9A95-41DE-9F44-CF8F62D31A3D}"/>
            </c:ext>
          </c:extLst>
        </c:ser>
        <c:ser>
          <c:idx val="8"/>
          <c:order val="8"/>
          <c:tx>
            <c:strRef>
              <c:f>'IAP Correction'!$J$1</c:f>
              <c:strCache>
                <c:ptCount val="1"/>
                <c:pt idx="0">
                  <c:v>52</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Correction'!$J$2:$J$43</c:f>
              <c:numCache>
                <c:formatCode>0.00</c:formatCode>
                <c:ptCount val="42"/>
                <c:pt idx="0">
                  <c:v>0</c:v>
                </c:pt>
                <c:pt idx="1">
                  <c:v>0.24830393487109892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8-9A95-41DE-9F44-CF8F62D31A3D}"/>
            </c:ext>
          </c:extLst>
        </c:ser>
        <c:ser>
          <c:idx val="9"/>
          <c:order val="9"/>
          <c:tx>
            <c:strRef>
              <c:f>'IAP Correction'!$K$1</c:f>
              <c:strCache>
                <c:ptCount val="1"/>
                <c:pt idx="0">
                  <c:v>48</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Correction'!$K$2:$K$43</c:f>
              <c:numCache>
                <c:formatCode>0.00</c:formatCode>
                <c:ptCount val="42"/>
                <c:pt idx="0">
                  <c:v>0</c:v>
                </c:pt>
                <c:pt idx="1">
                  <c:v>0</c:v>
                </c:pt>
                <c:pt idx="2">
                  <c:v>0.26343283582089572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9-9A95-41DE-9F44-CF8F62D31A3D}"/>
            </c:ext>
          </c:extLst>
        </c:ser>
        <c:ser>
          <c:idx val="10"/>
          <c:order val="10"/>
          <c:tx>
            <c:strRef>
              <c:f>'IAP Correction'!$L$1</c:f>
              <c:strCache>
                <c:ptCount val="1"/>
                <c:pt idx="0">
                  <c:v>44</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Correction'!$L$2:$L$43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A-9A95-41DE-9F44-CF8F62D31A3D}"/>
            </c:ext>
          </c:extLst>
        </c:ser>
        <c:ser>
          <c:idx val="11"/>
          <c:order val="11"/>
          <c:tx>
            <c:strRef>
              <c:f>'IAP Correction'!$M$1</c:f>
              <c:strCache>
                <c:ptCount val="1"/>
                <c:pt idx="0">
                  <c:v>40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Correction'!$M$2:$M$43</c:f>
              <c:numCache>
                <c:formatCode>0.00</c:formatCode>
                <c:ptCount val="42"/>
                <c:pt idx="0">
                  <c:v>0</c:v>
                </c:pt>
                <c:pt idx="1">
                  <c:v>0.27425373134328357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B-9A95-41DE-9F44-CF8F62D31A3D}"/>
            </c:ext>
          </c:extLst>
        </c:ser>
        <c:ser>
          <c:idx val="12"/>
          <c:order val="12"/>
          <c:tx>
            <c:strRef>
              <c:f>'IAP Correction'!$N$1</c:f>
              <c:strCache>
                <c:ptCount val="1"/>
                <c:pt idx="0">
                  <c:v>36</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Correction'!$N$2:$N$43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C-9A95-41DE-9F44-CF8F62D31A3D}"/>
            </c:ext>
          </c:extLst>
        </c:ser>
        <c:ser>
          <c:idx val="13"/>
          <c:order val="13"/>
          <c:tx>
            <c:strRef>
              <c:f>'IAP Correction'!$O$1</c:f>
              <c:strCache>
                <c:ptCount val="1"/>
                <c:pt idx="0">
                  <c:v>32</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Correction'!$O$2:$O$43</c:f>
              <c:numCache>
                <c:formatCode>0.00</c:formatCode>
                <c:ptCount val="42"/>
                <c:pt idx="0">
                  <c:v>0</c:v>
                </c:pt>
                <c:pt idx="1">
                  <c:v>0.28251599147121542</c:v>
                </c:pt>
                <c:pt idx="2">
                  <c:v>0.29944029850746245</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D-9A95-41DE-9F44-CF8F62D31A3D}"/>
            </c:ext>
          </c:extLst>
        </c:ser>
        <c:ser>
          <c:idx val="14"/>
          <c:order val="14"/>
          <c:tx>
            <c:strRef>
              <c:f>'IAP Correction'!$P$1</c:f>
              <c:strCache>
                <c:ptCount val="1"/>
                <c:pt idx="0">
                  <c:v>24</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Correction'!$P$2:$P$43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E-9A95-41DE-9F44-CF8F62D31A3D}"/>
            </c:ext>
          </c:extLst>
        </c:ser>
        <c:ser>
          <c:idx val="15"/>
          <c:order val="15"/>
          <c:tx>
            <c:strRef>
              <c:f>'IAP Correction'!$Q$1</c:f>
              <c:strCache>
                <c:ptCount val="1"/>
                <c:pt idx="0">
                  <c:v>20</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Correction'!$Q$2:$Q$43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0F-9A95-41DE-9F44-CF8F62D31A3D}"/>
            </c:ext>
          </c:extLst>
        </c:ser>
        <c:ser>
          <c:idx val="16"/>
          <c:order val="16"/>
          <c:tx>
            <c:strRef>
              <c:f>'IAP Correction'!$R$1</c:f>
              <c:strCache>
                <c:ptCount val="1"/>
                <c:pt idx="0">
                  <c:v>16</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Correction'!$R$2:$R$43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0-9A95-41DE-9F44-CF8F62D31A3D}"/>
            </c:ext>
          </c:extLst>
        </c:ser>
        <c:ser>
          <c:idx val="17"/>
          <c:order val="17"/>
          <c:tx>
            <c:strRef>
              <c:f>'IAP Correction'!$S$1</c:f>
              <c:strCache>
                <c:ptCount val="1"/>
                <c:pt idx="0">
                  <c:v>12</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Correction'!$S$2:$S$43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1-9A95-41DE-9F44-CF8F62D31A3D}"/>
            </c:ext>
          </c:extLst>
        </c:ser>
        <c:ser>
          <c:idx val="18"/>
          <c:order val="18"/>
          <c:tx>
            <c:strRef>
              <c:f>'IAP Correction'!$T$1</c:f>
              <c:strCache>
                <c:ptCount val="1"/>
                <c:pt idx="0">
                  <c:v>8</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Correction'!$T$2:$T$43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2-9A95-41DE-9F44-CF8F62D31A3D}"/>
            </c:ext>
          </c:extLst>
        </c:ser>
        <c:ser>
          <c:idx val="19"/>
          <c:order val="19"/>
          <c:tx>
            <c:strRef>
              <c:f>'IAP Correction'!$U$1</c:f>
              <c:strCache>
                <c:ptCount val="1"/>
                <c:pt idx="0">
                  <c:v>4</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Correction'!$U$2:$U$43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0.34337822671156015</c:v>
                </c:pt>
              </c:numCache>
            </c:numRef>
          </c:val>
          <c:extLst>
            <c:ext xmlns:c16="http://schemas.microsoft.com/office/drawing/2014/chart" uri="{C3380CC4-5D6E-409C-BE32-E72D297353CC}">
              <c16:uniqueId val="{00000013-9A95-41DE-9F44-CF8F62D31A3D}"/>
            </c:ext>
          </c:extLst>
        </c:ser>
        <c:ser>
          <c:idx val="20"/>
          <c:order val="20"/>
          <c:tx>
            <c:strRef>
              <c:f>'IAP Correction'!$V$1</c:f>
              <c:strCache>
                <c:ptCount val="1"/>
                <c:pt idx="0">
                  <c:v>0</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effectLst>
              <a:outerShdw blurRad="57150" dist="19050" dir="5400000" algn="ctr" rotWithShape="0">
                <a:srgbClr val="000000">
                  <a:alpha val="63000"/>
                </a:srgbClr>
              </a:outerShdw>
            </a:effectLst>
            <a:sp3d/>
          </c:spPr>
          <c:cat>
            <c:numRef>
              <c:f>'IAP Correction'!$A$2:$A$43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'IAP Correction'!$V$2:$V$43</c:f>
              <c:numCache>
                <c:formatCode>0.00</c:formatCode>
                <c:ptCount val="4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numCache>
            </c:numRef>
          </c:val>
          <c:extLst>
            <c:ext xmlns:c16="http://schemas.microsoft.com/office/drawing/2014/chart" uri="{C3380CC4-5D6E-409C-BE32-E72D297353CC}">
              <c16:uniqueId val="{00000014-9A95-41DE-9F44-CF8F62D31A3D}"/>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340405696"/>
        <c:axId val="340406112"/>
        <c:axId val="350265728"/>
      </c:surface3DChart>
      <c:catAx>
        <c:axId val="340405696"/>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6112"/>
        <c:crosses val="autoZero"/>
        <c:auto val="1"/>
        <c:lblAlgn val="ctr"/>
        <c:lblOffset val="100"/>
        <c:noMultiLvlLbl val="0"/>
      </c:catAx>
      <c:valAx>
        <c:axId val="340406112"/>
        <c:scaling>
          <c:orientation val="minMax"/>
        </c:scaling>
        <c:delete val="0"/>
        <c:axPos val="r"/>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5696"/>
        <c:crosses val="autoZero"/>
        <c:crossBetween val="midCat"/>
      </c:valAx>
      <c:serAx>
        <c:axId val="350265728"/>
        <c:scaling>
          <c:orientation val="minMax"/>
        </c:scaling>
        <c:delete val="0"/>
        <c:axPos val="b"/>
        <c:majorGridlines>
          <c:spPr>
            <a:ln w="9525" cap="flat" cmpd="sng" algn="ctr">
              <a:solidFill>
                <a:schemeClr val="dk1">
                  <a:lumMod val="50000"/>
                  <a:lumOff val="50000"/>
                </a:schemeClr>
              </a:solidFill>
              <a:round/>
            </a:ln>
            <a:effectLst/>
          </c:spPr>
        </c:majorGridlines>
        <c:majorTickMark val="none"/>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040611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Corrected TPS Fuel Map</a:t>
            </a:r>
          </a:p>
        </c:rich>
      </c:tx>
      <c:overlay val="0"/>
      <c:spPr>
        <a:noFill/>
        <a:ln>
          <a:noFill/>
        </a:ln>
        <a:effectLst/>
      </c:spPr>
    </c:title>
    <c:autoTitleDeleted val="0"/>
    <c:view3D>
      <c:rotX val="10"/>
      <c:rotY val="33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'Auto Correct TPS'!$B$1</c:f>
              <c:strCache>
                <c:ptCount val="1"/>
                <c:pt idx="0">
                  <c:v>0</c:v>
                </c:pt>
              </c:strCache>
            </c:strRef>
          </c:tx>
          <c:spPr>
            <a:solidFill>
              <a:schemeClr val="accent4">
                <a:shade val="3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TPS'!$B$2:$B$43</c:f>
              <c:numCache>
                <c:formatCode>0.0</c:formatCode>
                <c:ptCount val="42"/>
                <c:pt idx="0">
                  <c:v>48</c:v>
                </c:pt>
                <c:pt idx="1">
                  <c:v>48</c:v>
                </c:pt>
                <c:pt idx="2">
                  <c:v>44</c:v>
                </c:pt>
                <c:pt idx="3">
                  <c:v>43</c:v>
                </c:pt>
                <c:pt idx="4">
                  <c:v>43</c:v>
                </c:pt>
                <c:pt idx="5">
                  <c:v>42</c:v>
                </c:pt>
                <c:pt idx="6">
                  <c:v>38</c:v>
                </c:pt>
                <c:pt idx="7">
                  <c:v>36</c:v>
                </c:pt>
                <c:pt idx="8">
                  <c:v>34</c:v>
                </c:pt>
                <c:pt idx="9">
                  <c:v>34</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0-F3CC-47E8-B0A6-F463BE105F51}"/>
            </c:ext>
          </c:extLst>
        </c:ser>
        <c:ser>
          <c:idx val="1"/>
          <c:order val="1"/>
          <c:tx>
            <c:strRef>
              <c:f>'Auto Correct TPS'!$C$1</c:f>
              <c:strCache>
                <c:ptCount val="1"/>
                <c:pt idx="0">
                  <c:v>0.6</c:v>
                </c:pt>
              </c:strCache>
            </c:strRef>
          </c:tx>
          <c:spPr>
            <a:solidFill>
              <a:schemeClr val="accent4">
                <a:shade val="41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TPS'!$C$2:$C$43</c:f>
              <c:numCache>
                <c:formatCode>0.0</c:formatCode>
                <c:ptCount val="42"/>
                <c:pt idx="0">
                  <c:v>49</c:v>
                </c:pt>
                <c:pt idx="1">
                  <c:v>49</c:v>
                </c:pt>
                <c:pt idx="2">
                  <c:v>43</c:v>
                </c:pt>
                <c:pt idx="3">
                  <c:v>41</c:v>
                </c:pt>
                <c:pt idx="4">
                  <c:v>41</c:v>
                </c:pt>
                <c:pt idx="5">
                  <c:v>39</c:v>
                </c:pt>
                <c:pt idx="6">
                  <c:v>38</c:v>
                </c:pt>
                <c:pt idx="7">
                  <c:v>36</c:v>
                </c:pt>
                <c:pt idx="8">
                  <c:v>34</c:v>
                </c:pt>
                <c:pt idx="9">
                  <c:v>34</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1-F3CC-47E8-B0A6-F463BE105F51}"/>
            </c:ext>
          </c:extLst>
        </c:ser>
        <c:ser>
          <c:idx val="2"/>
          <c:order val="2"/>
          <c:tx>
            <c:strRef>
              <c:f>'Auto Correct TPS'!$D$1</c:f>
              <c:strCache>
                <c:ptCount val="1"/>
                <c:pt idx="0">
                  <c:v>1.2</c:v>
                </c:pt>
              </c:strCache>
            </c:strRef>
          </c:tx>
          <c:spPr>
            <a:solidFill>
              <a:schemeClr val="accent4">
                <a:shade val="47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TPS'!$D$2:$D$43</c:f>
              <c:numCache>
                <c:formatCode>0.0</c:formatCode>
                <c:ptCount val="42"/>
                <c:pt idx="0">
                  <c:v>75</c:v>
                </c:pt>
                <c:pt idx="1">
                  <c:v>75</c:v>
                </c:pt>
                <c:pt idx="2">
                  <c:v>67</c:v>
                </c:pt>
                <c:pt idx="3">
                  <c:v>54</c:v>
                </c:pt>
                <c:pt idx="4">
                  <c:v>51</c:v>
                </c:pt>
                <c:pt idx="5">
                  <c:v>46</c:v>
                </c:pt>
                <c:pt idx="6">
                  <c:v>43</c:v>
                </c:pt>
                <c:pt idx="7">
                  <c:v>43</c:v>
                </c:pt>
                <c:pt idx="8">
                  <c:v>42</c:v>
                </c:pt>
                <c:pt idx="9">
                  <c:v>39</c:v>
                </c:pt>
                <c:pt idx="10">
                  <c:v>34</c:v>
                </c:pt>
                <c:pt idx="11">
                  <c:v>32</c:v>
                </c:pt>
                <c:pt idx="12">
                  <c:v>32</c:v>
                </c:pt>
                <c:pt idx="13">
                  <c:v>32</c:v>
                </c:pt>
                <c:pt idx="14">
                  <c:v>32</c:v>
                </c:pt>
                <c:pt idx="15">
                  <c:v>32</c:v>
                </c:pt>
                <c:pt idx="16">
                  <c:v>32</c:v>
                </c:pt>
                <c:pt idx="17">
                  <c:v>32</c:v>
                </c:pt>
                <c:pt idx="18">
                  <c:v>32</c:v>
                </c:pt>
                <c:pt idx="19">
                  <c:v>32</c:v>
                </c:pt>
                <c:pt idx="20">
                  <c:v>29</c:v>
                </c:pt>
                <c:pt idx="21">
                  <c:v>29</c:v>
                </c:pt>
                <c:pt idx="22">
                  <c:v>29</c:v>
                </c:pt>
                <c:pt idx="23">
                  <c:v>29</c:v>
                </c:pt>
                <c:pt idx="24">
                  <c:v>29</c:v>
                </c:pt>
                <c:pt idx="25">
                  <c:v>29</c:v>
                </c:pt>
                <c:pt idx="26">
                  <c:v>28</c:v>
                </c:pt>
                <c:pt idx="27">
                  <c:v>27</c:v>
                </c:pt>
                <c:pt idx="28">
                  <c:v>27</c:v>
                </c:pt>
                <c:pt idx="29">
                  <c:v>25</c:v>
                </c:pt>
                <c:pt idx="30">
                  <c:v>24</c:v>
                </c:pt>
                <c:pt idx="31">
                  <c:v>24</c:v>
                </c:pt>
                <c:pt idx="32">
                  <c:v>21</c:v>
                </c:pt>
                <c:pt idx="33">
                  <c:v>21</c:v>
                </c:pt>
                <c:pt idx="34">
                  <c:v>21</c:v>
                </c:pt>
                <c:pt idx="35">
                  <c:v>20</c:v>
                </c:pt>
                <c:pt idx="36">
                  <c:v>20</c:v>
                </c:pt>
                <c:pt idx="37">
                  <c:v>20</c:v>
                </c:pt>
                <c:pt idx="38">
                  <c:v>20</c:v>
                </c:pt>
                <c:pt idx="39">
                  <c:v>20</c:v>
                </c:pt>
                <c:pt idx="40">
                  <c:v>20</c:v>
                </c:pt>
                <c:pt idx="41">
                  <c:v>20</c:v>
                </c:pt>
              </c:numCache>
            </c:numRef>
          </c:val>
          <c:extLst>
            <c:ext xmlns:c16="http://schemas.microsoft.com/office/drawing/2014/chart" uri="{C3380CC4-5D6E-409C-BE32-E72D297353CC}">
              <c16:uniqueId val="{00000002-F3CC-47E8-B0A6-F463BE105F51}"/>
            </c:ext>
          </c:extLst>
        </c:ser>
        <c:ser>
          <c:idx val="3"/>
          <c:order val="3"/>
          <c:tx>
            <c:strRef>
              <c:f>'Auto Correct TPS'!$E$1</c:f>
              <c:strCache>
                <c:ptCount val="1"/>
                <c:pt idx="0">
                  <c:v>1.9</c:v>
                </c:pt>
              </c:strCache>
            </c:strRef>
          </c:tx>
          <c:spPr>
            <a:solidFill>
              <a:schemeClr val="accent4">
                <a:shade val="53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TPS'!$E$2:$E$43</c:f>
              <c:numCache>
                <c:formatCode>0.0</c:formatCode>
                <c:ptCount val="42"/>
                <c:pt idx="0">
                  <c:v>86</c:v>
                </c:pt>
                <c:pt idx="1">
                  <c:v>86</c:v>
                </c:pt>
                <c:pt idx="2">
                  <c:v>82</c:v>
                </c:pt>
                <c:pt idx="3">
                  <c:v>76</c:v>
                </c:pt>
                <c:pt idx="4">
                  <c:v>66</c:v>
                </c:pt>
                <c:pt idx="5">
                  <c:v>62</c:v>
                </c:pt>
                <c:pt idx="6">
                  <c:v>55</c:v>
                </c:pt>
                <c:pt idx="7">
                  <c:v>49</c:v>
                </c:pt>
                <c:pt idx="8">
                  <c:v>47</c:v>
                </c:pt>
                <c:pt idx="9">
                  <c:v>44</c:v>
                </c:pt>
                <c:pt idx="10">
                  <c:v>42</c:v>
                </c:pt>
                <c:pt idx="11">
                  <c:v>40</c:v>
                </c:pt>
                <c:pt idx="12">
                  <c:v>38</c:v>
                </c:pt>
                <c:pt idx="13">
                  <c:v>36</c:v>
                </c:pt>
                <c:pt idx="14">
                  <c:v>34</c:v>
                </c:pt>
                <c:pt idx="15">
                  <c:v>34</c:v>
                </c:pt>
                <c:pt idx="16">
                  <c:v>34</c:v>
                </c:pt>
                <c:pt idx="17">
                  <c:v>34</c:v>
                </c:pt>
                <c:pt idx="18">
                  <c:v>34</c:v>
                </c:pt>
                <c:pt idx="19">
                  <c:v>32</c:v>
                </c:pt>
                <c:pt idx="20">
                  <c:v>29</c:v>
                </c:pt>
                <c:pt idx="21">
                  <c:v>34</c:v>
                </c:pt>
                <c:pt idx="22">
                  <c:v>34</c:v>
                </c:pt>
                <c:pt idx="23">
                  <c:v>34</c:v>
                </c:pt>
                <c:pt idx="24">
                  <c:v>32</c:v>
                </c:pt>
                <c:pt idx="25">
                  <c:v>29</c:v>
                </c:pt>
                <c:pt idx="26">
                  <c:v>28</c:v>
                </c:pt>
                <c:pt idx="27">
                  <c:v>27</c:v>
                </c:pt>
                <c:pt idx="28">
                  <c:v>27</c:v>
                </c:pt>
                <c:pt idx="29">
                  <c:v>25</c:v>
                </c:pt>
                <c:pt idx="30">
                  <c:v>25</c:v>
                </c:pt>
                <c:pt idx="31">
                  <c:v>25</c:v>
                </c:pt>
                <c:pt idx="32">
                  <c:v>24</c:v>
                </c:pt>
                <c:pt idx="33">
                  <c:v>23</c:v>
                </c:pt>
                <c:pt idx="34">
                  <c:v>23</c:v>
                </c:pt>
                <c:pt idx="35">
                  <c:v>23</c:v>
                </c:pt>
                <c:pt idx="36">
                  <c:v>23</c:v>
                </c:pt>
                <c:pt idx="37">
                  <c:v>23</c:v>
                </c:pt>
                <c:pt idx="38">
                  <c:v>23</c:v>
                </c:pt>
                <c:pt idx="39">
                  <c:v>23</c:v>
                </c:pt>
                <c:pt idx="40">
                  <c:v>23</c:v>
                </c:pt>
                <c:pt idx="41">
                  <c:v>23</c:v>
                </c:pt>
              </c:numCache>
            </c:numRef>
          </c:val>
          <c:extLst>
            <c:ext xmlns:c16="http://schemas.microsoft.com/office/drawing/2014/chart" uri="{C3380CC4-5D6E-409C-BE32-E72D297353CC}">
              <c16:uniqueId val="{00000003-F3CC-47E8-B0A6-F463BE105F51}"/>
            </c:ext>
          </c:extLst>
        </c:ser>
        <c:ser>
          <c:idx val="4"/>
          <c:order val="4"/>
          <c:tx>
            <c:strRef>
              <c:f>'Auto Correct TPS'!$F$1</c:f>
              <c:strCache>
                <c:ptCount val="1"/>
                <c:pt idx="0">
                  <c:v>2.5</c:v>
                </c:pt>
              </c:strCache>
            </c:strRef>
          </c:tx>
          <c:spPr>
            <a:solidFill>
              <a:schemeClr val="accent4">
                <a:shade val="59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TPS'!$F$2:$F$43</c:f>
              <c:numCache>
                <c:formatCode>0.0</c:formatCode>
                <c:ptCount val="42"/>
                <c:pt idx="0">
                  <c:v>97</c:v>
                </c:pt>
                <c:pt idx="1">
                  <c:v>97</c:v>
                </c:pt>
                <c:pt idx="2">
                  <c:v>88</c:v>
                </c:pt>
                <c:pt idx="3">
                  <c:v>83</c:v>
                </c:pt>
                <c:pt idx="4">
                  <c:v>75</c:v>
                </c:pt>
                <c:pt idx="5">
                  <c:v>71</c:v>
                </c:pt>
                <c:pt idx="6">
                  <c:v>67</c:v>
                </c:pt>
                <c:pt idx="7">
                  <c:v>64</c:v>
                </c:pt>
                <c:pt idx="8">
                  <c:v>61</c:v>
                </c:pt>
                <c:pt idx="9">
                  <c:v>57</c:v>
                </c:pt>
                <c:pt idx="10">
                  <c:v>54</c:v>
                </c:pt>
                <c:pt idx="11">
                  <c:v>49</c:v>
                </c:pt>
                <c:pt idx="12">
                  <c:v>45</c:v>
                </c:pt>
                <c:pt idx="13">
                  <c:v>43</c:v>
                </c:pt>
                <c:pt idx="14">
                  <c:v>41</c:v>
                </c:pt>
                <c:pt idx="15">
                  <c:v>40</c:v>
                </c:pt>
                <c:pt idx="16">
                  <c:v>40</c:v>
                </c:pt>
                <c:pt idx="17">
                  <c:v>39</c:v>
                </c:pt>
                <c:pt idx="18">
                  <c:v>37</c:v>
                </c:pt>
                <c:pt idx="19">
                  <c:v>36</c:v>
                </c:pt>
                <c:pt idx="20">
                  <c:v>34</c:v>
                </c:pt>
                <c:pt idx="21">
                  <c:v>34</c:v>
                </c:pt>
                <c:pt idx="22">
                  <c:v>34</c:v>
                </c:pt>
                <c:pt idx="23">
                  <c:v>34</c:v>
                </c:pt>
                <c:pt idx="24">
                  <c:v>32</c:v>
                </c:pt>
                <c:pt idx="25">
                  <c:v>29</c:v>
                </c:pt>
                <c:pt idx="26">
                  <c:v>28</c:v>
                </c:pt>
                <c:pt idx="27">
                  <c:v>27</c:v>
                </c:pt>
                <c:pt idx="28">
                  <c:v>27</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numCache>
            </c:numRef>
          </c:val>
          <c:extLst>
            <c:ext xmlns:c16="http://schemas.microsoft.com/office/drawing/2014/chart" uri="{C3380CC4-5D6E-409C-BE32-E72D297353CC}">
              <c16:uniqueId val="{00000004-F3CC-47E8-B0A6-F463BE105F51}"/>
            </c:ext>
          </c:extLst>
        </c:ser>
        <c:ser>
          <c:idx val="5"/>
          <c:order val="5"/>
          <c:tx>
            <c:strRef>
              <c:f>'Auto Correct TPS'!$G$1</c:f>
              <c:strCache>
                <c:ptCount val="1"/>
                <c:pt idx="0">
                  <c:v>3.1</c:v>
                </c:pt>
              </c:strCache>
            </c:strRef>
          </c:tx>
          <c:spPr>
            <a:solidFill>
              <a:schemeClr val="accent4">
                <a:shade val="6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TPS'!$G$2:$G$43</c:f>
              <c:numCache>
                <c:formatCode>0.0</c:formatCode>
                <c:ptCount val="42"/>
                <c:pt idx="0">
                  <c:v>101</c:v>
                </c:pt>
                <c:pt idx="1">
                  <c:v>101</c:v>
                </c:pt>
                <c:pt idx="2">
                  <c:v>94</c:v>
                </c:pt>
                <c:pt idx="3">
                  <c:v>88</c:v>
                </c:pt>
                <c:pt idx="4">
                  <c:v>84</c:v>
                </c:pt>
                <c:pt idx="5">
                  <c:v>80</c:v>
                </c:pt>
                <c:pt idx="6">
                  <c:v>78</c:v>
                </c:pt>
                <c:pt idx="7">
                  <c:v>72</c:v>
                </c:pt>
                <c:pt idx="8">
                  <c:v>68</c:v>
                </c:pt>
                <c:pt idx="9">
                  <c:v>63</c:v>
                </c:pt>
                <c:pt idx="10">
                  <c:v>58</c:v>
                </c:pt>
                <c:pt idx="11">
                  <c:v>55</c:v>
                </c:pt>
                <c:pt idx="12">
                  <c:v>52</c:v>
                </c:pt>
                <c:pt idx="13">
                  <c:v>49</c:v>
                </c:pt>
                <c:pt idx="14">
                  <c:v>48</c:v>
                </c:pt>
                <c:pt idx="15">
                  <c:v>48</c:v>
                </c:pt>
                <c:pt idx="16">
                  <c:v>48</c:v>
                </c:pt>
                <c:pt idx="17">
                  <c:v>47</c:v>
                </c:pt>
                <c:pt idx="18">
                  <c:v>44</c:v>
                </c:pt>
                <c:pt idx="19">
                  <c:v>43</c:v>
                </c:pt>
                <c:pt idx="20">
                  <c:v>40</c:v>
                </c:pt>
                <c:pt idx="21">
                  <c:v>38</c:v>
                </c:pt>
                <c:pt idx="22">
                  <c:v>36</c:v>
                </c:pt>
                <c:pt idx="23">
                  <c:v>34</c:v>
                </c:pt>
                <c:pt idx="24">
                  <c:v>30</c:v>
                </c:pt>
                <c:pt idx="25">
                  <c:v>34</c:v>
                </c:pt>
                <c:pt idx="26">
                  <c:v>34</c:v>
                </c:pt>
                <c:pt idx="27">
                  <c:v>32</c:v>
                </c:pt>
                <c:pt idx="28">
                  <c:v>29</c:v>
                </c:pt>
                <c:pt idx="29">
                  <c:v>29</c:v>
                </c:pt>
                <c:pt idx="30">
                  <c:v>29</c:v>
                </c:pt>
                <c:pt idx="31">
                  <c:v>29</c:v>
                </c:pt>
                <c:pt idx="32">
                  <c:v>29</c:v>
                </c:pt>
                <c:pt idx="33">
                  <c:v>29</c:v>
                </c:pt>
                <c:pt idx="34">
                  <c:v>28</c:v>
                </c:pt>
                <c:pt idx="35">
                  <c:v>28</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5-F3CC-47E8-B0A6-F463BE105F51}"/>
            </c:ext>
          </c:extLst>
        </c:ser>
        <c:ser>
          <c:idx val="6"/>
          <c:order val="6"/>
          <c:tx>
            <c:strRef>
              <c:f>'Auto Correct TPS'!$H$1</c:f>
              <c:strCache>
                <c:ptCount val="1"/>
                <c:pt idx="0">
                  <c:v>3.7</c:v>
                </c:pt>
              </c:strCache>
            </c:strRef>
          </c:tx>
          <c:spPr>
            <a:solidFill>
              <a:schemeClr val="accent4">
                <a:shade val="70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TPS'!$H$2:$H$43</c:f>
              <c:numCache>
                <c:formatCode>0.0</c:formatCode>
                <c:ptCount val="42"/>
                <c:pt idx="0">
                  <c:v>109</c:v>
                </c:pt>
                <c:pt idx="1">
                  <c:v>109</c:v>
                </c:pt>
                <c:pt idx="2">
                  <c:v>99</c:v>
                </c:pt>
                <c:pt idx="3">
                  <c:v>91</c:v>
                </c:pt>
                <c:pt idx="4">
                  <c:v>88</c:v>
                </c:pt>
                <c:pt idx="5">
                  <c:v>86</c:v>
                </c:pt>
                <c:pt idx="6">
                  <c:v>85</c:v>
                </c:pt>
                <c:pt idx="7">
                  <c:v>79</c:v>
                </c:pt>
                <c:pt idx="8">
                  <c:v>74</c:v>
                </c:pt>
                <c:pt idx="9">
                  <c:v>69</c:v>
                </c:pt>
                <c:pt idx="10">
                  <c:v>66</c:v>
                </c:pt>
                <c:pt idx="11">
                  <c:v>64</c:v>
                </c:pt>
                <c:pt idx="12">
                  <c:v>63</c:v>
                </c:pt>
                <c:pt idx="13">
                  <c:v>61</c:v>
                </c:pt>
                <c:pt idx="14">
                  <c:v>57</c:v>
                </c:pt>
                <c:pt idx="15">
                  <c:v>57</c:v>
                </c:pt>
                <c:pt idx="16">
                  <c:v>57</c:v>
                </c:pt>
                <c:pt idx="17">
                  <c:v>55</c:v>
                </c:pt>
                <c:pt idx="18">
                  <c:v>55</c:v>
                </c:pt>
                <c:pt idx="19">
                  <c:v>51</c:v>
                </c:pt>
                <c:pt idx="20">
                  <c:v>49</c:v>
                </c:pt>
                <c:pt idx="21">
                  <c:v>45</c:v>
                </c:pt>
                <c:pt idx="22">
                  <c:v>41</c:v>
                </c:pt>
                <c:pt idx="23">
                  <c:v>39</c:v>
                </c:pt>
                <c:pt idx="24">
                  <c:v>37</c:v>
                </c:pt>
                <c:pt idx="25">
                  <c:v>36</c:v>
                </c:pt>
                <c:pt idx="26">
                  <c:v>34</c:v>
                </c:pt>
                <c:pt idx="27">
                  <c:v>34</c:v>
                </c:pt>
                <c:pt idx="28">
                  <c:v>32</c:v>
                </c:pt>
                <c:pt idx="29">
                  <c:v>32</c:v>
                </c:pt>
                <c:pt idx="30">
                  <c:v>32</c:v>
                </c:pt>
                <c:pt idx="31">
                  <c:v>32</c:v>
                </c:pt>
                <c:pt idx="32">
                  <c:v>32</c:v>
                </c:pt>
                <c:pt idx="33">
                  <c:v>32</c:v>
                </c:pt>
                <c:pt idx="34">
                  <c:v>29</c:v>
                </c:pt>
                <c:pt idx="35">
                  <c:v>29</c:v>
                </c:pt>
                <c:pt idx="36">
                  <c:v>28</c:v>
                </c:pt>
                <c:pt idx="37">
                  <c:v>28</c:v>
                </c:pt>
                <c:pt idx="38">
                  <c:v>28</c:v>
                </c:pt>
                <c:pt idx="39">
                  <c:v>28</c:v>
                </c:pt>
                <c:pt idx="40">
                  <c:v>28</c:v>
                </c:pt>
                <c:pt idx="41">
                  <c:v>28</c:v>
                </c:pt>
              </c:numCache>
            </c:numRef>
          </c:val>
          <c:extLst>
            <c:ext xmlns:c16="http://schemas.microsoft.com/office/drawing/2014/chart" uri="{C3380CC4-5D6E-409C-BE32-E72D297353CC}">
              <c16:uniqueId val="{00000006-F3CC-47E8-B0A6-F463BE105F51}"/>
            </c:ext>
          </c:extLst>
        </c:ser>
        <c:ser>
          <c:idx val="7"/>
          <c:order val="7"/>
          <c:tx>
            <c:strRef>
              <c:f>'Auto Correct TPS'!$I$1</c:f>
              <c:strCache>
                <c:ptCount val="1"/>
                <c:pt idx="0">
                  <c:v>4.4</c:v>
                </c:pt>
              </c:strCache>
            </c:strRef>
          </c:tx>
          <c:spPr>
            <a:solidFill>
              <a:schemeClr val="accent4">
                <a:shade val="76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TPS'!$I$2:$I$43</c:f>
              <c:numCache>
                <c:formatCode>0.0</c:formatCode>
                <c:ptCount val="42"/>
                <c:pt idx="0">
                  <c:v>112</c:v>
                </c:pt>
                <c:pt idx="1">
                  <c:v>112</c:v>
                </c:pt>
                <c:pt idx="2">
                  <c:v>102</c:v>
                </c:pt>
                <c:pt idx="3">
                  <c:v>96</c:v>
                </c:pt>
                <c:pt idx="4">
                  <c:v>90</c:v>
                </c:pt>
                <c:pt idx="5">
                  <c:v>89</c:v>
                </c:pt>
                <c:pt idx="6">
                  <c:v>88</c:v>
                </c:pt>
                <c:pt idx="7">
                  <c:v>83</c:v>
                </c:pt>
                <c:pt idx="8">
                  <c:v>76</c:v>
                </c:pt>
                <c:pt idx="9">
                  <c:v>74</c:v>
                </c:pt>
                <c:pt idx="10">
                  <c:v>71</c:v>
                </c:pt>
                <c:pt idx="11">
                  <c:v>69</c:v>
                </c:pt>
                <c:pt idx="12">
                  <c:v>67</c:v>
                </c:pt>
                <c:pt idx="13">
                  <c:v>66</c:v>
                </c:pt>
                <c:pt idx="14">
                  <c:v>64</c:v>
                </c:pt>
                <c:pt idx="15">
                  <c:v>63</c:v>
                </c:pt>
                <c:pt idx="16">
                  <c:v>62</c:v>
                </c:pt>
                <c:pt idx="17">
                  <c:v>61</c:v>
                </c:pt>
                <c:pt idx="18">
                  <c:v>62</c:v>
                </c:pt>
                <c:pt idx="19">
                  <c:v>60</c:v>
                </c:pt>
                <c:pt idx="20">
                  <c:v>54</c:v>
                </c:pt>
                <c:pt idx="21">
                  <c:v>50</c:v>
                </c:pt>
                <c:pt idx="22">
                  <c:v>46</c:v>
                </c:pt>
                <c:pt idx="23">
                  <c:v>44</c:v>
                </c:pt>
                <c:pt idx="24">
                  <c:v>42</c:v>
                </c:pt>
                <c:pt idx="25">
                  <c:v>39</c:v>
                </c:pt>
                <c:pt idx="26">
                  <c:v>36</c:v>
                </c:pt>
                <c:pt idx="27">
                  <c:v>34</c:v>
                </c:pt>
                <c:pt idx="28">
                  <c:v>32</c:v>
                </c:pt>
                <c:pt idx="29">
                  <c:v>32</c:v>
                </c:pt>
                <c:pt idx="30">
                  <c:v>32</c:v>
                </c:pt>
                <c:pt idx="31">
                  <c:v>32</c:v>
                </c:pt>
                <c:pt idx="32">
                  <c:v>32</c:v>
                </c:pt>
                <c:pt idx="33">
                  <c:v>32</c:v>
                </c:pt>
                <c:pt idx="34">
                  <c:v>29</c:v>
                </c:pt>
                <c:pt idx="35">
                  <c:v>29</c:v>
                </c:pt>
                <c:pt idx="36">
                  <c:v>29</c:v>
                </c:pt>
                <c:pt idx="37">
                  <c:v>29</c:v>
                </c:pt>
                <c:pt idx="38">
                  <c:v>29</c:v>
                </c:pt>
                <c:pt idx="39">
                  <c:v>29</c:v>
                </c:pt>
                <c:pt idx="40">
                  <c:v>29</c:v>
                </c:pt>
                <c:pt idx="41">
                  <c:v>29</c:v>
                </c:pt>
              </c:numCache>
            </c:numRef>
          </c:val>
          <c:extLst>
            <c:ext xmlns:c16="http://schemas.microsoft.com/office/drawing/2014/chart" uri="{C3380CC4-5D6E-409C-BE32-E72D297353CC}">
              <c16:uniqueId val="{00000007-F3CC-47E8-B0A6-F463BE105F51}"/>
            </c:ext>
          </c:extLst>
        </c:ser>
        <c:ser>
          <c:idx val="8"/>
          <c:order val="8"/>
          <c:tx>
            <c:strRef>
              <c:f>'Auto Correct TPS'!$J$1</c:f>
              <c:strCache>
                <c:ptCount val="1"/>
                <c:pt idx="0">
                  <c:v>5.6</c:v>
                </c:pt>
              </c:strCache>
            </c:strRef>
          </c:tx>
          <c:spPr>
            <a:solidFill>
              <a:schemeClr val="accent4">
                <a:shade val="82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TPS'!$J$2:$J$43</c:f>
              <c:numCache>
                <c:formatCode>0.0</c:formatCode>
                <c:ptCount val="42"/>
                <c:pt idx="0">
                  <c:v>123</c:v>
                </c:pt>
                <c:pt idx="1">
                  <c:v>123</c:v>
                </c:pt>
                <c:pt idx="2">
                  <c:v>112</c:v>
                </c:pt>
                <c:pt idx="3">
                  <c:v>103</c:v>
                </c:pt>
                <c:pt idx="4">
                  <c:v>97</c:v>
                </c:pt>
                <c:pt idx="5">
                  <c:v>96</c:v>
                </c:pt>
                <c:pt idx="6">
                  <c:v>96</c:v>
                </c:pt>
                <c:pt idx="7">
                  <c:v>91</c:v>
                </c:pt>
                <c:pt idx="8">
                  <c:v>86</c:v>
                </c:pt>
                <c:pt idx="9">
                  <c:v>82</c:v>
                </c:pt>
                <c:pt idx="10">
                  <c:v>79</c:v>
                </c:pt>
                <c:pt idx="11">
                  <c:v>78</c:v>
                </c:pt>
                <c:pt idx="12">
                  <c:v>78</c:v>
                </c:pt>
                <c:pt idx="13">
                  <c:v>76</c:v>
                </c:pt>
                <c:pt idx="14">
                  <c:v>75</c:v>
                </c:pt>
                <c:pt idx="15">
                  <c:v>75</c:v>
                </c:pt>
                <c:pt idx="16">
                  <c:v>78</c:v>
                </c:pt>
                <c:pt idx="17">
                  <c:v>76</c:v>
                </c:pt>
                <c:pt idx="18">
                  <c:v>76</c:v>
                </c:pt>
                <c:pt idx="19">
                  <c:v>71</c:v>
                </c:pt>
                <c:pt idx="20">
                  <c:v>66</c:v>
                </c:pt>
                <c:pt idx="21">
                  <c:v>62</c:v>
                </c:pt>
                <c:pt idx="22">
                  <c:v>60</c:v>
                </c:pt>
                <c:pt idx="23">
                  <c:v>54</c:v>
                </c:pt>
                <c:pt idx="24">
                  <c:v>50</c:v>
                </c:pt>
                <c:pt idx="25">
                  <c:v>43</c:v>
                </c:pt>
                <c:pt idx="26">
                  <c:v>39</c:v>
                </c:pt>
                <c:pt idx="27">
                  <c:v>36</c:v>
                </c:pt>
                <c:pt idx="28">
                  <c:v>36</c:v>
                </c:pt>
                <c:pt idx="29">
                  <c:v>34</c:v>
                </c:pt>
                <c:pt idx="30">
                  <c:v>34</c:v>
                </c:pt>
                <c:pt idx="31">
                  <c:v>34</c:v>
                </c:pt>
                <c:pt idx="32">
                  <c:v>34</c:v>
                </c:pt>
                <c:pt idx="33">
                  <c:v>32</c:v>
                </c:pt>
                <c:pt idx="34">
                  <c:v>32</c:v>
                </c:pt>
                <c:pt idx="35">
                  <c:v>32</c:v>
                </c:pt>
                <c:pt idx="36">
                  <c:v>29</c:v>
                </c:pt>
                <c:pt idx="37">
                  <c:v>29</c:v>
                </c:pt>
                <c:pt idx="38">
                  <c:v>29</c:v>
                </c:pt>
                <c:pt idx="39">
                  <c:v>29</c:v>
                </c:pt>
                <c:pt idx="40">
                  <c:v>29</c:v>
                </c:pt>
                <c:pt idx="41">
                  <c:v>29</c:v>
                </c:pt>
              </c:numCache>
            </c:numRef>
          </c:val>
          <c:extLst>
            <c:ext xmlns:c16="http://schemas.microsoft.com/office/drawing/2014/chart" uri="{C3380CC4-5D6E-409C-BE32-E72D297353CC}">
              <c16:uniqueId val="{00000008-F3CC-47E8-B0A6-F463BE105F51}"/>
            </c:ext>
          </c:extLst>
        </c:ser>
        <c:ser>
          <c:idx val="9"/>
          <c:order val="9"/>
          <c:tx>
            <c:strRef>
              <c:f>'Auto Correct TPS'!$K$1</c:f>
              <c:strCache>
                <c:ptCount val="1"/>
                <c:pt idx="0">
                  <c:v>6.8</c:v>
                </c:pt>
              </c:strCache>
            </c:strRef>
          </c:tx>
          <c:spPr>
            <a:solidFill>
              <a:schemeClr val="accent4">
                <a:shade val="88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TPS'!$K$2:$K$43</c:f>
              <c:numCache>
                <c:formatCode>0.0</c:formatCode>
                <c:ptCount val="42"/>
                <c:pt idx="0">
                  <c:v>132</c:v>
                </c:pt>
                <c:pt idx="1">
                  <c:v>132</c:v>
                </c:pt>
                <c:pt idx="2">
                  <c:v>118</c:v>
                </c:pt>
                <c:pt idx="3">
                  <c:v>109</c:v>
                </c:pt>
                <c:pt idx="4">
                  <c:v>104</c:v>
                </c:pt>
                <c:pt idx="5">
                  <c:v>102</c:v>
                </c:pt>
                <c:pt idx="6">
                  <c:v>101</c:v>
                </c:pt>
                <c:pt idx="7">
                  <c:v>96</c:v>
                </c:pt>
                <c:pt idx="8">
                  <c:v>91</c:v>
                </c:pt>
                <c:pt idx="9">
                  <c:v>86</c:v>
                </c:pt>
                <c:pt idx="10">
                  <c:v>84</c:v>
                </c:pt>
                <c:pt idx="11">
                  <c:v>84</c:v>
                </c:pt>
                <c:pt idx="12">
                  <c:v>84</c:v>
                </c:pt>
                <c:pt idx="13">
                  <c:v>84</c:v>
                </c:pt>
                <c:pt idx="14">
                  <c:v>85</c:v>
                </c:pt>
                <c:pt idx="15">
                  <c:v>86</c:v>
                </c:pt>
                <c:pt idx="16">
                  <c:v>88</c:v>
                </c:pt>
                <c:pt idx="17">
                  <c:v>88</c:v>
                </c:pt>
                <c:pt idx="18">
                  <c:v>87</c:v>
                </c:pt>
                <c:pt idx="19">
                  <c:v>83</c:v>
                </c:pt>
                <c:pt idx="20">
                  <c:v>76</c:v>
                </c:pt>
                <c:pt idx="21">
                  <c:v>71</c:v>
                </c:pt>
                <c:pt idx="22">
                  <c:v>68</c:v>
                </c:pt>
                <c:pt idx="23">
                  <c:v>65</c:v>
                </c:pt>
                <c:pt idx="24">
                  <c:v>61</c:v>
                </c:pt>
                <c:pt idx="25">
                  <c:v>48</c:v>
                </c:pt>
                <c:pt idx="26">
                  <c:v>45</c:v>
                </c:pt>
                <c:pt idx="27">
                  <c:v>42</c:v>
                </c:pt>
                <c:pt idx="28">
                  <c:v>40</c:v>
                </c:pt>
                <c:pt idx="29">
                  <c:v>39</c:v>
                </c:pt>
                <c:pt idx="30">
                  <c:v>39</c:v>
                </c:pt>
                <c:pt idx="31">
                  <c:v>38</c:v>
                </c:pt>
                <c:pt idx="32">
                  <c:v>38</c:v>
                </c:pt>
                <c:pt idx="33">
                  <c:v>36</c:v>
                </c:pt>
                <c:pt idx="34">
                  <c:v>36</c:v>
                </c:pt>
                <c:pt idx="35">
                  <c:v>34</c:v>
                </c:pt>
                <c:pt idx="36">
                  <c:v>32</c:v>
                </c:pt>
                <c:pt idx="37">
                  <c:v>32</c:v>
                </c:pt>
                <c:pt idx="38">
                  <c:v>29</c:v>
                </c:pt>
                <c:pt idx="39">
                  <c:v>29</c:v>
                </c:pt>
                <c:pt idx="40">
                  <c:v>29</c:v>
                </c:pt>
                <c:pt idx="41">
                  <c:v>29</c:v>
                </c:pt>
              </c:numCache>
            </c:numRef>
          </c:val>
          <c:extLst>
            <c:ext xmlns:c16="http://schemas.microsoft.com/office/drawing/2014/chart" uri="{C3380CC4-5D6E-409C-BE32-E72D297353CC}">
              <c16:uniqueId val="{00000009-F3CC-47E8-B0A6-F463BE105F51}"/>
            </c:ext>
          </c:extLst>
        </c:ser>
        <c:ser>
          <c:idx val="10"/>
          <c:order val="10"/>
          <c:tx>
            <c:strRef>
              <c:f>'Auto Correct TPS'!$L$1</c:f>
              <c:strCache>
                <c:ptCount val="1"/>
                <c:pt idx="0">
                  <c:v>8.1</c:v>
                </c:pt>
              </c:strCache>
            </c:strRef>
          </c:tx>
          <c:spPr>
            <a:solidFill>
              <a:schemeClr val="accent4">
                <a:shade val="94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TPS'!$L$2:$L$43</c:f>
              <c:numCache>
                <c:formatCode>0.0</c:formatCode>
                <c:ptCount val="42"/>
                <c:pt idx="0">
                  <c:v>135</c:v>
                </c:pt>
                <c:pt idx="1">
                  <c:v>135</c:v>
                </c:pt>
                <c:pt idx="2">
                  <c:v>125</c:v>
                </c:pt>
                <c:pt idx="3">
                  <c:v>118</c:v>
                </c:pt>
                <c:pt idx="4">
                  <c:v>109</c:v>
                </c:pt>
                <c:pt idx="5">
                  <c:v>108</c:v>
                </c:pt>
                <c:pt idx="6">
                  <c:v>107</c:v>
                </c:pt>
                <c:pt idx="7">
                  <c:v>102</c:v>
                </c:pt>
                <c:pt idx="8">
                  <c:v>96</c:v>
                </c:pt>
                <c:pt idx="9">
                  <c:v>92</c:v>
                </c:pt>
                <c:pt idx="10">
                  <c:v>90</c:v>
                </c:pt>
                <c:pt idx="11">
                  <c:v>90</c:v>
                </c:pt>
                <c:pt idx="12">
                  <c:v>89</c:v>
                </c:pt>
                <c:pt idx="13">
                  <c:v>89</c:v>
                </c:pt>
                <c:pt idx="14">
                  <c:v>90</c:v>
                </c:pt>
                <c:pt idx="15">
                  <c:v>91</c:v>
                </c:pt>
                <c:pt idx="16">
                  <c:v>93</c:v>
                </c:pt>
                <c:pt idx="17">
                  <c:v>93</c:v>
                </c:pt>
                <c:pt idx="18">
                  <c:v>93</c:v>
                </c:pt>
                <c:pt idx="19">
                  <c:v>89</c:v>
                </c:pt>
                <c:pt idx="20">
                  <c:v>85</c:v>
                </c:pt>
                <c:pt idx="21">
                  <c:v>79</c:v>
                </c:pt>
                <c:pt idx="22">
                  <c:v>75</c:v>
                </c:pt>
                <c:pt idx="23">
                  <c:v>71</c:v>
                </c:pt>
                <c:pt idx="24">
                  <c:v>68</c:v>
                </c:pt>
                <c:pt idx="25">
                  <c:v>60</c:v>
                </c:pt>
                <c:pt idx="26">
                  <c:v>52</c:v>
                </c:pt>
                <c:pt idx="27">
                  <c:v>48</c:v>
                </c:pt>
                <c:pt idx="28">
                  <c:v>47</c:v>
                </c:pt>
                <c:pt idx="29">
                  <c:v>46</c:v>
                </c:pt>
                <c:pt idx="30">
                  <c:v>46</c:v>
                </c:pt>
                <c:pt idx="31">
                  <c:v>44</c:v>
                </c:pt>
                <c:pt idx="32">
                  <c:v>43</c:v>
                </c:pt>
                <c:pt idx="33">
                  <c:v>42</c:v>
                </c:pt>
                <c:pt idx="34">
                  <c:v>42</c:v>
                </c:pt>
                <c:pt idx="35">
                  <c:v>40</c:v>
                </c:pt>
                <c:pt idx="36">
                  <c:v>39</c:v>
                </c:pt>
                <c:pt idx="37">
                  <c:v>38</c:v>
                </c:pt>
                <c:pt idx="38">
                  <c:v>36</c:v>
                </c:pt>
                <c:pt idx="39">
                  <c:v>36</c:v>
                </c:pt>
                <c:pt idx="40">
                  <c:v>36</c:v>
                </c:pt>
                <c:pt idx="41">
                  <c:v>36</c:v>
                </c:pt>
              </c:numCache>
            </c:numRef>
          </c:val>
          <c:extLst>
            <c:ext xmlns:c16="http://schemas.microsoft.com/office/drawing/2014/chart" uri="{C3380CC4-5D6E-409C-BE32-E72D297353CC}">
              <c16:uniqueId val="{0000000A-F3CC-47E8-B0A6-F463BE105F51}"/>
            </c:ext>
          </c:extLst>
        </c:ser>
        <c:ser>
          <c:idx val="11"/>
          <c:order val="11"/>
          <c:tx>
            <c:strRef>
              <c:f>'Auto Correct TPS'!$M$1</c:f>
              <c:strCache>
                <c:ptCount val="1"/>
                <c:pt idx="0">
                  <c:v>9.3</c:v>
                </c:pt>
              </c:strCache>
            </c:strRef>
          </c:tx>
          <c:spPr>
            <a:solidFill>
              <a:schemeClr val="accent4"/>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TPS'!$M$2:$M$43</c:f>
              <c:numCache>
                <c:formatCode>0.0</c:formatCode>
                <c:ptCount val="42"/>
                <c:pt idx="0">
                  <c:v>142</c:v>
                </c:pt>
                <c:pt idx="1">
                  <c:v>142</c:v>
                </c:pt>
                <c:pt idx="2">
                  <c:v>132</c:v>
                </c:pt>
                <c:pt idx="3">
                  <c:v>122</c:v>
                </c:pt>
                <c:pt idx="4">
                  <c:v>114</c:v>
                </c:pt>
                <c:pt idx="5">
                  <c:v>113</c:v>
                </c:pt>
                <c:pt idx="6">
                  <c:v>112</c:v>
                </c:pt>
                <c:pt idx="7">
                  <c:v>107</c:v>
                </c:pt>
                <c:pt idx="8">
                  <c:v>101</c:v>
                </c:pt>
                <c:pt idx="9">
                  <c:v>97</c:v>
                </c:pt>
                <c:pt idx="10">
                  <c:v>96</c:v>
                </c:pt>
                <c:pt idx="11">
                  <c:v>96</c:v>
                </c:pt>
                <c:pt idx="12">
                  <c:v>94</c:v>
                </c:pt>
                <c:pt idx="13">
                  <c:v>96</c:v>
                </c:pt>
                <c:pt idx="14">
                  <c:v>96</c:v>
                </c:pt>
                <c:pt idx="15">
                  <c:v>97</c:v>
                </c:pt>
                <c:pt idx="16">
                  <c:v>97</c:v>
                </c:pt>
                <c:pt idx="17">
                  <c:v>98</c:v>
                </c:pt>
                <c:pt idx="18">
                  <c:v>98</c:v>
                </c:pt>
                <c:pt idx="19">
                  <c:v>93</c:v>
                </c:pt>
                <c:pt idx="20">
                  <c:v>88</c:v>
                </c:pt>
                <c:pt idx="21">
                  <c:v>84</c:v>
                </c:pt>
                <c:pt idx="22">
                  <c:v>82</c:v>
                </c:pt>
                <c:pt idx="23">
                  <c:v>79</c:v>
                </c:pt>
                <c:pt idx="24">
                  <c:v>76</c:v>
                </c:pt>
                <c:pt idx="25">
                  <c:v>67</c:v>
                </c:pt>
                <c:pt idx="26">
                  <c:v>63</c:v>
                </c:pt>
                <c:pt idx="27">
                  <c:v>61</c:v>
                </c:pt>
                <c:pt idx="28">
                  <c:v>57</c:v>
                </c:pt>
                <c:pt idx="29">
                  <c:v>55</c:v>
                </c:pt>
                <c:pt idx="30">
                  <c:v>55</c:v>
                </c:pt>
                <c:pt idx="31">
                  <c:v>51</c:v>
                </c:pt>
                <c:pt idx="32">
                  <c:v>51</c:v>
                </c:pt>
                <c:pt idx="33">
                  <c:v>50</c:v>
                </c:pt>
                <c:pt idx="34">
                  <c:v>48</c:v>
                </c:pt>
                <c:pt idx="35">
                  <c:v>47</c:v>
                </c:pt>
                <c:pt idx="36">
                  <c:v>46</c:v>
                </c:pt>
                <c:pt idx="37">
                  <c:v>44</c:v>
                </c:pt>
                <c:pt idx="38">
                  <c:v>43</c:v>
                </c:pt>
                <c:pt idx="39">
                  <c:v>42</c:v>
                </c:pt>
                <c:pt idx="40">
                  <c:v>42</c:v>
                </c:pt>
                <c:pt idx="41">
                  <c:v>42</c:v>
                </c:pt>
              </c:numCache>
            </c:numRef>
          </c:val>
          <c:extLst>
            <c:ext xmlns:c16="http://schemas.microsoft.com/office/drawing/2014/chart" uri="{C3380CC4-5D6E-409C-BE32-E72D297353CC}">
              <c16:uniqueId val="{0000000B-F3CC-47E8-B0A6-F463BE105F51}"/>
            </c:ext>
          </c:extLst>
        </c:ser>
        <c:ser>
          <c:idx val="12"/>
          <c:order val="12"/>
          <c:tx>
            <c:strRef>
              <c:f>'Auto Correct TPS'!$N$1</c:f>
              <c:strCache>
                <c:ptCount val="1"/>
                <c:pt idx="0">
                  <c:v>10.6</c:v>
                </c:pt>
              </c:strCache>
            </c:strRef>
          </c:tx>
          <c:spPr>
            <a:solidFill>
              <a:schemeClr val="accent4">
                <a:tint val="9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TPS'!$N$2:$N$43</c:f>
              <c:numCache>
                <c:formatCode>0.0</c:formatCode>
                <c:ptCount val="42"/>
                <c:pt idx="0">
                  <c:v>142</c:v>
                </c:pt>
                <c:pt idx="1">
                  <c:v>142</c:v>
                </c:pt>
                <c:pt idx="2">
                  <c:v>138</c:v>
                </c:pt>
                <c:pt idx="3">
                  <c:v>128</c:v>
                </c:pt>
                <c:pt idx="4">
                  <c:v>122</c:v>
                </c:pt>
                <c:pt idx="5">
                  <c:v>120</c:v>
                </c:pt>
                <c:pt idx="6">
                  <c:v>119</c:v>
                </c:pt>
                <c:pt idx="7">
                  <c:v>113</c:v>
                </c:pt>
                <c:pt idx="8">
                  <c:v>104</c:v>
                </c:pt>
                <c:pt idx="9">
                  <c:v>102</c:v>
                </c:pt>
                <c:pt idx="10">
                  <c:v>99</c:v>
                </c:pt>
                <c:pt idx="11">
                  <c:v>101</c:v>
                </c:pt>
                <c:pt idx="12">
                  <c:v>102</c:v>
                </c:pt>
                <c:pt idx="13">
                  <c:v>102</c:v>
                </c:pt>
                <c:pt idx="14">
                  <c:v>103</c:v>
                </c:pt>
                <c:pt idx="15">
                  <c:v>102</c:v>
                </c:pt>
                <c:pt idx="16">
                  <c:v>102</c:v>
                </c:pt>
                <c:pt idx="17">
                  <c:v>103</c:v>
                </c:pt>
                <c:pt idx="18">
                  <c:v>102</c:v>
                </c:pt>
                <c:pt idx="19">
                  <c:v>98</c:v>
                </c:pt>
                <c:pt idx="20">
                  <c:v>92</c:v>
                </c:pt>
                <c:pt idx="21">
                  <c:v>87</c:v>
                </c:pt>
                <c:pt idx="22">
                  <c:v>85</c:v>
                </c:pt>
                <c:pt idx="23">
                  <c:v>83</c:v>
                </c:pt>
                <c:pt idx="24">
                  <c:v>79</c:v>
                </c:pt>
                <c:pt idx="25">
                  <c:v>74</c:v>
                </c:pt>
                <c:pt idx="26">
                  <c:v>71</c:v>
                </c:pt>
                <c:pt idx="27">
                  <c:v>70</c:v>
                </c:pt>
                <c:pt idx="28">
                  <c:v>69</c:v>
                </c:pt>
                <c:pt idx="29">
                  <c:v>66</c:v>
                </c:pt>
                <c:pt idx="30">
                  <c:v>65</c:v>
                </c:pt>
                <c:pt idx="31">
                  <c:v>63</c:v>
                </c:pt>
                <c:pt idx="32">
                  <c:v>62</c:v>
                </c:pt>
                <c:pt idx="33">
                  <c:v>62</c:v>
                </c:pt>
                <c:pt idx="34">
                  <c:v>61</c:v>
                </c:pt>
                <c:pt idx="35">
                  <c:v>61</c:v>
                </c:pt>
                <c:pt idx="36">
                  <c:v>57</c:v>
                </c:pt>
                <c:pt idx="37">
                  <c:v>52</c:v>
                </c:pt>
                <c:pt idx="38">
                  <c:v>50</c:v>
                </c:pt>
                <c:pt idx="39">
                  <c:v>48</c:v>
                </c:pt>
                <c:pt idx="40">
                  <c:v>48</c:v>
                </c:pt>
                <c:pt idx="41">
                  <c:v>48</c:v>
                </c:pt>
              </c:numCache>
            </c:numRef>
          </c:val>
          <c:extLst>
            <c:ext xmlns:c16="http://schemas.microsoft.com/office/drawing/2014/chart" uri="{C3380CC4-5D6E-409C-BE32-E72D297353CC}">
              <c16:uniqueId val="{0000000C-F3CC-47E8-B0A6-F463BE105F51}"/>
            </c:ext>
          </c:extLst>
        </c:ser>
        <c:ser>
          <c:idx val="13"/>
          <c:order val="13"/>
          <c:tx>
            <c:strRef>
              <c:f>'Auto Correct TPS'!$O$1</c:f>
              <c:strCache>
                <c:ptCount val="1"/>
                <c:pt idx="0">
                  <c:v>15.5</c:v>
                </c:pt>
              </c:strCache>
            </c:strRef>
          </c:tx>
          <c:spPr>
            <a:solidFill>
              <a:schemeClr val="accent4">
                <a:tint val="89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TPS'!$O$2:$O$43</c:f>
              <c:numCache>
                <c:formatCode>0.0</c:formatCode>
                <c:ptCount val="42"/>
                <c:pt idx="0">
                  <c:v>145</c:v>
                </c:pt>
                <c:pt idx="1">
                  <c:v>145</c:v>
                </c:pt>
                <c:pt idx="2">
                  <c:v>147</c:v>
                </c:pt>
                <c:pt idx="3">
                  <c:v>141</c:v>
                </c:pt>
                <c:pt idx="4">
                  <c:v>141</c:v>
                </c:pt>
                <c:pt idx="5">
                  <c:v>140</c:v>
                </c:pt>
                <c:pt idx="6">
                  <c:v>140</c:v>
                </c:pt>
                <c:pt idx="7">
                  <c:v>129</c:v>
                </c:pt>
                <c:pt idx="8">
                  <c:v>119</c:v>
                </c:pt>
                <c:pt idx="9">
                  <c:v>114</c:v>
                </c:pt>
                <c:pt idx="10">
                  <c:v>113</c:v>
                </c:pt>
                <c:pt idx="11">
                  <c:v>118</c:v>
                </c:pt>
                <c:pt idx="12">
                  <c:v>123</c:v>
                </c:pt>
                <c:pt idx="13">
                  <c:v>122</c:v>
                </c:pt>
                <c:pt idx="14">
                  <c:v>120</c:v>
                </c:pt>
                <c:pt idx="15">
                  <c:v>118</c:v>
                </c:pt>
                <c:pt idx="16">
                  <c:v>117</c:v>
                </c:pt>
                <c:pt idx="17">
                  <c:v>116</c:v>
                </c:pt>
                <c:pt idx="18">
                  <c:v>114</c:v>
                </c:pt>
                <c:pt idx="19">
                  <c:v>110</c:v>
                </c:pt>
                <c:pt idx="20">
                  <c:v>104</c:v>
                </c:pt>
                <c:pt idx="21">
                  <c:v>98</c:v>
                </c:pt>
                <c:pt idx="22">
                  <c:v>93</c:v>
                </c:pt>
                <c:pt idx="23">
                  <c:v>92</c:v>
                </c:pt>
                <c:pt idx="24">
                  <c:v>91</c:v>
                </c:pt>
                <c:pt idx="25">
                  <c:v>88</c:v>
                </c:pt>
                <c:pt idx="26">
                  <c:v>86</c:v>
                </c:pt>
                <c:pt idx="27">
                  <c:v>84</c:v>
                </c:pt>
                <c:pt idx="28">
                  <c:v>80</c:v>
                </c:pt>
                <c:pt idx="29">
                  <c:v>79</c:v>
                </c:pt>
                <c:pt idx="30">
                  <c:v>79</c:v>
                </c:pt>
                <c:pt idx="31">
                  <c:v>79</c:v>
                </c:pt>
                <c:pt idx="32">
                  <c:v>76</c:v>
                </c:pt>
                <c:pt idx="33">
                  <c:v>75</c:v>
                </c:pt>
                <c:pt idx="34">
                  <c:v>75</c:v>
                </c:pt>
                <c:pt idx="35">
                  <c:v>75</c:v>
                </c:pt>
                <c:pt idx="36">
                  <c:v>71</c:v>
                </c:pt>
                <c:pt idx="37">
                  <c:v>67</c:v>
                </c:pt>
                <c:pt idx="38">
                  <c:v>65</c:v>
                </c:pt>
                <c:pt idx="39">
                  <c:v>63</c:v>
                </c:pt>
                <c:pt idx="40">
                  <c:v>63</c:v>
                </c:pt>
                <c:pt idx="41">
                  <c:v>63</c:v>
                </c:pt>
              </c:numCache>
            </c:numRef>
          </c:val>
          <c:extLst>
            <c:ext xmlns:c16="http://schemas.microsoft.com/office/drawing/2014/chart" uri="{C3380CC4-5D6E-409C-BE32-E72D297353CC}">
              <c16:uniqueId val="{0000000D-F3CC-47E8-B0A6-F463BE105F51}"/>
            </c:ext>
          </c:extLst>
        </c:ser>
        <c:ser>
          <c:idx val="14"/>
          <c:order val="14"/>
          <c:tx>
            <c:strRef>
              <c:f>'Auto Correct TPS'!$P$1</c:f>
              <c:strCache>
                <c:ptCount val="1"/>
                <c:pt idx="0">
                  <c:v>20.5</c:v>
                </c:pt>
              </c:strCache>
            </c:strRef>
          </c:tx>
          <c:spPr>
            <a:solidFill>
              <a:schemeClr val="accent4">
                <a:tint val="83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TPS'!$P$2:$P$43</c:f>
              <c:numCache>
                <c:formatCode>0.0</c:formatCode>
                <c:ptCount val="42"/>
                <c:pt idx="0">
                  <c:v>149</c:v>
                </c:pt>
                <c:pt idx="1">
                  <c:v>149</c:v>
                </c:pt>
                <c:pt idx="2">
                  <c:v>147</c:v>
                </c:pt>
                <c:pt idx="3">
                  <c:v>146</c:v>
                </c:pt>
                <c:pt idx="4">
                  <c:v>145</c:v>
                </c:pt>
                <c:pt idx="5">
                  <c:v>149</c:v>
                </c:pt>
                <c:pt idx="6">
                  <c:v>150</c:v>
                </c:pt>
                <c:pt idx="7">
                  <c:v>140</c:v>
                </c:pt>
                <c:pt idx="8">
                  <c:v>130</c:v>
                </c:pt>
                <c:pt idx="9">
                  <c:v>128</c:v>
                </c:pt>
                <c:pt idx="10">
                  <c:v>126</c:v>
                </c:pt>
                <c:pt idx="11">
                  <c:v>133</c:v>
                </c:pt>
                <c:pt idx="12">
                  <c:v>139</c:v>
                </c:pt>
                <c:pt idx="13">
                  <c:v>139</c:v>
                </c:pt>
                <c:pt idx="14">
                  <c:v>134</c:v>
                </c:pt>
                <c:pt idx="15">
                  <c:v>134</c:v>
                </c:pt>
                <c:pt idx="16">
                  <c:v>132</c:v>
                </c:pt>
                <c:pt idx="17">
                  <c:v>130</c:v>
                </c:pt>
                <c:pt idx="18">
                  <c:v>128</c:v>
                </c:pt>
                <c:pt idx="19">
                  <c:v>122</c:v>
                </c:pt>
                <c:pt idx="20">
                  <c:v>117</c:v>
                </c:pt>
                <c:pt idx="21">
                  <c:v>110</c:v>
                </c:pt>
                <c:pt idx="22">
                  <c:v>106</c:v>
                </c:pt>
                <c:pt idx="23">
                  <c:v>104</c:v>
                </c:pt>
                <c:pt idx="24">
                  <c:v>103</c:v>
                </c:pt>
                <c:pt idx="25">
                  <c:v>99</c:v>
                </c:pt>
                <c:pt idx="26">
                  <c:v>97</c:v>
                </c:pt>
                <c:pt idx="27">
                  <c:v>94</c:v>
                </c:pt>
                <c:pt idx="28">
                  <c:v>93</c:v>
                </c:pt>
                <c:pt idx="29">
                  <c:v>92</c:v>
                </c:pt>
                <c:pt idx="30">
                  <c:v>92</c:v>
                </c:pt>
                <c:pt idx="31">
                  <c:v>89</c:v>
                </c:pt>
                <c:pt idx="32">
                  <c:v>88</c:v>
                </c:pt>
                <c:pt idx="33">
                  <c:v>86</c:v>
                </c:pt>
                <c:pt idx="34">
                  <c:v>85</c:v>
                </c:pt>
                <c:pt idx="35">
                  <c:v>85</c:v>
                </c:pt>
                <c:pt idx="36">
                  <c:v>84</c:v>
                </c:pt>
                <c:pt idx="37">
                  <c:v>79</c:v>
                </c:pt>
                <c:pt idx="38">
                  <c:v>76</c:v>
                </c:pt>
                <c:pt idx="39">
                  <c:v>74</c:v>
                </c:pt>
                <c:pt idx="40">
                  <c:v>74</c:v>
                </c:pt>
                <c:pt idx="41">
                  <c:v>74</c:v>
                </c:pt>
              </c:numCache>
            </c:numRef>
          </c:val>
          <c:extLst>
            <c:ext xmlns:c16="http://schemas.microsoft.com/office/drawing/2014/chart" uri="{C3380CC4-5D6E-409C-BE32-E72D297353CC}">
              <c16:uniqueId val="{0000000E-F3CC-47E8-B0A6-F463BE105F51}"/>
            </c:ext>
          </c:extLst>
        </c:ser>
        <c:ser>
          <c:idx val="15"/>
          <c:order val="15"/>
          <c:tx>
            <c:strRef>
              <c:f>'Auto Correct TPS'!$Q$1</c:f>
              <c:strCache>
                <c:ptCount val="1"/>
                <c:pt idx="0">
                  <c:v>25.5</c:v>
                </c:pt>
              </c:strCache>
            </c:strRef>
          </c:tx>
          <c:spPr>
            <a:solidFill>
              <a:schemeClr val="accent4">
                <a:tint val="77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TPS'!$Q$2:$Q$43</c:f>
              <c:numCache>
                <c:formatCode>0.0</c:formatCode>
                <c:ptCount val="42"/>
                <c:pt idx="0">
                  <c:v>154</c:v>
                </c:pt>
                <c:pt idx="1">
                  <c:v>154</c:v>
                </c:pt>
                <c:pt idx="2">
                  <c:v>147</c:v>
                </c:pt>
                <c:pt idx="3">
                  <c:v>146</c:v>
                </c:pt>
                <c:pt idx="4">
                  <c:v>147</c:v>
                </c:pt>
                <c:pt idx="5">
                  <c:v>152</c:v>
                </c:pt>
                <c:pt idx="6">
                  <c:v>158</c:v>
                </c:pt>
                <c:pt idx="7">
                  <c:v>148</c:v>
                </c:pt>
                <c:pt idx="8">
                  <c:v>141</c:v>
                </c:pt>
                <c:pt idx="9">
                  <c:v>139</c:v>
                </c:pt>
                <c:pt idx="10">
                  <c:v>136</c:v>
                </c:pt>
                <c:pt idx="11">
                  <c:v>142</c:v>
                </c:pt>
                <c:pt idx="12">
                  <c:v>148</c:v>
                </c:pt>
                <c:pt idx="13">
                  <c:v>150</c:v>
                </c:pt>
                <c:pt idx="14">
                  <c:v>150</c:v>
                </c:pt>
                <c:pt idx="15">
                  <c:v>148</c:v>
                </c:pt>
                <c:pt idx="16">
                  <c:v>146</c:v>
                </c:pt>
                <c:pt idx="17">
                  <c:v>142</c:v>
                </c:pt>
                <c:pt idx="18">
                  <c:v>139</c:v>
                </c:pt>
                <c:pt idx="19">
                  <c:v>132</c:v>
                </c:pt>
                <c:pt idx="20">
                  <c:v>126</c:v>
                </c:pt>
                <c:pt idx="21">
                  <c:v>120</c:v>
                </c:pt>
                <c:pt idx="22">
                  <c:v>117</c:v>
                </c:pt>
                <c:pt idx="23">
                  <c:v>117</c:v>
                </c:pt>
                <c:pt idx="24">
                  <c:v>114</c:v>
                </c:pt>
                <c:pt idx="25">
                  <c:v>112</c:v>
                </c:pt>
                <c:pt idx="26">
                  <c:v>111</c:v>
                </c:pt>
                <c:pt idx="27">
                  <c:v>109</c:v>
                </c:pt>
                <c:pt idx="28">
                  <c:v>108</c:v>
                </c:pt>
                <c:pt idx="29">
                  <c:v>107</c:v>
                </c:pt>
                <c:pt idx="30">
                  <c:v>103</c:v>
                </c:pt>
                <c:pt idx="31">
                  <c:v>98</c:v>
                </c:pt>
                <c:pt idx="32">
                  <c:v>97</c:v>
                </c:pt>
                <c:pt idx="33">
                  <c:v>94</c:v>
                </c:pt>
                <c:pt idx="34">
                  <c:v>93</c:v>
                </c:pt>
                <c:pt idx="35">
                  <c:v>92</c:v>
                </c:pt>
                <c:pt idx="36">
                  <c:v>90</c:v>
                </c:pt>
                <c:pt idx="37">
                  <c:v>89</c:v>
                </c:pt>
                <c:pt idx="38">
                  <c:v>86</c:v>
                </c:pt>
                <c:pt idx="39">
                  <c:v>84</c:v>
                </c:pt>
                <c:pt idx="40">
                  <c:v>84</c:v>
                </c:pt>
                <c:pt idx="41">
                  <c:v>84</c:v>
                </c:pt>
              </c:numCache>
            </c:numRef>
          </c:val>
          <c:extLst>
            <c:ext xmlns:c16="http://schemas.microsoft.com/office/drawing/2014/chart" uri="{C3380CC4-5D6E-409C-BE32-E72D297353CC}">
              <c16:uniqueId val="{0000000F-F3CC-47E8-B0A6-F463BE105F51}"/>
            </c:ext>
          </c:extLst>
        </c:ser>
        <c:ser>
          <c:idx val="16"/>
          <c:order val="16"/>
          <c:tx>
            <c:strRef>
              <c:f>'Auto Correct TPS'!$R$1</c:f>
              <c:strCache>
                <c:ptCount val="1"/>
                <c:pt idx="0">
                  <c:v>30.5</c:v>
                </c:pt>
              </c:strCache>
            </c:strRef>
          </c:tx>
          <c:spPr>
            <a:solidFill>
              <a:schemeClr val="accent4">
                <a:tint val="71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TPS'!$R$2:$R$43</c:f>
              <c:numCache>
                <c:formatCode>0.0</c:formatCode>
                <c:ptCount val="42"/>
                <c:pt idx="0">
                  <c:v>155</c:v>
                </c:pt>
                <c:pt idx="1">
                  <c:v>155</c:v>
                </c:pt>
                <c:pt idx="2">
                  <c:v>142</c:v>
                </c:pt>
                <c:pt idx="3">
                  <c:v>146</c:v>
                </c:pt>
                <c:pt idx="4">
                  <c:v>147</c:v>
                </c:pt>
                <c:pt idx="5">
                  <c:v>153</c:v>
                </c:pt>
                <c:pt idx="6">
                  <c:v>160</c:v>
                </c:pt>
                <c:pt idx="7">
                  <c:v>152</c:v>
                </c:pt>
                <c:pt idx="8">
                  <c:v>146</c:v>
                </c:pt>
                <c:pt idx="9">
                  <c:v>145</c:v>
                </c:pt>
                <c:pt idx="10">
                  <c:v>145</c:v>
                </c:pt>
                <c:pt idx="11">
                  <c:v>153</c:v>
                </c:pt>
                <c:pt idx="12">
                  <c:v>160</c:v>
                </c:pt>
                <c:pt idx="13">
                  <c:v>163</c:v>
                </c:pt>
                <c:pt idx="14">
                  <c:v>166</c:v>
                </c:pt>
                <c:pt idx="15">
                  <c:v>163</c:v>
                </c:pt>
                <c:pt idx="16">
                  <c:v>160</c:v>
                </c:pt>
                <c:pt idx="17">
                  <c:v>155</c:v>
                </c:pt>
                <c:pt idx="18">
                  <c:v>150</c:v>
                </c:pt>
                <c:pt idx="19">
                  <c:v>147</c:v>
                </c:pt>
                <c:pt idx="20">
                  <c:v>140</c:v>
                </c:pt>
                <c:pt idx="21">
                  <c:v>134</c:v>
                </c:pt>
                <c:pt idx="22">
                  <c:v>129</c:v>
                </c:pt>
                <c:pt idx="23">
                  <c:v>129</c:v>
                </c:pt>
                <c:pt idx="24">
                  <c:v>131</c:v>
                </c:pt>
                <c:pt idx="25">
                  <c:v>131</c:v>
                </c:pt>
                <c:pt idx="26">
                  <c:v>130</c:v>
                </c:pt>
                <c:pt idx="27">
                  <c:v>126</c:v>
                </c:pt>
                <c:pt idx="28">
                  <c:v>123</c:v>
                </c:pt>
                <c:pt idx="29">
                  <c:v>122</c:v>
                </c:pt>
                <c:pt idx="30">
                  <c:v>118</c:v>
                </c:pt>
                <c:pt idx="31">
                  <c:v>117</c:v>
                </c:pt>
                <c:pt idx="32">
                  <c:v>113</c:v>
                </c:pt>
                <c:pt idx="33">
                  <c:v>111</c:v>
                </c:pt>
                <c:pt idx="34">
                  <c:v>109</c:v>
                </c:pt>
                <c:pt idx="35">
                  <c:v>108</c:v>
                </c:pt>
                <c:pt idx="36">
                  <c:v>103</c:v>
                </c:pt>
                <c:pt idx="37">
                  <c:v>99</c:v>
                </c:pt>
                <c:pt idx="38">
                  <c:v>97</c:v>
                </c:pt>
                <c:pt idx="39">
                  <c:v>94</c:v>
                </c:pt>
                <c:pt idx="40">
                  <c:v>94</c:v>
                </c:pt>
                <c:pt idx="41">
                  <c:v>131.74242424242425</c:v>
                </c:pt>
              </c:numCache>
            </c:numRef>
          </c:val>
          <c:extLst>
            <c:ext xmlns:c16="http://schemas.microsoft.com/office/drawing/2014/chart" uri="{C3380CC4-5D6E-409C-BE32-E72D297353CC}">
              <c16:uniqueId val="{00000010-F3CC-47E8-B0A6-F463BE105F51}"/>
            </c:ext>
          </c:extLst>
        </c:ser>
        <c:ser>
          <c:idx val="17"/>
          <c:order val="17"/>
          <c:tx>
            <c:strRef>
              <c:f>'Auto Correct TPS'!$S$1</c:f>
              <c:strCache>
                <c:ptCount val="1"/>
                <c:pt idx="0">
                  <c:v>40.4</c:v>
                </c:pt>
              </c:strCache>
            </c:strRef>
          </c:tx>
          <c:spPr>
            <a:solidFill>
              <a:schemeClr val="accent4">
                <a:tint val="65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TPS'!$S$2:$S$43</c:f>
              <c:numCache>
                <c:formatCode>0.0</c:formatCode>
                <c:ptCount val="42"/>
                <c:pt idx="0">
                  <c:v>159</c:v>
                </c:pt>
                <c:pt idx="1">
                  <c:v>159</c:v>
                </c:pt>
                <c:pt idx="2">
                  <c:v>141</c:v>
                </c:pt>
                <c:pt idx="3">
                  <c:v>146</c:v>
                </c:pt>
                <c:pt idx="4">
                  <c:v>147</c:v>
                </c:pt>
                <c:pt idx="5">
                  <c:v>153</c:v>
                </c:pt>
                <c:pt idx="6">
                  <c:v>160</c:v>
                </c:pt>
                <c:pt idx="7">
                  <c:v>153</c:v>
                </c:pt>
                <c:pt idx="8">
                  <c:v>147</c:v>
                </c:pt>
                <c:pt idx="9">
                  <c:v>149</c:v>
                </c:pt>
                <c:pt idx="10">
                  <c:v>152</c:v>
                </c:pt>
                <c:pt idx="11">
                  <c:v>161</c:v>
                </c:pt>
                <c:pt idx="12">
                  <c:v>169</c:v>
                </c:pt>
                <c:pt idx="13">
                  <c:v>174</c:v>
                </c:pt>
                <c:pt idx="14">
                  <c:v>181</c:v>
                </c:pt>
                <c:pt idx="15">
                  <c:v>181</c:v>
                </c:pt>
                <c:pt idx="16">
                  <c:v>181</c:v>
                </c:pt>
                <c:pt idx="17">
                  <c:v>180</c:v>
                </c:pt>
                <c:pt idx="18">
                  <c:v>178</c:v>
                </c:pt>
                <c:pt idx="19">
                  <c:v>174</c:v>
                </c:pt>
                <c:pt idx="20">
                  <c:v>169</c:v>
                </c:pt>
                <c:pt idx="21">
                  <c:v>162</c:v>
                </c:pt>
                <c:pt idx="22">
                  <c:v>159</c:v>
                </c:pt>
                <c:pt idx="23">
                  <c:v>159</c:v>
                </c:pt>
                <c:pt idx="24">
                  <c:v>160</c:v>
                </c:pt>
                <c:pt idx="25">
                  <c:v>159</c:v>
                </c:pt>
                <c:pt idx="26">
                  <c:v>156</c:v>
                </c:pt>
                <c:pt idx="27">
                  <c:v>154</c:v>
                </c:pt>
                <c:pt idx="28">
                  <c:v>150</c:v>
                </c:pt>
                <c:pt idx="29">
                  <c:v>149</c:v>
                </c:pt>
                <c:pt idx="30">
                  <c:v>146</c:v>
                </c:pt>
                <c:pt idx="31">
                  <c:v>143</c:v>
                </c:pt>
                <c:pt idx="32">
                  <c:v>140</c:v>
                </c:pt>
                <c:pt idx="33">
                  <c:v>136</c:v>
                </c:pt>
                <c:pt idx="34">
                  <c:v>130</c:v>
                </c:pt>
                <c:pt idx="35">
                  <c:v>126</c:v>
                </c:pt>
                <c:pt idx="36">
                  <c:v>123</c:v>
                </c:pt>
                <c:pt idx="37">
                  <c:v>120</c:v>
                </c:pt>
                <c:pt idx="38">
                  <c:v>117</c:v>
                </c:pt>
                <c:pt idx="39">
                  <c:v>112</c:v>
                </c:pt>
                <c:pt idx="40">
                  <c:v>112</c:v>
                </c:pt>
                <c:pt idx="41">
                  <c:v>139.38292011019283</c:v>
                </c:pt>
              </c:numCache>
            </c:numRef>
          </c:val>
          <c:extLst>
            <c:ext xmlns:c16="http://schemas.microsoft.com/office/drawing/2014/chart" uri="{C3380CC4-5D6E-409C-BE32-E72D297353CC}">
              <c16:uniqueId val="{00000011-F3CC-47E8-B0A6-F463BE105F51}"/>
            </c:ext>
          </c:extLst>
        </c:ser>
        <c:ser>
          <c:idx val="18"/>
          <c:order val="18"/>
          <c:tx>
            <c:strRef>
              <c:f>'Auto Correct TPS'!$T$1</c:f>
              <c:strCache>
                <c:ptCount val="1"/>
                <c:pt idx="0">
                  <c:v>50.4</c:v>
                </c:pt>
              </c:strCache>
            </c:strRef>
          </c:tx>
          <c:spPr>
            <a:solidFill>
              <a:schemeClr val="accent4">
                <a:tint val="60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TPS'!$T$2:$T$43</c:f>
              <c:numCache>
                <c:formatCode>0.0</c:formatCode>
                <c:ptCount val="42"/>
                <c:pt idx="0">
                  <c:v>159</c:v>
                </c:pt>
                <c:pt idx="1">
                  <c:v>159</c:v>
                </c:pt>
                <c:pt idx="2">
                  <c:v>142</c:v>
                </c:pt>
                <c:pt idx="3">
                  <c:v>146</c:v>
                </c:pt>
                <c:pt idx="4">
                  <c:v>147</c:v>
                </c:pt>
                <c:pt idx="5">
                  <c:v>153</c:v>
                </c:pt>
                <c:pt idx="6">
                  <c:v>161</c:v>
                </c:pt>
                <c:pt idx="7">
                  <c:v>153</c:v>
                </c:pt>
                <c:pt idx="8">
                  <c:v>148</c:v>
                </c:pt>
                <c:pt idx="9">
                  <c:v>150</c:v>
                </c:pt>
                <c:pt idx="10">
                  <c:v>152</c:v>
                </c:pt>
                <c:pt idx="11">
                  <c:v>161</c:v>
                </c:pt>
                <c:pt idx="12">
                  <c:v>169</c:v>
                </c:pt>
                <c:pt idx="13">
                  <c:v>177</c:v>
                </c:pt>
                <c:pt idx="14">
                  <c:v>183</c:v>
                </c:pt>
                <c:pt idx="15">
                  <c:v>185</c:v>
                </c:pt>
                <c:pt idx="16">
                  <c:v>190</c:v>
                </c:pt>
                <c:pt idx="17">
                  <c:v>190</c:v>
                </c:pt>
                <c:pt idx="18">
                  <c:v>192</c:v>
                </c:pt>
                <c:pt idx="19">
                  <c:v>190</c:v>
                </c:pt>
                <c:pt idx="20">
                  <c:v>187</c:v>
                </c:pt>
                <c:pt idx="21">
                  <c:v>184</c:v>
                </c:pt>
                <c:pt idx="22">
                  <c:v>181</c:v>
                </c:pt>
                <c:pt idx="23">
                  <c:v>183</c:v>
                </c:pt>
                <c:pt idx="24">
                  <c:v>186</c:v>
                </c:pt>
                <c:pt idx="25">
                  <c:v>185</c:v>
                </c:pt>
                <c:pt idx="26">
                  <c:v>183</c:v>
                </c:pt>
                <c:pt idx="27">
                  <c:v>182</c:v>
                </c:pt>
                <c:pt idx="28">
                  <c:v>181</c:v>
                </c:pt>
                <c:pt idx="29">
                  <c:v>178</c:v>
                </c:pt>
                <c:pt idx="30">
                  <c:v>177</c:v>
                </c:pt>
                <c:pt idx="31">
                  <c:v>174</c:v>
                </c:pt>
                <c:pt idx="32">
                  <c:v>171</c:v>
                </c:pt>
                <c:pt idx="33">
                  <c:v>167</c:v>
                </c:pt>
                <c:pt idx="34">
                  <c:v>160</c:v>
                </c:pt>
                <c:pt idx="35">
                  <c:v>155</c:v>
                </c:pt>
                <c:pt idx="36">
                  <c:v>154</c:v>
                </c:pt>
                <c:pt idx="37">
                  <c:v>149</c:v>
                </c:pt>
                <c:pt idx="38">
                  <c:v>143</c:v>
                </c:pt>
                <c:pt idx="39">
                  <c:v>136</c:v>
                </c:pt>
                <c:pt idx="40">
                  <c:v>136</c:v>
                </c:pt>
                <c:pt idx="41">
                  <c:v>136</c:v>
                </c:pt>
              </c:numCache>
            </c:numRef>
          </c:val>
          <c:extLst>
            <c:ext xmlns:c16="http://schemas.microsoft.com/office/drawing/2014/chart" uri="{C3380CC4-5D6E-409C-BE32-E72D297353CC}">
              <c16:uniqueId val="{00000012-F3CC-47E8-B0A6-F463BE105F51}"/>
            </c:ext>
          </c:extLst>
        </c:ser>
        <c:ser>
          <c:idx val="19"/>
          <c:order val="19"/>
          <c:tx>
            <c:strRef>
              <c:f>'Auto Correct TPS'!$U$1</c:f>
              <c:strCache>
                <c:ptCount val="1"/>
                <c:pt idx="0">
                  <c:v>60.3</c:v>
                </c:pt>
              </c:strCache>
            </c:strRef>
          </c:tx>
          <c:spPr>
            <a:solidFill>
              <a:schemeClr val="accent4">
                <a:tint val="54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TPS'!$U$2:$U$43</c:f>
              <c:numCache>
                <c:formatCode>0.0</c:formatCode>
                <c:ptCount val="42"/>
                <c:pt idx="0">
                  <c:v>160</c:v>
                </c:pt>
                <c:pt idx="1">
                  <c:v>160</c:v>
                </c:pt>
                <c:pt idx="2">
                  <c:v>143</c:v>
                </c:pt>
                <c:pt idx="3">
                  <c:v>147</c:v>
                </c:pt>
                <c:pt idx="4">
                  <c:v>147</c:v>
                </c:pt>
                <c:pt idx="5">
                  <c:v>155</c:v>
                </c:pt>
                <c:pt idx="6">
                  <c:v>161</c:v>
                </c:pt>
                <c:pt idx="7">
                  <c:v>154</c:v>
                </c:pt>
                <c:pt idx="8">
                  <c:v>149</c:v>
                </c:pt>
                <c:pt idx="9">
                  <c:v>150</c:v>
                </c:pt>
                <c:pt idx="10">
                  <c:v>154</c:v>
                </c:pt>
                <c:pt idx="11">
                  <c:v>162</c:v>
                </c:pt>
                <c:pt idx="12">
                  <c:v>170</c:v>
                </c:pt>
                <c:pt idx="13">
                  <c:v>178</c:v>
                </c:pt>
                <c:pt idx="14">
                  <c:v>183</c:v>
                </c:pt>
                <c:pt idx="15">
                  <c:v>186</c:v>
                </c:pt>
                <c:pt idx="16">
                  <c:v>187</c:v>
                </c:pt>
                <c:pt idx="17">
                  <c:v>190</c:v>
                </c:pt>
                <c:pt idx="18">
                  <c:v>193</c:v>
                </c:pt>
                <c:pt idx="19">
                  <c:v>194</c:v>
                </c:pt>
                <c:pt idx="20">
                  <c:v>195</c:v>
                </c:pt>
                <c:pt idx="21">
                  <c:v>194</c:v>
                </c:pt>
                <c:pt idx="22">
                  <c:v>192</c:v>
                </c:pt>
                <c:pt idx="23">
                  <c:v>195</c:v>
                </c:pt>
                <c:pt idx="24">
                  <c:v>203</c:v>
                </c:pt>
                <c:pt idx="25">
                  <c:v>204</c:v>
                </c:pt>
                <c:pt idx="26">
                  <c:v>205</c:v>
                </c:pt>
                <c:pt idx="27">
                  <c:v>206</c:v>
                </c:pt>
                <c:pt idx="28">
                  <c:v>206</c:v>
                </c:pt>
                <c:pt idx="29">
                  <c:v>204</c:v>
                </c:pt>
                <c:pt idx="30">
                  <c:v>201</c:v>
                </c:pt>
                <c:pt idx="31">
                  <c:v>200</c:v>
                </c:pt>
                <c:pt idx="32">
                  <c:v>194</c:v>
                </c:pt>
                <c:pt idx="33">
                  <c:v>191</c:v>
                </c:pt>
                <c:pt idx="34">
                  <c:v>185</c:v>
                </c:pt>
                <c:pt idx="35">
                  <c:v>181</c:v>
                </c:pt>
                <c:pt idx="36">
                  <c:v>177</c:v>
                </c:pt>
                <c:pt idx="37">
                  <c:v>171</c:v>
                </c:pt>
                <c:pt idx="38">
                  <c:v>163</c:v>
                </c:pt>
                <c:pt idx="39">
                  <c:v>154</c:v>
                </c:pt>
                <c:pt idx="40">
                  <c:v>154</c:v>
                </c:pt>
                <c:pt idx="41">
                  <c:v>154</c:v>
                </c:pt>
              </c:numCache>
            </c:numRef>
          </c:val>
          <c:extLst>
            <c:ext xmlns:c16="http://schemas.microsoft.com/office/drawing/2014/chart" uri="{C3380CC4-5D6E-409C-BE32-E72D297353CC}">
              <c16:uniqueId val="{00000013-F3CC-47E8-B0A6-F463BE105F51}"/>
            </c:ext>
          </c:extLst>
        </c:ser>
        <c:ser>
          <c:idx val="20"/>
          <c:order val="20"/>
          <c:tx>
            <c:strRef>
              <c:f>'Auto Correct TPS'!$V$1</c:f>
              <c:strCache>
                <c:ptCount val="1"/>
                <c:pt idx="0">
                  <c:v>70.3</c:v>
                </c:pt>
              </c:strCache>
            </c:strRef>
          </c:tx>
          <c:spPr>
            <a:solidFill>
              <a:schemeClr val="accent4">
                <a:tint val="48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TPS'!$V$2:$V$43</c:f>
              <c:numCache>
                <c:formatCode>0.0</c:formatCode>
                <c:ptCount val="42"/>
                <c:pt idx="0">
                  <c:v>164</c:v>
                </c:pt>
                <c:pt idx="1">
                  <c:v>164</c:v>
                </c:pt>
                <c:pt idx="2">
                  <c:v>148</c:v>
                </c:pt>
                <c:pt idx="3">
                  <c:v>147</c:v>
                </c:pt>
                <c:pt idx="4">
                  <c:v>147</c:v>
                </c:pt>
                <c:pt idx="5">
                  <c:v>155</c:v>
                </c:pt>
                <c:pt idx="6">
                  <c:v>161</c:v>
                </c:pt>
                <c:pt idx="7">
                  <c:v>155</c:v>
                </c:pt>
                <c:pt idx="8">
                  <c:v>150</c:v>
                </c:pt>
                <c:pt idx="9">
                  <c:v>154</c:v>
                </c:pt>
                <c:pt idx="10">
                  <c:v>158</c:v>
                </c:pt>
                <c:pt idx="11">
                  <c:v>167</c:v>
                </c:pt>
                <c:pt idx="12">
                  <c:v>174</c:v>
                </c:pt>
                <c:pt idx="13">
                  <c:v>182</c:v>
                </c:pt>
                <c:pt idx="14">
                  <c:v>187</c:v>
                </c:pt>
                <c:pt idx="15">
                  <c:v>191</c:v>
                </c:pt>
                <c:pt idx="16">
                  <c:v>192</c:v>
                </c:pt>
                <c:pt idx="17">
                  <c:v>192</c:v>
                </c:pt>
                <c:pt idx="18">
                  <c:v>192</c:v>
                </c:pt>
                <c:pt idx="19">
                  <c:v>196</c:v>
                </c:pt>
                <c:pt idx="20">
                  <c:v>200</c:v>
                </c:pt>
                <c:pt idx="21">
                  <c:v>198</c:v>
                </c:pt>
                <c:pt idx="22">
                  <c:v>195</c:v>
                </c:pt>
                <c:pt idx="23">
                  <c:v>201</c:v>
                </c:pt>
                <c:pt idx="24">
                  <c:v>212</c:v>
                </c:pt>
                <c:pt idx="25">
                  <c:v>212</c:v>
                </c:pt>
                <c:pt idx="26">
                  <c:v>215</c:v>
                </c:pt>
                <c:pt idx="27">
                  <c:v>220</c:v>
                </c:pt>
                <c:pt idx="28">
                  <c:v>223</c:v>
                </c:pt>
                <c:pt idx="29">
                  <c:v>220</c:v>
                </c:pt>
                <c:pt idx="30">
                  <c:v>217</c:v>
                </c:pt>
                <c:pt idx="31">
                  <c:v>217</c:v>
                </c:pt>
                <c:pt idx="32">
                  <c:v>214</c:v>
                </c:pt>
                <c:pt idx="33">
                  <c:v>211</c:v>
                </c:pt>
                <c:pt idx="34">
                  <c:v>204</c:v>
                </c:pt>
                <c:pt idx="35">
                  <c:v>202</c:v>
                </c:pt>
                <c:pt idx="36">
                  <c:v>196</c:v>
                </c:pt>
                <c:pt idx="37">
                  <c:v>190</c:v>
                </c:pt>
                <c:pt idx="38">
                  <c:v>182</c:v>
                </c:pt>
                <c:pt idx="39">
                  <c:v>174</c:v>
                </c:pt>
                <c:pt idx="40">
                  <c:v>174</c:v>
                </c:pt>
                <c:pt idx="41">
                  <c:v>174</c:v>
                </c:pt>
              </c:numCache>
            </c:numRef>
          </c:val>
          <c:extLst>
            <c:ext xmlns:c16="http://schemas.microsoft.com/office/drawing/2014/chart" uri="{C3380CC4-5D6E-409C-BE32-E72D297353CC}">
              <c16:uniqueId val="{00000014-F3CC-47E8-B0A6-F463BE105F51}"/>
            </c:ext>
          </c:extLst>
        </c:ser>
        <c:ser>
          <c:idx val="21"/>
          <c:order val="21"/>
          <c:tx>
            <c:strRef>
              <c:f>'Auto Correct TPS'!$W$1</c:f>
              <c:strCache>
                <c:ptCount val="1"/>
                <c:pt idx="0">
                  <c:v>90.2</c:v>
                </c:pt>
              </c:strCache>
            </c:strRef>
          </c:tx>
          <c:spPr>
            <a:solidFill>
              <a:schemeClr val="accent4">
                <a:tint val="42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TPS'!$W$2:$W$43</c:f>
              <c:numCache>
                <c:formatCode>0.0</c:formatCode>
                <c:ptCount val="42"/>
                <c:pt idx="0">
                  <c:v>167</c:v>
                </c:pt>
                <c:pt idx="1">
                  <c:v>167</c:v>
                </c:pt>
                <c:pt idx="2">
                  <c:v>149</c:v>
                </c:pt>
                <c:pt idx="3">
                  <c:v>147</c:v>
                </c:pt>
                <c:pt idx="4">
                  <c:v>149</c:v>
                </c:pt>
                <c:pt idx="5">
                  <c:v>159</c:v>
                </c:pt>
                <c:pt idx="6">
                  <c:v>162</c:v>
                </c:pt>
                <c:pt idx="7">
                  <c:v>158</c:v>
                </c:pt>
                <c:pt idx="8">
                  <c:v>153</c:v>
                </c:pt>
                <c:pt idx="9">
                  <c:v>158</c:v>
                </c:pt>
                <c:pt idx="10">
                  <c:v>162</c:v>
                </c:pt>
                <c:pt idx="11">
                  <c:v>171</c:v>
                </c:pt>
                <c:pt idx="12">
                  <c:v>180</c:v>
                </c:pt>
                <c:pt idx="13">
                  <c:v>187</c:v>
                </c:pt>
                <c:pt idx="14">
                  <c:v>194</c:v>
                </c:pt>
                <c:pt idx="15">
                  <c:v>193</c:v>
                </c:pt>
                <c:pt idx="16">
                  <c:v>193</c:v>
                </c:pt>
                <c:pt idx="17">
                  <c:v>193</c:v>
                </c:pt>
                <c:pt idx="18">
                  <c:v>195</c:v>
                </c:pt>
                <c:pt idx="19">
                  <c:v>201</c:v>
                </c:pt>
                <c:pt idx="20">
                  <c:v>205</c:v>
                </c:pt>
                <c:pt idx="21">
                  <c:v>203</c:v>
                </c:pt>
                <c:pt idx="22">
                  <c:v>200</c:v>
                </c:pt>
                <c:pt idx="23">
                  <c:v>204</c:v>
                </c:pt>
                <c:pt idx="24">
                  <c:v>216</c:v>
                </c:pt>
                <c:pt idx="25">
                  <c:v>216</c:v>
                </c:pt>
                <c:pt idx="26">
                  <c:v>270</c:v>
                </c:pt>
                <c:pt idx="27">
                  <c:v>275</c:v>
                </c:pt>
                <c:pt idx="28">
                  <c:v>281</c:v>
                </c:pt>
                <c:pt idx="29">
                  <c:v>268</c:v>
                </c:pt>
                <c:pt idx="30">
                  <c:v>265</c:v>
                </c:pt>
                <c:pt idx="31">
                  <c:v>255</c:v>
                </c:pt>
                <c:pt idx="32">
                  <c:v>252</c:v>
                </c:pt>
                <c:pt idx="33">
                  <c:v>250</c:v>
                </c:pt>
                <c:pt idx="34">
                  <c:v>243</c:v>
                </c:pt>
                <c:pt idx="35">
                  <c:v>236</c:v>
                </c:pt>
                <c:pt idx="36">
                  <c:v>231</c:v>
                </c:pt>
                <c:pt idx="37">
                  <c:v>225</c:v>
                </c:pt>
                <c:pt idx="38">
                  <c:v>214</c:v>
                </c:pt>
                <c:pt idx="39">
                  <c:v>205</c:v>
                </c:pt>
                <c:pt idx="40">
                  <c:v>205</c:v>
                </c:pt>
                <c:pt idx="41">
                  <c:v>205</c:v>
                </c:pt>
              </c:numCache>
            </c:numRef>
          </c:val>
          <c:extLst>
            <c:ext xmlns:c16="http://schemas.microsoft.com/office/drawing/2014/chart" uri="{C3380CC4-5D6E-409C-BE32-E72D297353CC}">
              <c16:uniqueId val="{00000015-F3CC-47E8-B0A6-F463BE105F51}"/>
            </c:ext>
          </c:extLst>
        </c:ser>
        <c:ser>
          <c:idx val="22"/>
          <c:order val="22"/>
          <c:tx>
            <c:strRef>
              <c:f>'Auto Correct TPS'!$X$1</c:f>
              <c:strCache>
                <c:ptCount val="1"/>
                <c:pt idx="0">
                  <c:v>100</c:v>
                </c:pt>
              </c:strCache>
            </c:strRef>
          </c:tx>
          <c:spPr>
            <a:solidFill>
              <a:schemeClr val="accent4">
                <a:tint val="36000"/>
              </a:schemeClr>
            </a:solidFill>
            <a:ln/>
            <a:effectLst>
              <a:outerShdw blurRad="57150" dist="19050" dir="5400000" algn="ctr" rotWithShape="0">
                <a:srgbClr val="000000">
                  <a:alpha val="63000"/>
                </a:srgbClr>
              </a:outerShdw>
            </a:effectLst>
            <a:sp3d/>
          </c:spPr>
          <c:cat>
            <c:numRef>
              <c:f>'Auto Correct TPS'!$A$2:$A$43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TPS'!$X$2:$X$43</c:f>
              <c:numCache>
                <c:formatCode>0.0</c:formatCode>
                <c:ptCount val="42"/>
                <c:pt idx="0">
                  <c:v>167</c:v>
                </c:pt>
                <c:pt idx="1">
                  <c:v>167</c:v>
                </c:pt>
                <c:pt idx="2">
                  <c:v>154</c:v>
                </c:pt>
                <c:pt idx="3">
                  <c:v>147</c:v>
                </c:pt>
                <c:pt idx="4">
                  <c:v>149</c:v>
                </c:pt>
                <c:pt idx="5">
                  <c:v>167</c:v>
                </c:pt>
                <c:pt idx="6">
                  <c:v>176</c:v>
                </c:pt>
                <c:pt idx="7">
                  <c:v>167</c:v>
                </c:pt>
                <c:pt idx="8">
                  <c:v>163</c:v>
                </c:pt>
                <c:pt idx="9">
                  <c:v>166</c:v>
                </c:pt>
                <c:pt idx="10">
                  <c:v>168</c:v>
                </c:pt>
                <c:pt idx="11">
                  <c:v>175</c:v>
                </c:pt>
                <c:pt idx="12">
                  <c:v>181</c:v>
                </c:pt>
                <c:pt idx="13">
                  <c:v>195</c:v>
                </c:pt>
                <c:pt idx="14">
                  <c:v>205</c:v>
                </c:pt>
                <c:pt idx="15">
                  <c:v>208</c:v>
                </c:pt>
                <c:pt idx="16">
                  <c:v>211</c:v>
                </c:pt>
                <c:pt idx="17">
                  <c:v>210</c:v>
                </c:pt>
                <c:pt idx="18">
                  <c:v>208</c:v>
                </c:pt>
                <c:pt idx="19">
                  <c:v>211</c:v>
                </c:pt>
                <c:pt idx="20">
                  <c:v>216</c:v>
                </c:pt>
                <c:pt idx="21">
                  <c:v>213</c:v>
                </c:pt>
                <c:pt idx="22">
                  <c:v>208</c:v>
                </c:pt>
                <c:pt idx="23">
                  <c:v>212</c:v>
                </c:pt>
                <c:pt idx="24">
                  <c:v>224</c:v>
                </c:pt>
                <c:pt idx="25">
                  <c:v>223</c:v>
                </c:pt>
                <c:pt idx="26">
                  <c:v>274</c:v>
                </c:pt>
                <c:pt idx="27">
                  <c:v>281</c:v>
                </c:pt>
                <c:pt idx="28">
                  <c:v>287</c:v>
                </c:pt>
                <c:pt idx="29">
                  <c:v>273</c:v>
                </c:pt>
                <c:pt idx="30">
                  <c:v>271</c:v>
                </c:pt>
                <c:pt idx="31">
                  <c:v>261</c:v>
                </c:pt>
                <c:pt idx="32">
                  <c:v>260</c:v>
                </c:pt>
                <c:pt idx="33">
                  <c:v>260</c:v>
                </c:pt>
                <c:pt idx="34">
                  <c:v>248</c:v>
                </c:pt>
                <c:pt idx="35">
                  <c:v>240</c:v>
                </c:pt>
                <c:pt idx="36">
                  <c:v>235</c:v>
                </c:pt>
                <c:pt idx="37">
                  <c:v>226</c:v>
                </c:pt>
                <c:pt idx="38">
                  <c:v>216</c:v>
                </c:pt>
                <c:pt idx="39">
                  <c:v>210</c:v>
                </c:pt>
                <c:pt idx="40">
                  <c:v>210</c:v>
                </c:pt>
                <c:pt idx="41">
                  <c:v>210</c:v>
                </c:pt>
              </c:numCache>
            </c:numRef>
          </c:val>
          <c:extLst>
            <c:ext xmlns:c16="http://schemas.microsoft.com/office/drawing/2014/chart" uri="{C3380CC4-5D6E-409C-BE32-E72D297353CC}">
              <c16:uniqueId val="{00000016-F3CC-47E8-B0A6-F463BE105F51}"/>
            </c:ext>
          </c:extLst>
        </c:ser>
        <c:bandFmts>
          <c:bandFmt>
            <c:idx val="0"/>
            <c:spPr>
              <a:solidFill>
                <a:schemeClr val="accent4">
                  <a:shade val="45000"/>
                </a:schemeClr>
              </a:solidFill>
              <a:ln/>
              <a:effectLst>
                <a:outerShdw blurRad="57150" dist="19050" dir="5400000" algn="ctr" rotWithShape="0">
                  <a:srgbClr val="000000">
                    <a:alpha val="63000"/>
                  </a:srgbClr>
                </a:outerShdw>
              </a:effectLst>
              <a:sp3d/>
            </c:spPr>
          </c:bandFmt>
          <c:bandFmt>
            <c:idx val="1"/>
            <c:spPr>
              <a:solidFill>
                <a:schemeClr val="accent4">
                  <a:shade val="61000"/>
                </a:schemeClr>
              </a:solidFill>
              <a:ln/>
              <a:effectLst>
                <a:outerShdw blurRad="57150" dist="19050" dir="5400000" algn="ctr" rotWithShape="0">
                  <a:srgbClr val="000000">
                    <a:alpha val="63000"/>
                  </a:srgbClr>
                </a:outerShdw>
              </a:effectLst>
              <a:sp3d/>
            </c:spPr>
          </c:bandFmt>
          <c:bandFmt>
            <c:idx val="2"/>
            <c:spPr>
              <a:solidFill>
                <a:schemeClr val="accent4">
                  <a:shade val="76000"/>
                </a:schemeClr>
              </a:solidFill>
              <a:ln/>
              <a:effectLst>
                <a:outerShdw blurRad="57150" dist="19050" dir="5400000" algn="ctr" rotWithShape="0">
                  <a:srgbClr val="000000">
                    <a:alpha val="63000"/>
                  </a:srgbClr>
                </a:outerShdw>
              </a:effectLst>
              <a:sp3d/>
            </c:spPr>
          </c:bandFmt>
          <c:bandFmt>
            <c:idx val="3"/>
            <c:spPr>
              <a:solidFill>
                <a:schemeClr val="accent4">
                  <a:shade val="92000"/>
                </a:schemeClr>
              </a:solidFill>
              <a:ln/>
              <a:effectLst>
                <a:outerShdw blurRad="57150" dist="19050" dir="5400000" algn="ctr" rotWithShape="0">
                  <a:srgbClr val="000000">
                    <a:alpha val="63000"/>
                  </a:srgbClr>
                </a:outerShdw>
              </a:effectLst>
              <a:sp3d/>
            </c:spPr>
          </c:bandFmt>
          <c:bandFmt>
            <c:idx val="4"/>
            <c:spPr>
              <a:solidFill>
                <a:schemeClr val="accent4">
                  <a:tint val="93000"/>
                </a:schemeClr>
              </a:solidFill>
              <a:ln/>
              <a:effectLst>
                <a:outerShdw blurRad="57150" dist="19050" dir="5400000" algn="ctr" rotWithShape="0">
                  <a:srgbClr val="000000">
                    <a:alpha val="63000"/>
                  </a:srgbClr>
                </a:outerShdw>
              </a:effectLst>
              <a:sp3d/>
            </c:spPr>
          </c:bandFmt>
          <c:bandFmt>
            <c:idx val="5"/>
            <c:spPr>
              <a:solidFill>
                <a:schemeClr val="accent4">
                  <a:tint val="77000"/>
                </a:schemeClr>
              </a:solidFill>
              <a:ln/>
              <a:effectLst>
                <a:outerShdw blurRad="57150" dist="19050" dir="5400000" algn="ctr" rotWithShape="0">
                  <a:srgbClr val="000000">
                    <a:alpha val="63000"/>
                  </a:srgbClr>
                </a:outerShdw>
              </a:effectLst>
              <a:sp3d/>
            </c:spPr>
          </c:bandFmt>
          <c:bandFmt>
            <c:idx val="6"/>
            <c:spPr>
              <a:solidFill>
                <a:schemeClr val="accent4">
                  <a:tint val="62000"/>
                </a:schemeClr>
              </a:solidFill>
              <a:ln/>
              <a:effectLst>
                <a:outerShdw blurRad="57150" dist="19050" dir="5400000" algn="ctr" rotWithShape="0">
                  <a:srgbClr val="000000">
                    <a:alpha val="63000"/>
                  </a:srgbClr>
                </a:outerShdw>
              </a:effectLst>
              <a:sp3d/>
            </c:spPr>
          </c:bandFmt>
          <c:bandFmt>
            <c:idx val="7"/>
            <c:spPr>
              <a:solidFill>
                <a:schemeClr val="accent4">
                  <a:tint val="46000"/>
                </a:schemeClr>
              </a:solidFill>
              <a:ln/>
              <a:effectLst>
                <a:outerShdw blurRad="57150" dist="19050" dir="5400000" algn="ctr" rotWithShape="0">
                  <a:srgbClr val="000000">
                    <a:alpha val="63000"/>
                  </a:srgbClr>
                </a:outerShdw>
              </a:effectLst>
              <a:sp3d/>
            </c:spPr>
          </c:bandFmt>
          <c:bandFmt>
            <c:idx val="8"/>
            <c:spPr>
              <a:solidFill>
                <a:schemeClr val="accent4">
                  <a:tint val="30000"/>
                </a:schemeClr>
              </a:solidFill>
              <a:ln/>
              <a:effectLst>
                <a:outerShdw blurRad="57150" dist="19050" dir="5400000" algn="ctr" rotWithShape="0">
                  <a:srgbClr val="000000">
                    <a:alpha val="63000"/>
                  </a:srgbClr>
                </a:outerShdw>
              </a:effectLst>
              <a:sp3d/>
            </c:spPr>
          </c:bandFmt>
          <c:bandFmt>
            <c:idx val="9"/>
            <c:spPr>
              <a:solidFill>
                <a:schemeClr val="accent4">
                  <a:tint val="15000"/>
                </a:schemeClr>
              </a:solidFill>
              <a:ln/>
              <a:effectLst>
                <a:outerShdw blurRad="57150" dist="19050" dir="5400000" algn="ctr" rotWithShape="0">
                  <a:srgbClr val="000000">
                    <a:alpha val="63000"/>
                  </a:srgbClr>
                </a:outerShdw>
              </a:effectLst>
              <a:sp3d/>
            </c:spPr>
          </c:bandFmt>
          <c:bandFmt>
            <c:idx val="10"/>
            <c:spPr>
              <a:solidFill>
                <a:schemeClr val="accent4">
                  <a:tint val="99000"/>
                </a:schemeClr>
              </a:solidFill>
              <a:ln/>
              <a:effectLst>
                <a:outerShdw blurRad="57150" dist="19050" dir="5400000" algn="ctr" rotWithShape="0">
                  <a:srgbClr val="000000">
                    <a:alpha val="63000"/>
                  </a:srgbClr>
                </a:outerShdw>
              </a:effectLst>
              <a:sp3d/>
            </c:spPr>
          </c:bandFmt>
          <c:bandFmt>
            <c:idx val="11"/>
            <c:spPr>
              <a:solidFill>
                <a:schemeClr val="accent4">
                  <a:tint val="84000"/>
                </a:schemeClr>
              </a:solidFill>
              <a:ln/>
              <a:effectLst>
                <a:outerShdw blurRad="57150" dist="19050" dir="5400000" algn="ctr" rotWithShape="0">
                  <a:srgbClr val="000000">
                    <a:alpha val="63000"/>
                  </a:srgbClr>
                </a:outerShdw>
              </a:effectLst>
              <a:sp3d/>
            </c:spPr>
          </c:bandFmt>
          <c:bandFmt>
            <c:idx val="12"/>
            <c:spPr>
              <a:solidFill>
                <a:schemeClr val="accent4">
                  <a:tint val="68000"/>
                </a:schemeClr>
              </a:solidFill>
              <a:ln/>
              <a:effectLst>
                <a:outerShdw blurRad="57150" dist="19050" dir="5400000" algn="ctr" rotWithShape="0">
                  <a:srgbClr val="000000">
                    <a:alpha val="63000"/>
                  </a:srgbClr>
                </a:outerShdw>
              </a:effectLst>
              <a:sp3d/>
            </c:spPr>
          </c:bandFmt>
          <c:bandFmt>
            <c:idx val="13"/>
            <c:spPr>
              <a:solidFill>
                <a:schemeClr val="accent4">
                  <a:tint val="53000"/>
                </a:schemeClr>
              </a:solidFill>
              <a:ln/>
              <a:effectLst>
                <a:outerShdw blurRad="57150" dist="19050" dir="5400000" algn="ctr" rotWithShape="0">
                  <a:srgbClr val="000000">
                    <a:alpha val="63000"/>
                  </a:srgbClr>
                </a:outerShdw>
              </a:effectLst>
              <a:sp3d/>
            </c:spPr>
          </c:bandFmt>
          <c:bandFmt>
            <c:idx val="14"/>
            <c:spPr>
              <a:solidFill>
                <a:schemeClr val="accent4">
                  <a:tint val="37000"/>
                </a:schemeClr>
              </a:solidFill>
              <a:ln/>
              <a:effectLst>
                <a:outerShdw blurRad="57150" dist="19050" dir="5400000" algn="ctr" rotWithShape="0">
                  <a:srgbClr val="000000">
                    <a:alpha val="63000"/>
                  </a:srgbClr>
                </a:outerShdw>
              </a:effectLst>
              <a:sp3d/>
            </c:spPr>
          </c:bandFmt>
        </c:bandFmts>
        <c:axId val="351132528"/>
        <c:axId val="351125456"/>
        <c:axId val="210218032"/>
      </c:surface3DChart>
      <c:catAx>
        <c:axId val="351132528"/>
        <c:scaling>
          <c:orientation val="minMax"/>
        </c:scaling>
        <c:delete val="0"/>
        <c:axPos val="b"/>
        <c:majorGridlines>
          <c:spPr>
            <a:ln w="9525" cap="flat" cmpd="sng" algn="ctr">
              <a:solidFill>
                <a:schemeClr val="dk1">
                  <a:lumMod val="50000"/>
                  <a:lumOff val="50000"/>
                </a:schemeClr>
              </a:solidFill>
              <a:prstDash val="solid"/>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25456"/>
        <c:crosses val="autoZero"/>
        <c:auto val="1"/>
        <c:lblAlgn val="ctr"/>
        <c:lblOffset val="100"/>
        <c:noMultiLvlLbl val="0"/>
      </c:catAx>
      <c:valAx>
        <c:axId val="351125456"/>
        <c:scaling>
          <c:orientation val="minMax"/>
        </c:scaling>
        <c:delete val="0"/>
        <c:axPos val="l"/>
        <c:majorGridlines>
          <c:spPr>
            <a:ln w="9525" cap="flat" cmpd="sng" algn="ctr">
              <a:solidFill>
                <a:schemeClr val="dk1">
                  <a:lumMod val="50000"/>
                  <a:lumOff val="50000"/>
                </a:schemeClr>
              </a:solidFill>
              <a:prstDash val="solid"/>
              <a:round/>
            </a:ln>
            <a:effectLst/>
          </c:spPr>
        </c:majorGridlines>
        <c:numFmt formatCode="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32528"/>
        <c:crosses val="autoZero"/>
        <c:crossBetween val="midCat"/>
      </c:valAx>
      <c:serAx>
        <c:axId val="210218032"/>
        <c:scaling>
          <c:orientation val="minMax"/>
        </c:scaling>
        <c:delete val="0"/>
        <c:axPos val="b"/>
        <c:majorGridlines>
          <c:spPr>
            <a:ln w="9525" cap="flat" cmpd="sng" algn="ctr">
              <a:solidFill>
                <a:schemeClr val="dk1">
                  <a:lumMod val="50000"/>
                  <a:lumOff val="50000"/>
                </a:schemeClr>
              </a:solidFill>
              <a:prstDash val="solid"/>
              <a:round/>
            </a:ln>
            <a:effectLst/>
          </c:spPr>
        </c:majorGridlines>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12545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Corrected IAP Fuel MAP</a:t>
            </a:r>
          </a:p>
        </c:rich>
      </c:tx>
      <c:overlay val="0"/>
      <c:spPr>
        <a:noFill/>
        <a:ln>
          <a:noFill/>
        </a:ln>
        <a:effectLst/>
      </c:spPr>
    </c:title>
    <c:autoTitleDeleted val="0"/>
    <c:view3D>
      <c:rotX val="10"/>
      <c:rotY val="32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'Auto Correct IAP'!$B$1</c:f>
              <c:strCache>
                <c:ptCount val="1"/>
                <c:pt idx="0">
                  <c:v>120</c:v>
                </c:pt>
              </c:strCache>
            </c:strRef>
          </c:tx>
          <c:spPr>
            <a:solidFill>
              <a:schemeClr val="accent4">
                <a:tint val="37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IAP'!$B$2:$B$43</c:f>
              <c:numCache>
                <c:formatCode>0.0</c:formatCode>
                <c:ptCount val="42"/>
                <c:pt idx="0">
                  <c:v>29</c:v>
                </c:pt>
                <c:pt idx="1">
                  <c:v>29</c:v>
                </c:pt>
                <c:pt idx="2">
                  <c:v>29</c:v>
                </c:pt>
                <c:pt idx="3">
                  <c:v>29</c:v>
                </c:pt>
                <c:pt idx="4">
                  <c:v>29</c:v>
                </c:pt>
                <c:pt idx="5">
                  <c:v>29</c:v>
                </c:pt>
                <c:pt idx="6">
                  <c:v>29</c:v>
                </c:pt>
                <c:pt idx="7">
                  <c:v>36</c:v>
                </c:pt>
                <c:pt idx="8">
                  <c:v>36</c:v>
                </c:pt>
                <c:pt idx="9">
                  <c:v>36</c:v>
                </c:pt>
                <c:pt idx="10">
                  <c:v>36</c:v>
                </c:pt>
                <c:pt idx="11">
                  <c:v>36</c:v>
                </c:pt>
                <c:pt idx="12">
                  <c:v>36</c:v>
                </c:pt>
                <c:pt idx="13">
                  <c:v>36</c:v>
                </c:pt>
                <c:pt idx="14">
                  <c:v>36</c:v>
                </c:pt>
                <c:pt idx="15">
                  <c:v>36</c:v>
                </c:pt>
                <c:pt idx="16">
                  <c:v>36</c:v>
                </c:pt>
                <c:pt idx="17">
                  <c:v>36</c:v>
                </c:pt>
                <c:pt idx="18">
                  <c:v>36</c:v>
                </c:pt>
                <c:pt idx="19">
                  <c:v>36</c:v>
                </c:pt>
                <c:pt idx="20">
                  <c:v>36</c:v>
                </c:pt>
                <c:pt idx="21">
                  <c:v>34</c:v>
                </c:pt>
                <c:pt idx="22">
                  <c:v>34</c:v>
                </c:pt>
                <c:pt idx="23">
                  <c:v>34</c:v>
                </c:pt>
                <c:pt idx="24">
                  <c:v>34</c:v>
                </c:pt>
                <c:pt idx="25">
                  <c:v>34</c:v>
                </c:pt>
                <c:pt idx="26">
                  <c:v>34</c:v>
                </c:pt>
                <c:pt idx="27">
                  <c:v>34</c:v>
                </c:pt>
                <c:pt idx="28">
                  <c:v>34</c:v>
                </c:pt>
                <c:pt idx="29">
                  <c:v>34</c:v>
                </c:pt>
                <c:pt idx="30">
                  <c:v>34</c:v>
                </c:pt>
                <c:pt idx="31">
                  <c:v>34</c:v>
                </c:pt>
                <c:pt idx="32">
                  <c:v>34</c:v>
                </c:pt>
                <c:pt idx="33">
                  <c:v>34</c:v>
                </c:pt>
                <c:pt idx="34">
                  <c:v>34</c:v>
                </c:pt>
                <c:pt idx="35">
                  <c:v>34</c:v>
                </c:pt>
                <c:pt idx="36">
                  <c:v>34</c:v>
                </c:pt>
                <c:pt idx="37">
                  <c:v>34</c:v>
                </c:pt>
                <c:pt idx="38">
                  <c:v>34</c:v>
                </c:pt>
                <c:pt idx="39">
                  <c:v>34</c:v>
                </c:pt>
                <c:pt idx="40">
                  <c:v>34</c:v>
                </c:pt>
                <c:pt idx="41">
                  <c:v>34</c:v>
                </c:pt>
              </c:numCache>
            </c:numRef>
          </c:val>
          <c:extLst>
            <c:ext xmlns:c16="http://schemas.microsoft.com/office/drawing/2014/chart" uri="{C3380CC4-5D6E-409C-BE32-E72D297353CC}">
              <c16:uniqueId val="{00000000-30D4-4A37-89B6-B381321CCAD9}"/>
            </c:ext>
          </c:extLst>
        </c:ser>
        <c:ser>
          <c:idx val="1"/>
          <c:order val="1"/>
          <c:tx>
            <c:strRef>
              <c:f>'Auto Correct IAP'!$C$1</c:f>
              <c:strCache>
                <c:ptCount val="1"/>
                <c:pt idx="0">
                  <c:v>104</c:v>
                </c:pt>
              </c:strCache>
            </c:strRef>
          </c:tx>
          <c:spPr>
            <a:solidFill>
              <a:schemeClr val="accent4">
                <a:tint val="43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IAP'!$C$2:$C$43</c:f>
              <c:numCache>
                <c:formatCode>0.0</c:formatCode>
                <c:ptCount val="42"/>
                <c:pt idx="0">
                  <c:v>32</c:v>
                </c:pt>
                <c:pt idx="1">
                  <c:v>32</c:v>
                </c:pt>
                <c:pt idx="2">
                  <c:v>41.800000000000004</c:v>
                </c:pt>
                <c:pt idx="3">
                  <c:v>32</c:v>
                </c:pt>
                <c:pt idx="4">
                  <c:v>32</c:v>
                </c:pt>
                <c:pt idx="5">
                  <c:v>32</c:v>
                </c:pt>
                <c:pt idx="6">
                  <c:v>32</c:v>
                </c:pt>
                <c:pt idx="7">
                  <c:v>40</c:v>
                </c:pt>
                <c:pt idx="8">
                  <c:v>38</c:v>
                </c:pt>
                <c:pt idx="9">
                  <c:v>38</c:v>
                </c:pt>
                <c:pt idx="10">
                  <c:v>38</c:v>
                </c:pt>
                <c:pt idx="11">
                  <c:v>38</c:v>
                </c:pt>
                <c:pt idx="12">
                  <c:v>38</c:v>
                </c:pt>
                <c:pt idx="13">
                  <c:v>38</c:v>
                </c:pt>
                <c:pt idx="14">
                  <c:v>38</c:v>
                </c:pt>
                <c:pt idx="15">
                  <c:v>40</c:v>
                </c:pt>
                <c:pt idx="16">
                  <c:v>40</c:v>
                </c:pt>
                <c:pt idx="17">
                  <c:v>40</c:v>
                </c:pt>
                <c:pt idx="18">
                  <c:v>38</c:v>
                </c:pt>
                <c:pt idx="19">
                  <c:v>38</c:v>
                </c:pt>
                <c:pt idx="20">
                  <c:v>41</c:v>
                </c:pt>
                <c:pt idx="21">
                  <c:v>36</c:v>
                </c:pt>
                <c:pt idx="22">
                  <c:v>36</c:v>
                </c:pt>
                <c:pt idx="23">
                  <c:v>36</c:v>
                </c:pt>
                <c:pt idx="24">
                  <c:v>38</c:v>
                </c:pt>
                <c:pt idx="25">
                  <c:v>38</c:v>
                </c:pt>
                <c:pt idx="26">
                  <c:v>38</c:v>
                </c:pt>
                <c:pt idx="27">
                  <c:v>38</c:v>
                </c:pt>
                <c:pt idx="28">
                  <c:v>38</c:v>
                </c:pt>
                <c:pt idx="29">
                  <c:v>38</c:v>
                </c:pt>
                <c:pt idx="30">
                  <c:v>38</c:v>
                </c:pt>
                <c:pt idx="31">
                  <c:v>38</c:v>
                </c:pt>
                <c:pt idx="32">
                  <c:v>38</c:v>
                </c:pt>
                <c:pt idx="33">
                  <c:v>38</c:v>
                </c:pt>
                <c:pt idx="34">
                  <c:v>38</c:v>
                </c:pt>
                <c:pt idx="35">
                  <c:v>38</c:v>
                </c:pt>
                <c:pt idx="36">
                  <c:v>38</c:v>
                </c:pt>
                <c:pt idx="37">
                  <c:v>38</c:v>
                </c:pt>
                <c:pt idx="38">
                  <c:v>38</c:v>
                </c:pt>
                <c:pt idx="39">
                  <c:v>38</c:v>
                </c:pt>
                <c:pt idx="40">
                  <c:v>38</c:v>
                </c:pt>
                <c:pt idx="41">
                  <c:v>38</c:v>
                </c:pt>
              </c:numCache>
            </c:numRef>
          </c:val>
          <c:extLst>
            <c:ext xmlns:c16="http://schemas.microsoft.com/office/drawing/2014/chart" uri="{C3380CC4-5D6E-409C-BE32-E72D297353CC}">
              <c16:uniqueId val="{00000001-30D4-4A37-89B6-B381321CCAD9}"/>
            </c:ext>
          </c:extLst>
        </c:ser>
        <c:ser>
          <c:idx val="2"/>
          <c:order val="2"/>
          <c:tx>
            <c:strRef>
              <c:f>'Auto Correct IAP'!$D$1</c:f>
              <c:strCache>
                <c:ptCount val="1"/>
                <c:pt idx="0">
                  <c:v>88</c:v>
                </c:pt>
              </c:strCache>
            </c:strRef>
          </c:tx>
          <c:spPr>
            <a:solidFill>
              <a:schemeClr val="accent4">
                <a:tint val="50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IAP'!$D$2:$D$43</c:f>
              <c:numCache>
                <c:formatCode>0.0</c:formatCode>
                <c:ptCount val="42"/>
                <c:pt idx="0">
                  <c:v>33</c:v>
                </c:pt>
                <c:pt idx="1">
                  <c:v>42.739676113360318</c:v>
                </c:pt>
                <c:pt idx="2">
                  <c:v>42.344282744282751</c:v>
                </c:pt>
                <c:pt idx="3">
                  <c:v>33</c:v>
                </c:pt>
                <c:pt idx="4">
                  <c:v>33</c:v>
                </c:pt>
                <c:pt idx="5">
                  <c:v>33</c:v>
                </c:pt>
                <c:pt idx="6">
                  <c:v>33</c:v>
                </c:pt>
                <c:pt idx="7">
                  <c:v>41</c:v>
                </c:pt>
                <c:pt idx="8">
                  <c:v>41</c:v>
                </c:pt>
                <c:pt idx="9">
                  <c:v>41</c:v>
                </c:pt>
                <c:pt idx="10">
                  <c:v>41</c:v>
                </c:pt>
                <c:pt idx="11">
                  <c:v>40</c:v>
                </c:pt>
                <c:pt idx="12">
                  <c:v>40</c:v>
                </c:pt>
                <c:pt idx="13">
                  <c:v>40</c:v>
                </c:pt>
                <c:pt idx="14">
                  <c:v>41</c:v>
                </c:pt>
                <c:pt idx="15">
                  <c:v>41</c:v>
                </c:pt>
                <c:pt idx="16">
                  <c:v>41</c:v>
                </c:pt>
                <c:pt idx="17">
                  <c:v>41</c:v>
                </c:pt>
                <c:pt idx="18">
                  <c:v>41</c:v>
                </c:pt>
                <c:pt idx="19">
                  <c:v>41</c:v>
                </c:pt>
                <c:pt idx="20">
                  <c:v>41</c:v>
                </c:pt>
                <c:pt idx="21">
                  <c:v>41</c:v>
                </c:pt>
                <c:pt idx="22">
                  <c:v>41</c:v>
                </c:pt>
                <c:pt idx="23">
                  <c:v>41</c:v>
                </c:pt>
                <c:pt idx="24">
                  <c:v>42</c:v>
                </c:pt>
                <c:pt idx="25">
                  <c:v>42</c:v>
                </c:pt>
                <c:pt idx="26">
                  <c:v>42</c:v>
                </c:pt>
                <c:pt idx="27">
                  <c:v>42</c:v>
                </c:pt>
                <c:pt idx="28">
                  <c:v>42</c:v>
                </c:pt>
                <c:pt idx="29">
                  <c:v>42</c:v>
                </c:pt>
                <c:pt idx="30">
                  <c:v>41</c:v>
                </c:pt>
                <c:pt idx="31">
                  <c:v>41</c:v>
                </c:pt>
                <c:pt idx="32">
                  <c:v>41</c:v>
                </c:pt>
                <c:pt idx="33">
                  <c:v>41</c:v>
                </c:pt>
                <c:pt idx="34">
                  <c:v>41</c:v>
                </c:pt>
                <c:pt idx="35">
                  <c:v>41</c:v>
                </c:pt>
                <c:pt idx="36">
                  <c:v>41</c:v>
                </c:pt>
                <c:pt idx="37">
                  <c:v>41</c:v>
                </c:pt>
                <c:pt idx="38">
                  <c:v>41</c:v>
                </c:pt>
                <c:pt idx="39">
                  <c:v>41</c:v>
                </c:pt>
                <c:pt idx="40">
                  <c:v>41</c:v>
                </c:pt>
                <c:pt idx="41">
                  <c:v>41</c:v>
                </c:pt>
              </c:numCache>
            </c:numRef>
          </c:val>
          <c:extLst>
            <c:ext xmlns:c16="http://schemas.microsoft.com/office/drawing/2014/chart" uri="{C3380CC4-5D6E-409C-BE32-E72D297353CC}">
              <c16:uniqueId val="{00000002-30D4-4A37-89B6-B381321CCAD9}"/>
            </c:ext>
          </c:extLst>
        </c:ser>
        <c:ser>
          <c:idx val="3"/>
          <c:order val="3"/>
          <c:tx>
            <c:strRef>
              <c:f>'Auto Correct IAP'!$E$1</c:f>
              <c:strCache>
                <c:ptCount val="1"/>
                <c:pt idx="0">
                  <c:v>72</c:v>
                </c:pt>
              </c:strCache>
            </c:strRef>
          </c:tx>
          <c:spPr>
            <a:solidFill>
              <a:schemeClr val="accent4">
                <a:tint val="56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IAP'!$E$2:$E$43</c:f>
              <c:numCache>
                <c:formatCode>0.0</c:formatCode>
                <c:ptCount val="42"/>
                <c:pt idx="0">
                  <c:v>36</c:v>
                </c:pt>
                <c:pt idx="1">
                  <c:v>36</c:v>
                </c:pt>
                <c:pt idx="2">
                  <c:v>36</c:v>
                </c:pt>
                <c:pt idx="3">
                  <c:v>34</c:v>
                </c:pt>
                <c:pt idx="4">
                  <c:v>34</c:v>
                </c:pt>
                <c:pt idx="5">
                  <c:v>34</c:v>
                </c:pt>
                <c:pt idx="6">
                  <c:v>34</c:v>
                </c:pt>
                <c:pt idx="7">
                  <c:v>42</c:v>
                </c:pt>
                <c:pt idx="8">
                  <c:v>45</c:v>
                </c:pt>
                <c:pt idx="9">
                  <c:v>45</c:v>
                </c:pt>
                <c:pt idx="10">
                  <c:v>44</c:v>
                </c:pt>
                <c:pt idx="11">
                  <c:v>44</c:v>
                </c:pt>
                <c:pt idx="12">
                  <c:v>44</c:v>
                </c:pt>
                <c:pt idx="13">
                  <c:v>44</c:v>
                </c:pt>
                <c:pt idx="14">
                  <c:v>47</c:v>
                </c:pt>
                <c:pt idx="15">
                  <c:v>48</c:v>
                </c:pt>
                <c:pt idx="16">
                  <c:v>50</c:v>
                </c:pt>
                <c:pt idx="17">
                  <c:v>52</c:v>
                </c:pt>
                <c:pt idx="18">
                  <c:v>58</c:v>
                </c:pt>
                <c:pt idx="19">
                  <c:v>58</c:v>
                </c:pt>
                <c:pt idx="20">
                  <c:v>57</c:v>
                </c:pt>
                <c:pt idx="21">
                  <c:v>52</c:v>
                </c:pt>
                <c:pt idx="22">
                  <c:v>50</c:v>
                </c:pt>
                <c:pt idx="23">
                  <c:v>51</c:v>
                </c:pt>
                <c:pt idx="24">
                  <c:v>52</c:v>
                </c:pt>
                <c:pt idx="25">
                  <c:v>51</c:v>
                </c:pt>
                <c:pt idx="26">
                  <c:v>50</c:v>
                </c:pt>
                <c:pt idx="27">
                  <c:v>50</c:v>
                </c:pt>
                <c:pt idx="28">
                  <c:v>50</c:v>
                </c:pt>
                <c:pt idx="29">
                  <c:v>50</c:v>
                </c:pt>
                <c:pt idx="30">
                  <c:v>50</c:v>
                </c:pt>
                <c:pt idx="31">
                  <c:v>52</c:v>
                </c:pt>
                <c:pt idx="32">
                  <c:v>54</c:v>
                </c:pt>
                <c:pt idx="33">
                  <c:v>55</c:v>
                </c:pt>
                <c:pt idx="34">
                  <c:v>55</c:v>
                </c:pt>
                <c:pt idx="35">
                  <c:v>55</c:v>
                </c:pt>
                <c:pt idx="36">
                  <c:v>55</c:v>
                </c:pt>
                <c:pt idx="37">
                  <c:v>55</c:v>
                </c:pt>
                <c:pt idx="38">
                  <c:v>55</c:v>
                </c:pt>
                <c:pt idx="39">
                  <c:v>55</c:v>
                </c:pt>
                <c:pt idx="40">
                  <c:v>55</c:v>
                </c:pt>
                <c:pt idx="41">
                  <c:v>55</c:v>
                </c:pt>
              </c:numCache>
            </c:numRef>
          </c:val>
          <c:extLst>
            <c:ext xmlns:c16="http://schemas.microsoft.com/office/drawing/2014/chart" uri="{C3380CC4-5D6E-409C-BE32-E72D297353CC}">
              <c16:uniqueId val="{00000003-30D4-4A37-89B6-B381321CCAD9}"/>
            </c:ext>
          </c:extLst>
        </c:ser>
        <c:ser>
          <c:idx val="4"/>
          <c:order val="4"/>
          <c:tx>
            <c:strRef>
              <c:f>'Auto Correct IAP'!$F$1</c:f>
              <c:strCache>
                <c:ptCount val="1"/>
                <c:pt idx="0">
                  <c:v>68</c:v>
                </c:pt>
              </c:strCache>
            </c:strRef>
          </c:tx>
          <c:spPr>
            <a:solidFill>
              <a:schemeClr val="accent4">
                <a:tint val="62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IAP'!$F$2:$F$43</c:f>
              <c:numCache>
                <c:formatCode>0.0</c:formatCode>
                <c:ptCount val="42"/>
                <c:pt idx="0">
                  <c:v>41</c:v>
                </c:pt>
                <c:pt idx="1">
                  <c:v>41</c:v>
                </c:pt>
                <c:pt idx="2">
                  <c:v>53.110769230769222</c:v>
                </c:pt>
                <c:pt idx="3">
                  <c:v>41</c:v>
                </c:pt>
                <c:pt idx="4">
                  <c:v>41</c:v>
                </c:pt>
                <c:pt idx="5">
                  <c:v>40</c:v>
                </c:pt>
                <c:pt idx="6">
                  <c:v>41</c:v>
                </c:pt>
                <c:pt idx="7">
                  <c:v>45</c:v>
                </c:pt>
                <c:pt idx="8">
                  <c:v>45</c:v>
                </c:pt>
                <c:pt idx="9">
                  <c:v>45</c:v>
                </c:pt>
                <c:pt idx="10">
                  <c:v>45</c:v>
                </c:pt>
                <c:pt idx="11">
                  <c:v>45</c:v>
                </c:pt>
                <c:pt idx="12">
                  <c:v>47</c:v>
                </c:pt>
                <c:pt idx="13">
                  <c:v>48</c:v>
                </c:pt>
                <c:pt idx="14">
                  <c:v>52</c:v>
                </c:pt>
                <c:pt idx="15">
                  <c:v>52</c:v>
                </c:pt>
                <c:pt idx="16">
                  <c:v>55</c:v>
                </c:pt>
                <c:pt idx="17">
                  <c:v>58</c:v>
                </c:pt>
                <c:pt idx="18">
                  <c:v>64</c:v>
                </c:pt>
                <c:pt idx="19">
                  <c:v>64</c:v>
                </c:pt>
                <c:pt idx="20">
                  <c:v>60</c:v>
                </c:pt>
                <c:pt idx="21">
                  <c:v>57</c:v>
                </c:pt>
                <c:pt idx="22">
                  <c:v>55</c:v>
                </c:pt>
                <c:pt idx="23">
                  <c:v>54</c:v>
                </c:pt>
                <c:pt idx="24">
                  <c:v>54</c:v>
                </c:pt>
                <c:pt idx="25">
                  <c:v>54</c:v>
                </c:pt>
                <c:pt idx="26">
                  <c:v>54</c:v>
                </c:pt>
                <c:pt idx="27">
                  <c:v>54</c:v>
                </c:pt>
                <c:pt idx="28">
                  <c:v>54</c:v>
                </c:pt>
                <c:pt idx="29">
                  <c:v>55</c:v>
                </c:pt>
                <c:pt idx="30">
                  <c:v>55</c:v>
                </c:pt>
                <c:pt idx="31">
                  <c:v>60</c:v>
                </c:pt>
                <c:pt idx="32">
                  <c:v>61</c:v>
                </c:pt>
                <c:pt idx="33">
                  <c:v>64</c:v>
                </c:pt>
                <c:pt idx="34">
                  <c:v>64</c:v>
                </c:pt>
                <c:pt idx="35">
                  <c:v>64</c:v>
                </c:pt>
                <c:pt idx="36">
                  <c:v>64</c:v>
                </c:pt>
                <c:pt idx="37">
                  <c:v>64</c:v>
                </c:pt>
                <c:pt idx="38">
                  <c:v>64</c:v>
                </c:pt>
                <c:pt idx="39">
                  <c:v>64</c:v>
                </c:pt>
                <c:pt idx="40">
                  <c:v>64</c:v>
                </c:pt>
                <c:pt idx="41">
                  <c:v>64</c:v>
                </c:pt>
              </c:numCache>
            </c:numRef>
          </c:val>
          <c:extLst>
            <c:ext xmlns:c16="http://schemas.microsoft.com/office/drawing/2014/chart" uri="{C3380CC4-5D6E-409C-BE32-E72D297353CC}">
              <c16:uniqueId val="{00000004-30D4-4A37-89B6-B381321CCAD9}"/>
            </c:ext>
          </c:extLst>
        </c:ser>
        <c:ser>
          <c:idx val="5"/>
          <c:order val="5"/>
          <c:tx>
            <c:strRef>
              <c:f>'Auto Correct IAP'!$G$1</c:f>
              <c:strCache>
                <c:ptCount val="1"/>
                <c:pt idx="0">
                  <c:v>64</c:v>
                </c:pt>
              </c:strCache>
            </c:strRef>
          </c:tx>
          <c:spPr>
            <a:solidFill>
              <a:schemeClr val="accent4">
                <a:tint val="69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IAP'!$G$2:$G$43</c:f>
              <c:numCache>
                <c:formatCode>0.0</c:formatCode>
                <c:ptCount val="42"/>
                <c:pt idx="0">
                  <c:v>46</c:v>
                </c:pt>
                <c:pt idx="1">
                  <c:v>46</c:v>
                </c:pt>
                <c:pt idx="2">
                  <c:v>46</c:v>
                </c:pt>
                <c:pt idx="3">
                  <c:v>47</c:v>
                </c:pt>
                <c:pt idx="4">
                  <c:v>45</c:v>
                </c:pt>
                <c:pt idx="5">
                  <c:v>45</c:v>
                </c:pt>
                <c:pt idx="6">
                  <c:v>48</c:v>
                </c:pt>
                <c:pt idx="7">
                  <c:v>49</c:v>
                </c:pt>
                <c:pt idx="8">
                  <c:v>49</c:v>
                </c:pt>
                <c:pt idx="9">
                  <c:v>49</c:v>
                </c:pt>
                <c:pt idx="10">
                  <c:v>48</c:v>
                </c:pt>
                <c:pt idx="11">
                  <c:v>49</c:v>
                </c:pt>
                <c:pt idx="12">
                  <c:v>50</c:v>
                </c:pt>
                <c:pt idx="13">
                  <c:v>51</c:v>
                </c:pt>
                <c:pt idx="14">
                  <c:v>54</c:v>
                </c:pt>
                <c:pt idx="15">
                  <c:v>55</c:v>
                </c:pt>
                <c:pt idx="16">
                  <c:v>58</c:v>
                </c:pt>
                <c:pt idx="17">
                  <c:v>64</c:v>
                </c:pt>
                <c:pt idx="18">
                  <c:v>67</c:v>
                </c:pt>
                <c:pt idx="19">
                  <c:v>66</c:v>
                </c:pt>
                <c:pt idx="20">
                  <c:v>65</c:v>
                </c:pt>
                <c:pt idx="21">
                  <c:v>63</c:v>
                </c:pt>
                <c:pt idx="22">
                  <c:v>61</c:v>
                </c:pt>
                <c:pt idx="23">
                  <c:v>61</c:v>
                </c:pt>
                <c:pt idx="24">
                  <c:v>61</c:v>
                </c:pt>
                <c:pt idx="25">
                  <c:v>61</c:v>
                </c:pt>
                <c:pt idx="26">
                  <c:v>61</c:v>
                </c:pt>
                <c:pt idx="27">
                  <c:v>61</c:v>
                </c:pt>
                <c:pt idx="28">
                  <c:v>61</c:v>
                </c:pt>
                <c:pt idx="29">
                  <c:v>61</c:v>
                </c:pt>
                <c:pt idx="30">
                  <c:v>64</c:v>
                </c:pt>
                <c:pt idx="31">
                  <c:v>64</c:v>
                </c:pt>
                <c:pt idx="32">
                  <c:v>65</c:v>
                </c:pt>
                <c:pt idx="33">
                  <c:v>68</c:v>
                </c:pt>
                <c:pt idx="34">
                  <c:v>68</c:v>
                </c:pt>
                <c:pt idx="35">
                  <c:v>66</c:v>
                </c:pt>
                <c:pt idx="36">
                  <c:v>66</c:v>
                </c:pt>
                <c:pt idx="37">
                  <c:v>66</c:v>
                </c:pt>
                <c:pt idx="38">
                  <c:v>66</c:v>
                </c:pt>
                <c:pt idx="39">
                  <c:v>66</c:v>
                </c:pt>
                <c:pt idx="40">
                  <c:v>66</c:v>
                </c:pt>
                <c:pt idx="41">
                  <c:v>66</c:v>
                </c:pt>
              </c:numCache>
            </c:numRef>
          </c:val>
          <c:extLst>
            <c:ext xmlns:c16="http://schemas.microsoft.com/office/drawing/2014/chart" uri="{C3380CC4-5D6E-409C-BE32-E72D297353CC}">
              <c16:uniqueId val="{00000005-30D4-4A37-89B6-B381321CCAD9}"/>
            </c:ext>
          </c:extLst>
        </c:ser>
        <c:ser>
          <c:idx val="6"/>
          <c:order val="6"/>
          <c:tx>
            <c:strRef>
              <c:f>'Auto Correct IAP'!$H$1</c:f>
              <c:strCache>
                <c:ptCount val="1"/>
                <c:pt idx="0">
                  <c:v>60</c:v>
                </c:pt>
              </c:strCache>
            </c:strRef>
          </c:tx>
          <c:spPr>
            <a:solidFill>
              <a:schemeClr val="accent4">
                <a:tint val="75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IAP'!$H$2:$H$43</c:f>
              <c:numCache>
                <c:formatCode>0.0</c:formatCode>
                <c:ptCount val="42"/>
                <c:pt idx="0">
                  <c:v>52</c:v>
                </c:pt>
                <c:pt idx="1">
                  <c:v>52</c:v>
                </c:pt>
                <c:pt idx="2">
                  <c:v>50</c:v>
                </c:pt>
                <c:pt idx="3">
                  <c:v>50</c:v>
                </c:pt>
                <c:pt idx="4">
                  <c:v>50</c:v>
                </c:pt>
                <c:pt idx="5">
                  <c:v>49</c:v>
                </c:pt>
                <c:pt idx="6">
                  <c:v>48</c:v>
                </c:pt>
                <c:pt idx="7">
                  <c:v>49</c:v>
                </c:pt>
                <c:pt idx="8">
                  <c:v>49</c:v>
                </c:pt>
                <c:pt idx="9">
                  <c:v>48</c:v>
                </c:pt>
                <c:pt idx="10">
                  <c:v>48</c:v>
                </c:pt>
                <c:pt idx="11">
                  <c:v>50</c:v>
                </c:pt>
                <c:pt idx="12">
                  <c:v>51</c:v>
                </c:pt>
                <c:pt idx="13">
                  <c:v>52</c:v>
                </c:pt>
                <c:pt idx="14">
                  <c:v>55</c:v>
                </c:pt>
                <c:pt idx="15">
                  <c:v>58</c:v>
                </c:pt>
                <c:pt idx="16">
                  <c:v>65</c:v>
                </c:pt>
                <c:pt idx="17">
                  <c:v>68</c:v>
                </c:pt>
                <c:pt idx="18">
                  <c:v>70</c:v>
                </c:pt>
                <c:pt idx="19">
                  <c:v>69</c:v>
                </c:pt>
                <c:pt idx="20">
                  <c:v>67</c:v>
                </c:pt>
                <c:pt idx="21">
                  <c:v>65</c:v>
                </c:pt>
                <c:pt idx="22">
                  <c:v>64</c:v>
                </c:pt>
                <c:pt idx="23">
                  <c:v>65</c:v>
                </c:pt>
                <c:pt idx="24">
                  <c:v>66</c:v>
                </c:pt>
                <c:pt idx="25">
                  <c:v>66</c:v>
                </c:pt>
                <c:pt idx="26">
                  <c:v>66</c:v>
                </c:pt>
                <c:pt idx="27">
                  <c:v>66</c:v>
                </c:pt>
                <c:pt idx="28">
                  <c:v>66</c:v>
                </c:pt>
                <c:pt idx="29">
                  <c:v>65</c:v>
                </c:pt>
                <c:pt idx="30">
                  <c:v>66</c:v>
                </c:pt>
                <c:pt idx="31">
                  <c:v>66</c:v>
                </c:pt>
                <c:pt idx="32">
                  <c:v>68</c:v>
                </c:pt>
                <c:pt idx="33">
                  <c:v>70</c:v>
                </c:pt>
                <c:pt idx="34">
                  <c:v>70</c:v>
                </c:pt>
                <c:pt idx="35">
                  <c:v>69</c:v>
                </c:pt>
                <c:pt idx="36">
                  <c:v>69</c:v>
                </c:pt>
                <c:pt idx="37">
                  <c:v>69</c:v>
                </c:pt>
                <c:pt idx="38">
                  <c:v>69</c:v>
                </c:pt>
                <c:pt idx="39">
                  <c:v>69</c:v>
                </c:pt>
                <c:pt idx="40">
                  <c:v>69</c:v>
                </c:pt>
                <c:pt idx="41">
                  <c:v>69</c:v>
                </c:pt>
              </c:numCache>
            </c:numRef>
          </c:val>
          <c:extLst>
            <c:ext xmlns:c16="http://schemas.microsoft.com/office/drawing/2014/chart" uri="{C3380CC4-5D6E-409C-BE32-E72D297353CC}">
              <c16:uniqueId val="{00000006-30D4-4A37-89B6-B381321CCAD9}"/>
            </c:ext>
          </c:extLst>
        </c:ser>
        <c:ser>
          <c:idx val="7"/>
          <c:order val="7"/>
          <c:tx>
            <c:strRef>
              <c:f>'Auto Correct IAP'!$I$1</c:f>
              <c:strCache>
                <c:ptCount val="1"/>
                <c:pt idx="0">
                  <c:v>56</c:v>
                </c:pt>
              </c:strCache>
            </c:strRef>
          </c:tx>
          <c:spPr>
            <a:solidFill>
              <a:schemeClr val="accent4">
                <a:tint val="81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IAP'!$I$2:$I$43</c:f>
              <c:numCache>
                <c:formatCode>0.0</c:formatCode>
                <c:ptCount val="42"/>
                <c:pt idx="0">
                  <c:v>58</c:v>
                </c:pt>
                <c:pt idx="1">
                  <c:v>72.834464043419274</c:v>
                </c:pt>
                <c:pt idx="2">
                  <c:v>66.464043419267313</c:v>
                </c:pt>
                <c:pt idx="3">
                  <c:v>55</c:v>
                </c:pt>
                <c:pt idx="4">
                  <c:v>52</c:v>
                </c:pt>
                <c:pt idx="5">
                  <c:v>54</c:v>
                </c:pt>
                <c:pt idx="6">
                  <c:v>52</c:v>
                </c:pt>
                <c:pt idx="7">
                  <c:v>50</c:v>
                </c:pt>
                <c:pt idx="8">
                  <c:v>49</c:v>
                </c:pt>
                <c:pt idx="9">
                  <c:v>49</c:v>
                </c:pt>
                <c:pt idx="10">
                  <c:v>50</c:v>
                </c:pt>
                <c:pt idx="11">
                  <c:v>52</c:v>
                </c:pt>
                <c:pt idx="12">
                  <c:v>52</c:v>
                </c:pt>
                <c:pt idx="13">
                  <c:v>54</c:v>
                </c:pt>
                <c:pt idx="14">
                  <c:v>60</c:v>
                </c:pt>
                <c:pt idx="15">
                  <c:v>64</c:v>
                </c:pt>
                <c:pt idx="16">
                  <c:v>68</c:v>
                </c:pt>
                <c:pt idx="17">
                  <c:v>72</c:v>
                </c:pt>
                <c:pt idx="18">
                  <c:v>75</c:v>
                </c:pt>
                <c:pt idx="19">
                  <c:v>74</c:v>
                </c:pt>
                <c:pt idx="20">
                  <c:v>70</c:v>
                </c:pt>
                <c:pt idx="21">
                  <c:v>68</c:v>
                </c:pt>
                <c:pt idx="22">
                  <c:v>67</c:v>
                </c:pt>
                <c:pt idx="23">
                  <c:v>67</c:v>
                </c:pt>
                <c:pt idx="24">
                  <c:v>68</c:v>
                </c:pt>
                <c:pt idx="25">
                  <c:v>70</c:v>
                </c:pt>
                <c:pt idx="26">
                  <c:v>71</c:v>
                </c:pt>
                <c:pt idx="27">
                  <c:v>72</c:v>
                </c:pt>
                <c:pt idx="28">
                  <c:v>72</c:v>
                </c:pt>
                <c:pt idx="29">
                  <c:v>70</c:v>
                </c:pt>
                <c:pt idx="30">
                  <c:v>70</c:v>
                </c:pt>
                <c:pt idx="31">
                  <c:v>70</c:v>
                </c:pt>
                <c:pt idx="32">
                  <c:v>72</c:v>
                </c:pt>
                <c:pt idx="33">
                  <c:v>74</c:v>
                </c:pt>
                <c:pt idx="34">
                  <c:v>74</c:v>
                </c:pt>
                <c:pt idx="35">
                  <c:v>72</c:v>
                </c:pt>
                <c:pt idx="36">
                  <c:v>72</c:v>
                </c:pt>
                <c:pt idx="37">
                  <c:v>72</c:v>
                </c:pt>
                <c:pt idx="38">
                  <c:v>72</c:v>
                </c:pt>
                <c:pt idx="39">
                  <c:v>72</c:v>
                </c:pt>
                <c:pt idx="40">
                  <c:v>72</c:v>
                </c:pt>
                <c:pt idx="41">
                  <c:v>72</c:v>
                </c:pt>
              </c:numCache>
            </c:numRef>
          </c:val>
          <c:extLst>
            <c:ext xmlns:c16="http://schemas.microsoft.com/office/drawing/2014/chart" uri="{C3380CC4-5D6E-409C-BE32-E72D297353CC}">
              <c16:uniqueId val="{00000007-30D4-4A37-89B6-B381321CCAD9}"/>
            </c:ext>
          </c:extLst>
        </c:ser>
        <c:ser>
          <c:idx val="8"/>
          <c:order val="8"/>
          <c:tx>
            <c:strRef>
              <c:f>'Auto Correct IAP'!$J$1</c:f>
              <c:strCache>
                <c:ptCount val="1"/>
                <c:pt idx="0">
                  <c:v>52</c:v>
                </c:pt>
              </c:strCache>
            </c:strRef>
          </c:tx>
          <c:spPr>
            <a:solidFill>
              <a:schemeClr val="accent4">
                <a:tint val="88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IAP'!$J$2:$J$43</c:f>
              <c:numCache>
                <c:formatCode>0.0</c:formatCode>
                <c:ptCount val="42"/>
                <c:pt idx="0">
                  <c:v>70</c:v>
                </c:pt>
                <c:pt idx="1">
                  <c:v>87.381275440976921</c:v>
                </c:pt>
                <c:pt idx="2">
                  <c:v>63</c:v>
                </c:pt>
                <c:pt idx="3">
                  <c:v>64</c:v>
                </c:pt>
                <c:pt idx="4">
                  <c:v>57</c:v>
                </c:pt>
                <c:pt idx="5">
                  <c:v>58</c:v>
                </c:pt>
                <c:pt idx="6">
                  <c:v>60</c:v>
                </c:pt>
                <c:pt idx="7">
                  <c:v>57</c:v>
                </c:pt>
                <c:pt idx="8">
                  <c:v>51</c:v>
                </c:pt>
                <c:pt idx="9">
                  <c:v>51</c:v>
                </c:pt>
                <c:pt idx="10">
                  <c:v>52</c:v>
                </c:pt>
                <c:pt idx="11">
                  <c:v>52</c:v>
                </c:pt>
                <c:pt idx="12">
                  <c:v>55</c:v>
                </c:pt>
                <c:pt idx="13">
                  <c:v>55</c:v>
                </c:pt>
                <c:pt idx="14">
                  <c:v>61</c:v>
                </c:pt>
                <c:pt idx="15">
                  <c:v>69</c:v>
                </c:pt>
                <c:pt idx="16">
                  <c:v>74</c:v>
                </c:pt>
                <c:pt idx="17">
                  <c:v>76</c:v>
                </c:pt>
                <c:pt idx="18">
                  <c:v>79</c:v>
                </c:pt>
                <c:pt idx="19">
                  <c:v>76</c:v>
                </c:pt>
                <c:pt idx="20">
                  <c:v>72</c:v>
                </c:pt>
                <c:pt idx="21">
                  <c:v>70</c:v>
                </c:pt>
                <c:pt idx="22">
                  <c:v>70</c:v>
                </c:pt>
                <c:pt idx="23">
                  <c:v>70</c:v>
                </c:pt>
                <c:pt idx="24">
                  <c:v>71</c:v>
                </c:pt>
                <c:pt idx="25">
                  <c:v>74</c:v>
                </c:pt>
                <c:pt idx="26">
                  <c:v>76</c:v>
                </c:pt>
                <c:pt idx="27">
                  <c:v>78</c:v>
                </c:pt>
                <c:pt idx="28">
                  <c:v>75</c:v>
                </c:pt>
                <c:pt idx="29">
                  <c:v>75</c:v>
                </c:pt>
                <c:pt idx="30">
                  <c:v>75</c:v>
                </c:pt>
                <c:pt idx="31">
                  <c:v>75</c:v>
                </c:pt>
                <c:pt idx="32">
                  <c:v>75</c:v>
                </c:pt>
                <c:pt idx="33">
                  <c:v>78</c:v>
                </c:pt>
                <c:pt idx="34">
                  <c:v>78</c:v>
                </c:pt>
                <c:pt idx="35">
                  <c:v>75</c:v>
                </c:pt>
                <c:pt idx="36">
                  <c:v>75</c:v>
                </c:pt>
                <c:pt idx="37">
                  <c:v>75</c:v>
                </c:pt>
                <c:pt idx="38">
                  <c:v>75</c:v>
                </c:pt>
                <c:pt idx="39">
                  <c:v>75</c:v>
                </c:pt>
                <c:pt idx="40">
                  <c:v>75</c:v>
                </c:pt>
                <c:pt idx="41">
                  <c:v>75</c:v>
                </c:pt>
              </c:numCache>
            </c:numRef>
          </c:val>
          <c:extLst>
            <c:ext xmlns:c16="http://schemas.microsoft.com/office/drawing/2014/chart" uri="{C3380CC4-5D6E-409C-BE32-E72D297353CC}">
              <c16:uniqueId val="{00000008-30D4-4A37-89B6-B381321CCAD9}"/>
            </c:ext>
          </c:extLst>
        </c:ser>
        <c:ser>
          <c:idx val="9"/>
          <c:order val="9"/>
          <c:tx>
            <c:strRef>
              <c:f>'Auto Correct IAP'!$K$1</c:f>
              <c:strCache>
                <c:ptCount val="1"/>
                <c:pt idx="0">
                  <c:v>48</c:v>
                </c:pt>
              </c:strCache>
            </c:strRef>
          </c:tx>
          <c:spPr>
            <a:solidFill>
              <a:schemeClr val="accent4">
                <a:tint val="94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IAP'!$K$2:$K$43</c:f>
              <c:numCache>
                <c:formatCode>0.0</c:formatCode>
                <c:ptCount val="42"/>
                <c:pt idx="0">
                  <c:v>72</c:v>
                </c:pt>
                <c:pt idx="1">
                  <c:v>72</c:v>
                </c:pt>
                <c:pt idx="2">
                  <c:v>84.65000000000002</c:v>
                </c:pt>
                <c:pt idx="3">
                  <c:v>68</c:v>
                </c:pt>
                <c:pt idx="4">
                  <c:v>61</c:v>
                </c:pt>
                <c:pt idx="5">
                  <c:v>58</c:v>
                </c:pt>
                <c:pt idx="6">
                  <c:v>64</c:v>
                </c:pt>
                <c:pt idx="7">
                  <c:v>65</c:v>
                </c:pt>
                <c:pt idx="8">
                  <c:v>63</c:v>
                </c:pt>
                <c:pt idx="9">
                  <c:v>58</c:v>
                </c:pt>
                <c:pt idx="10">
                  <c:v>60</c:v>
                </c:pt>
                <c:pt idx="11">
                  <c:v>60</c:v>
                </c:pt>
                <c:pt idx="12">
                  <c:v>61</c:v>
                </c:pt>
                <c:pt idx="13">
                  <c:v>65</c:v>
                </c:pt>
                <c:pt idx="14">
                  <c:v>69</c:v>
                </c:pt>
                <c:pt idx="15">
                  <c:v>74</c:v>
                </c:pt>
                <c:pt idx="16">
                  <c:v>79</c:v>
                </c:pt>
                <c:pt idx="17">
                  <c:v>83</c:v>
                </c:pt>
                <c:pt idx="18">
                  <c:v>84</c:v>
                </c:pt>
                <c:pt idx="19">
                  <c:v>82</c:v>
                </c:pt>
                <c:pt idx="20">
                  <c:v>76</c:v>
                </c:pt>
                <c:pt idx="21">
                  <c:v>74</c:v>
                </c:pt>
                <c:pt idx="22">
                  <c:v>74</c:v>
                </c:pt>
                <c:pt idx="23">
                  <c:v>74</c:v>
                </c:pt>
                <c:pt idx="24">
                  <c:v>74</c:v>
                </c:pt>
                <c:pt idx="25">
                  <c:v>76</c:v>
                </c:pt>
                <c:pt idx="26">
                  <c:v>79</c:v>
                </c:pt>
                <c:pt idx="27">
                  <c:v>79</c:v>
                </c:pt>
                <c:pt idx="28">
                  <c:v>79</c:v>
                </c:pt>
                <c:pt idx="29">
                  <c:v>79</c:v>
                </c:pt>
                <c:pt idx="30">
                  <c:v>79</c:v>
                </c:pt>
                <c:pt idx="31">
                  <c:v>79</c:v>
                </c:pt>
                <c:pt idx="32">
                  <c:v>80</c:v>
                </c:pt>
                <c:pt idx="33">
                  <c:v>83</c:v>
                </c:pt>
                <c:pt idx="34">
                  <c:v>83</c:v>
                </c:pt>
                <c:pt idx="35">
                  <c:v>80</c:v>
                </c:pt>
                <c:pt idx="36">
                  <c:v>80</c:v>
                </c:pt>
                <c:pt idx="37">
                  <c:v>80</c:v>
                </c:pt>
                <c:pt idx="38">
                  <c:v>80</c:v>
                </c:pt>
                <c:pt idx="39">
                  <c:v>80</c:v>
                </c:pt>
                <c:pt idx="40">
                  <c:v>80</c:v>
                </c:pt>
                <c:pt idx="41">
                  <c:v>80</c:v>
                </c:pt>
              </c:numCache>
            </c:numRef>
          </c:val>
          <c:extLst>
            <c:ext xmlns:c16="http://schemas.microsoft.com/office/drawing/2014/chart" uri="{C3380CC4-5D6E-409C-BE32-E72D297353CC}">
              <c16:uniqueId val="{00000009-30D4-4A37-89B6-B381321CCAD9}"/>
            </c:ext>
          </c:extLst>
        </c:ser>
        <c:ser>
          <c:idx val="10"/>
          <c:order val="10"/>
          <c:tx>
            <c:strRef>
              <c:f>'Auto Correct IAP'!$L$1</c:f>
              <c:strCache>
                <c:ptCount val="1"/>
                <c:pt idx="0">
                  <c:v>44</c:v>
                </c:pt>
              </c:strCache>
            </c:strRef>
          </c:tx>
          <c:spPr>
            <a:solidFill>
              <a:schemeClr val="accent4"/>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IAP'!$L$2:$L$43</c:f>
              <c:numCache>
                <c:formatCode>0.0</c:formatCode>
                <c:ptCount val="42"/>
                <c:pt idx="0">
                  <c:v>78</c:v>
                </c:pt>
                <c:pt idx="1">
                  <c:v>78</c:v>
                </c:pt>
                <c:pt idx="2">
                  <c:v>72</c:v>
                </c:pt>
                <c:pt idx="3">
                  <c:v>71</c:v>
                </c:pt>
                <c:pt idx="4">
                  <c:v>67</c:v>
                </c:pt>
                <c:pt idx="5">
                  <c:v>64</c:v>
                </c:pt>
                <c:pt idx="6">
                  <c:v>67</c:v>
                </c:pt>
                <c:pt idx="7">
                  <c:v>70</c:v>
                </c:pt>
                <c:pt idx="8">
                  <c:v>68</c:v>
                </c:pt>
                <c:pt idx="9">
                  <c:v>64</c:v>
                </c:pt>
                <c:pt idx="10">
                  <c:v>64</c:v>
                </c:pt>
                <c:pt idx="11">
                  <c:v>65</c:v>
                </c:pt>
                <c:pt idx="12">
                  <c:v>67</c:v>
                </c:pt>
                <c:pt idx="13">
                  <c:v>69</c:v>
                </c:pt>
                <c:pt idx="14">
                  <c:v>74</c:v>
                </c:pt>
                <c:pt idx="15">
                  <c:v>79</c:v>
                </c:pt>
                <c:pt idx="16">
                  <c:v>84</c:v>
                </c:pt>
                <c:pt idx="17">
                  <c:v>87</c:v>
                </c:pt>
                <c:pt idx="18">
                  <c:v>88</c:v>
                </c:pt>
                <c:pt idx="19">
                  <c:v>84</c:v>
                </c:pt>
                <c:pt idx="20">
                  <c:v>80</c:v>
                </c:pt>
                <c:pt idx="21">
                  <c:v>78</c:v>
                </c:pt>
                <c:pt idx="22">
                  <c:v>76</c:v>
                </c:pt>
                <c:pt idx="23">
                  <c:v>76</c:v>
                </c:pt>
                <c:pt idx="24">
                  <c:v>78</c:v>
                </c:pt>
                <c:pt idx="25">
                  <c:v>79</c:v>
                </c:pt>
                <c:pt idx="26">
                  <c:v>82</c:v>
                </c:pt>
                <c:pt idx="27">
                  <c:v>83</c:v>
                </c:pt>
                <c:pt idx="28">
                  <c:v>83</c:v>
                </c:pt>
                <c:pt idx="29">
                  <c:v>83</c:v>
                </c:pt>
                <c:pt idx="30">
                  <c:v>83</c:v>
                </c:pt>
                <c:pt idx="31">
                  <c:v>83</c:v>
                </c:pt>
                <c:pt idx="32">
                  <c:v>84</c:v>
                </c:pt>
                <c:pt idx="33">
                  <c:v>86</c:v>
                </c:pt>
                <c:pt idx="34">
                  <c:v>86</c:v>
                </c:pt>
                <c:pt idx="35">
                  <c:v>86</c:v>
                </c:pt>
                <c:pt idx="36">
                  <c:v>86</c:v>
                </c:pt>
                <c:pt idx="37">
                  <c:v>86</c:v>
                </c:pt>
                <c:pt idx="38">
                  <c:v>86</c:v>
                </c:pt>
                <c:pt idx="39">
                  <c:v>86</c:v>
                </c:pt>
                <c:pt idx="40">
                  <c:v>86</c:v>
                </c:pt>
                <c:pt idx="41">
                  <c:v>86</c:v>
                </c:pt>
              </c:numCache>
            </c:numRef>
          </c:val>
          <c:extLst>
            <c:ext xmlns:c16="http://schemas.microsoft.com/office/drawing/2014/chart" uri="{C3380CC4-5D6E-409C-BE32-E72D297353CC}">
              <c16:uniqueId val="{0000000A-30D4-4A37-89B6-B381321CCAD9}"/>
            </c:ext>
          </c:extLst>
        </c:ser>
        <c:ser>
          <c:idx val="11"/>
          <c:order val="11"/>
          <c:tx>
            <c:strRef>
              <c:f>'Auto Correct IAP'!$M$1</c:f>
              <c:strCache>
                <c:ptCount val="1"/>
                <c:pt idx="0">
                  <c:v>40</c:v>
                </c:pt>
              </c:strCache>
            </c:strRef>
          </c:tx>
          <c:spPr>
            <a:solidFill>
              <a:schemeClr val="accent4">
                <a:shade val="93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IAP'!$M$2:$M$43</c:f>
              <c:numCache>
                <c:formatCode>0.0</c:formatCode>
                <c:ptCount val="42"/>
                <c:pt idx="0">
                  <c:v>78</c:v>
                </c:pt>
                <c:pt idx="1">
                  <c:v>99.391791044776113</c:v>
                </c:pt>
                <c:pt idx="2">
                  <c:v>74</c:v>
                </c:pt>
                <c:pt idx="3">
                  <c:v>75</c:v>
                </c:pt>
                <c:pt idx="4">
                  <c:v>72</c:v>
                </c:pt>
                <c:pt idx="5">
                  <c:v>69</c:v>
                </c:pt>
                <c:pt idx="6">
                  <c:v>71</c:v>
                </c:pt>
                <c:pt idx="7">
                  <c:v>75</c:v>
                </c:pt>
                <c:pt idx="8">
                  <c:v>70</c:v>
                </c:pt>
                <c:pt idx="9">
                  <c:v>67</c:v>
                </c:pt>
                <c:pt idx="10">
                  <c:v>66</c:v>
                </c:pt>
                <c:pt idx="11">
                  <c:v>68</c:v>
                </c:pt>
                <c:pt idx="12">
                  <c:v>70</c:v>
                </c:pt>
                <c:pt idx="13">
                  <c:v>74</c:v>
                </c:pt>
                <c:pt idx="14">
                  <c:v>79</c:v>
                </c:pt>
                <c:pt idx="15">
                  <c:v>84</c:v>
                </c:pt>
                <c:pt idx="16">
                  <c:v>89</c:v>
                </c:pt>
                <c:pt idx="17">
                  <c:v>91</c:v>
                </c:pt>
                <c:pt idx="18">
                  <c:v>92</c:v>
                </c:pt>
                <c:pt idx="19">
                  <c:v>89</c:v>
                </c:pt>
                <c:pt idx="20">
                  <c:v>84</c:v>
                </c:pt>
                <c:pt idx="21">
                  <c:v>82</c:v>
                </c:pt>
                <c:pt idx="22">
                  <c:v>80</c:v>
                </c:pt>
                <c:pt idx="23">
                  <c:v>79</c:v>
                </c:pt>
                <c:pt idx="24">
                  <c:v>79</c:v>
                </c:pt>
                <c:pt idx="25">
                  <c:v>83</c:v>
                </c:pt>
                <c:pt idx="26">
                  <c:v>86</c:v>
                </c:pt>
                <c:pt idx="27">
                  <c:v>86</c:v>
                </c:pt>
                <c:pt idx="28">
                  <c:v>86</c:v>
                </c:pt>
                <c:pt idx="29">
                  <c:v>86</c:v>
                </c:pt>
                <c:pt idx="30">
                  <c:v>86</c:v>
                </c:pt>
                <c:pt idx="31">
                  <c:v>86</c:v>
                </c:pt>
                <c:pt idx="32">
                  <c:v>88</c:v>
                </c:pt>
                <c:pt idx="33">
                  <c:v>88</c:v>
                </c:pt>
                <c:pt idx="34">
                  <c:v>88</c:v>
                </c:pt>
                <c:pt idx="35">
                  <c:v>88</c:v>
                </c:pt>
                <c:pt idx="36">
                  <c:v>88</c:v>
                </c:pt>
                <c:pt idx="37">
                  <c:v>88</c:v>
                </c:pt>
                <c:pt idx="38">
                  <c:v>88</c:v>
                </c:pt>
                <c:pt idx="39">
                  <c:v>88</c:v>
                </c:pt>
                <c:pt idx="40">
                  <c:v>88</c:v>
                </c:pt>
                <c:pt idx="41">
                  <c:v>88</c:v>
                </c:pt>
              </c:numCache>
            </c:numRef>
          </c:val>
          <c:extLst>
            <c:ext xmlns:c16="http://schemas.microsoft.com/office/drawing/2014/chart" uri="{C3380CC4-5D6E-409C-BE32-E72D297353CC}">
              <c16:uniqueId val="{0000000B-30D4-4A37-89B6-B381321CCAD9}"/>
            </c:ext>
          </c:extLst>
        </c:ser>
        <c:ser>
          <c:idx val="12"/>
          <c:order val="12"/>
          <c:tx>
            <c:strRef>
              <c:f>'Auto Correct IAP'!$N$1</c:f>
              <c:strCache>
                <c:ptCount val="1"/>
                <c:pt idx="0">
                  <c:v>36</c:v>
                </c:pt>
              </c:strCache>
            </c:strRef>
          </c:tx>
          <c:spPr>
            <a:solidFill>
              <a:schemeClr val="accent4">
                <a:shade val="87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IAP'!$N$2:$N$43</c:f>
              <c:numCache>
                <c:formatCode>0.0</c:formatCode>
                <c:ptCount val="42"/>
                <c:pt idx="0">
                  <c:v>80</c:v>
                </c:pt>
                <c:pt idx="1">
                  <c:v>80</c:v>
                </c:pt>
                <c:pt idx="2">
                  <c:v>82</c:v>
                </c:pt>
                <c:pt idx="3">
                  <c:v>76</c:v>
                </c:pt>
                <c:pt idx="4">
                  <c:v>75</c:v>
                </c:pt>
                <c:pt idx="5">
                  <c:v>76</c:v>
                </c:pt>
                <c:pt idx="6">
                  <c:v>78</c:v>
                </c:pt>
                <c:pt idx="7">
                  <c:v>78</c:v>
                </c:pt>
                <c:pt idx="8">
                  <c:v>76</c:v>
                </c:pt>
                <c:pt idx="9">
                  <c:v>71</c:v>
                </c:pt>
                <c:pt idx="10">
                  <c:v>69</c:v>
                </c:pt>
                <c:pt idx="11">
                  <c:v>71</c:v>
                </c:pt>
                <c:pt idx="12">
                  <c:v>74</c:v>
                </c:pt>
                <c:pt idx="13">
                  <c:v>79</c:v>
                </c:pt>
                <c:pt idx="14">
                  <c:v>84</c:v>
                </c:pt>
                <c:pt idx="15">
                  <c:v>88</c:v>
                </c:pt>
                <c:pt idx="16">
                  <c:v>92</c:v>
                </c:pt>
                <c:pt idx="17">
                  <c:v>96</c:v>
                </c:pt>
                <c:pt idx="18">
                  <c:v>97</c:v>
                </c:pt>
                <c:pt idx="19">
                  <c:v>92</c:v>
                </c:pt>
                <c:pt idx="20">
                  <c:v>87</c:v>
                </c:pt>
                <c:pt idx="21">
                  <c:v>86</c:v>
                </c:pt>
                <c:pt idx="22">
                  <c:v>86</c:v>
                </c:pt>
                <c:pt idx="23">
                  <c:v>84</c:v>
                </c:pt>
                <c:pt idx="24">
                  <c:v>83</c:v>
                </c:pt>
                <c:pt idx="25">
                  <c:v>87</c:v>
                </c:pt>
                <c:pt idx="26">
                  <c:v>89</c:v>
                </c:pt>
                <c:pt idx="27">
                  <c:v>90</c:v>
                </c:pt>
                <c:pt idx="28">
                  <c:v>90</c:v>
                </c:pt>
                <c:pt idx="29">
                  <c:v>89</c:v>
                </c:pt>
                <c:pt idx="30">
                  <c:v>89</c:v>
                </c:pt>
                <c:pt idx="31">
                  <c:v>89</c:v>
                </c:pt>
                <c:pt idx="32">
                  <c:v>90</c:v>
                </c:pt>
                <c:pt idx="33">
                  <c:v>90</c:v>
                </c:pt>
                <c:pt idx="34">
                  <c:v>90</c:v>
                </c:pt>
                <c:pt idx="35">
                  <c:v>90</c:v>
                </c:pt>
                <c:pt idx="36">
                  <c:v>90</c:v>
                </c:pt>
                <c:pt idx="37">
                  <c:v>90</c:v>
                </c:pt>
                <c:pt idx="38">
                  <c:v>90</c:v>
                </c:pt>
                <c:pt idx="39">
                  <c:v>90</c:v>
                </c:pt>
                <c:pt idx="40">
                  <c:v>90</c:v>
                </c:pt>
                <c:pt idx="41">
                  <c:v>90</c:v>
                </c:pt>
              </c:numCache>
            </c:numRef>
          </c:val>
          <c:extLst>
            <c:ext xmlns:c16="http://schemas.microsoft.com/office/drawing/2014/chart" uri="{C3380CC4-5D6E-409C-BE32-E72D297353CC}">
              <c16:uniqueId val="{0000000C-30D4-4A37-89B6-B381321CCAD9}"/>
            </c:ext>
          </c:extLst>
        </c:ser>
        <c:ser>
          <c:idx val="13"/>
          <c:order val="13"/>
          <c:tx>
            <c:strRef>
              <c:f>'Auto Correct IAP'!$O$1</c:f>
              <c:strCache>
                <c:ptCount val="1"/>
                <c:pt idx="0">
                  <c:v>32</c:v>
                </c:pt>
              </c:strCache>
            </c:strRef>
          </c:tx>
          <c:spPr>
            <a:solidFill>
              <a:schemeClr val="accent4">
                <a:shade val="80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IAP'!$O$2:$O$43</c:f>
              <c:numCache>
                <c:formatCode>0.0</c:formatCode>
                <c:ptCount val="42"/>
                <c:pt idx="0">
                  <c:v>86</c:v>
                </c:pt>
                <c:pt idx="1">
                  <c:v>110.29637526652452</c:v>
                </c:pt>
                <c:pt idx="2">
                  <c:v>109.15298507462684</c:v>
                </c:pt>
                <c:pt idx="3">
                  <c:v>80</c:v>
                </c:pt>
                <c:pt idx="4">
                  <c:v>79</c:v>
                </c:pt>
                <c:pt idx="5">
                  <c:v>80</c:v>
                </c:pt>
                <c:pt idx="6">
                  <c:v>80</c:v>
                </c:pt>
                <c:pt idx="7">
                  <c:v>84</c:v>
                </c:pt>
                <c:pt idx="8">
                  <c:v>80</c:v>
                </c:pt>
                <c:pt idx="9">
                  <c:v>75</c:v>
                </c:pt>
                <c:pt idx="10">
                  <c:v>72</c:v>
                </c:pt>
                <c:pt idx="11">
                  <c:v>75</c:v>
                </c:pt>
                <c:pt idx="12">
                  <c:v>78</c:v>
                </c:pt>
                <c:pt idx="13">
                  <c:v>83</c:v>
                </c:pt>
                <c:pt idx="14">
                  <c:v>88</c:v>
                </c:pt>
                <c:pt idx="15">
                  <c:v>92</c:v>
                </c:pt>
                <c:pt idx="16">
                  <c:v>97</c:v>
                </c:pt>
                <c:pt idx="17">
                  <c:v>99</c:v>
                </c:pt>
                <c:pt idx="18">
                  <c:v>99</c:v>
                </c:pt>
                <c:pt idx="19">
                  <c:v>97</c:v>
                </c:pt>
                <c:pt idx="20">
                  <c:v>92</c:v>
                </c:pt>
                <c:pt idx="21">
                  <c:v>89</c:v>
                </c:pt>
                <c:pt idx="22">
                  <c:v>88</c:v>
                </c:pt>
                <c:pt idx="23">
                  <c:v>87</c:v>
                </c:pt>
                <c:pt idx="24">
                  <c:v>87</c:v>
                </c:pt>
                <c:pt idx="25">
                  <c:v>91</c:v>
                </c:pt>
                <c:pt idx="26">
                  <c:v>94</c:v>
                </c:pt>
                <c:pt idx="27">
                  <c:v>94</c:v>
                </c:pt>
                <c:pt idx="28">
                  <c:v>93</c:v>
                </c:pt>
                <c:pt idx="29">
                  <c:v>93</c:v>
                </c:pt>
                <c:pt idx="30">
                  <c:v>93</c:v>
                </c:pt>
                <c:pt idx="31">
                  <c:v>92</c:v>
                </c:pt>
                <c:pt idx="32">
                  <c:v>93</c:v>
                </c:pt>
                <c:pt idx="33">
                  <c:v>93</c:v>
                </c:pt>
                <c:pt idx="34">
                  <c:v>93</c:v>
                </c:pt>
                <c:pt idx="35">
                  <c:v>94</c:v>
                </c:pt>
                <c:pt idx="36">
                  <c:v>94</c:v>
                </c:pt>
                <c:pt idx="37">
                  <c:v>94</c:v>
                </c:pt>
                <c:pt idx="38">
                  <c:v>94</c:v>
                </c:pt>
                <c:pt idx="39">
                  <c:v>94</c:v>
                </c:pt>
                <c:pt idx="40">
                  <c:v>94</c:v>
                </c:pt>
                <c:pt idx="41">
                  <c:v>94</c:v>
                </c:pt>
              </c:numCache>
            </c:numRef>
          </c:val>
          <c:extLst>
            <c:ext xmlns:c16="http://schemas.microsoft.com/office/drawing/2014/chart" uri="{C3380CC4-5D6E-409C-BE32-E72D297353CC}">
              <c16:uniqueId val="{0000000D-30D4-4A37-89B6-B381321CCAD9}"/>
            </c:ext>
          </c:extLst>
        </c:ser>
        <c:ser>
          <c:idx val="14"/>
          <c:order val="14"/>
          <c:tx>
            <c:strRef>
              <c:f>'Auto Correct IAP'!$P$1</c:f>
              <c:strCache>
                <c:ptCount val="1"/>
                <c:pt idx="0">
                  <c:v>24</c:v>
                </c:pt>
              </c:strCache>
            </c:strRef>
          </c:tx>
          <c:spPr>
            <a:solidFill>
              <a:schemeClr val="accent4">
                <a:shade val="74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IAP'!$P$2:$P$43</c:f>
              <c:numCache>
                <c:formatCode>0.0</c:formatCode>
                <c:ptCount val="42"/>
                <c:pt idx="0">
                  <c:v>93</c:v>
                </c:pt>
                <c:pt idx="1">
                  <c:v>93</c:v>
                </c:pt>
                <c:pt idx="2">
                  <c:v>89</c:v>
                </c:pt>
                <c:pt idx="3">
                  <c:v>86</c:v>
                </c:pt>
                <c:pt idx="4">
                  <c:v>86</c:v>
                </c:pt>
                <c:pt idx="5">
                  <c:v>87</c:v>
                </c:pt>
                <c:pt idx="6">
                  <c:v>87</c:v>
                </c:pt>
                <c:pt idx="7">
                  <c:v>88</c:v>
                </c:pt>
                <c:pt idx="8">
                  <c:v>83</c:v>
                </c:pt>
                <c:pt idx="9">
                  <c:v>80</c:v>
                </c:pt>
                <c:pt idx="10">
                  <c:v>79</c:v>
                </c:pt>
                <c:pt idx="11">
                  <c:v>82</c:v>
                </c:pt>
                <c:pt idx="12">
                  <c:v>84</c:v>
                </c:pt>
                <c:pt idx="13">
                  <c:v>89</c:v>
                </c:pt>
                <c:pt idx="14">
                  <c:v>94</c:v>
                </c:pt>
                <c:pt idx="15">
                  <c:v>99</c:v>
                </c:pt>
                <c:pt idx="16">
                  <c:v>103</c:v>
                </c:pt>
                <c:pt idx="17">
                  <c:v>104</c:v>
                </c:pt>
                <c:pt idx="18">
                  <c:v>107</c:v>
                </c:pt>
                <c:pt idx="19">
                  <c:v>102</c:v>
                </c:pt>
                <c:pt idx="20">
                  <c:v>98</c:v>
                </c:pt>
                <c:pt idx="21">
                  <c:v>96</c:v>
                </c:pt>
                <c:pt idx="22">
                  <c:v>92</c:v>
                </c:pt>
                <c:pt idx="23">
                  <c:v>93</c:v>
                </c:pt>
                <c:pt idx="24">
                  <c:v>96</c:v>
                </c:pt>
                <c:pt idx="25">
                  <c:v>98</c:v>
                </c:pt>
                <c:pt idx="26">
                  <c:v>99</c:v>
                </c:pt>
                <c:pt idx="27">
                  <c:v>99</c:v>
                </c:pt>
                <c:pt idx="28">
                  <c:v>98</c:v>
                </c:pt>
                <c:pt idx="29">
                  <c:v>97</c:v>
                </c:pt>
                <c:pt idx="30">
                  <c:v>98</c:v>
                </c:pt>
                <c:pt idx="31">
                  <c:v>98</c:v>
                </c:pt>
                <c:pt idx="32">
                  <c:v>98</c:v>
                </c:pt>
                <c:pt idx="33">
                  <c:v>99</c:v>
                </c:pt>
                <c:pt idx="34">
                  <c:v>99</c:v>
                </c:pt>
                <c:pt idx="35">
                  <c:v>102</c:v>
                </c:pt>
                <c:pt idx="36">
                  <c:v>102</c:v>
                </c:pt>
                <c:pt idx="37">
                  <c:v>102</c:v>
                </c:pt>
                <c:pt idx="38">
                  <c:v>102</c:v>
                </c:pt>
                <c:pt idx="39">
                  <c:v>102</c:v>
                </c:pt>
                <c:pt idx="40">
                  <c:v>102</c:v>
                </c:pt>
                <c:pt idx="41">
                  <c:v>102</c:v>
                </c:pt>
              </c:numCache>
            </c:numRef>
          </c:val>
          <c:extLst>
            <c:ext xmlns:c16="http://schemas.microsoft.com/office/drawing/2014/chart" uri="{C3380CC4-5D6E-409C-BE32-E72D297353CC}">
              <c16:uniqueId val="{0000000E-30D4-4A37-89B6-B381321CCAD9}"/>
            </c:ext>
          </c:extLst>
        </c:ser>
        <c:ser>
          <c:idx val="15"/>
          <c:order val="15"/>
          <c:tx>
            <c:strRef>
              <c:f>'Auto Correct IAP'!$Q$1</c:f>
              <c:strCache>
                <c:ptCount val="1"/>
                <c:pt idx="0">
                  <c:v>20</c:v>
                </c:pt>
              </c:strCache>
            </c:strRef>
          </c:tx>
          <c:spPr>
            <a:solidFill>
              <a:schemeClr val="accent4">
                <a:shade val="68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IAP'!$Q$2:$Q$43</c:f>
              <c:numCache>
                <c:formatCode>0.0</c:formatCode>
                <c:ptCount val="42"/>
                <c:pt idx="0">
                  <c:v>102</c:v>
                </c:pt>
                <c:pt idx="1">
                  <c:v>102</c:v>
                </c:pt>
                <c:pt idx="2">
                  <c:v>96</c:v>
                </c:pt>
                <c:pt idx="3">
                  <c:v>90</c:v>
                </c:pt>
                <c:pt idx="4">
                  <c:v>89</c:v>
                </c:pt>
                <c:pt idx="5">
                  <c:v>90</c:v>
                </c:pt>
                <c:pt idx="6">
                  <c:v>92</c:v>
                </c:pt>
                <c:pt idx="7">
                  <c:v>92</c:v>
                </c:pt>
                <c:pt idx="8">
                  <c:v>89</c:v>
                </c:pt>
                <c:pt idx="9">
                  <c:v>86</c:v>
                </c:pt>
                <c:pt idx="10">
                  <c:v>84</c:v>
                </c:pt>
                <c:pt idx="11">
                  <c:v>87</c:v>
                </c:pt>
                <c:pt idx="12">
                  <c:v>90</c:v>
                </c:pt>
                <c:pt idx="13">
                  <c:v>97</c:v>
                </c:pt>
                <c:pt idx="14">
                  <c:v>102</c:v>
                </c:pt>
                <c:pt idx="15">
                  <c:v>106</c:v>
                </c:pt>
                <c:pt idx="16">
                  <c:v>109</c:v>
                </c:pt>
                <c:pt idx="17">
                  <c:v>112</c:v>
                </c:pt>
                <c:pt idx="18">
                  <c:v>112</c:v>
                </c:pt>
                <c:pt idx="19">
                  <c:v>107</c:v>
                </c:pt>
                <c:pt idx="20">
                  <c:v>102</c:v>
                </c:pt>
                <c:pt idx="21">
                  <c:v>99</c:v>
                </c:pt>
                <c:pt idx="22">
                  <c:v>99</c:v>
                </c:pt>
                <c:pt idx="23">
                  <c:v>99</c:v>
                </c:pt>
                <c:pt idx="24">
                  <c:v>101</c:v>
                </c:pt>
                <c:pt idx="25">
                  <c:v>102</c:v>
                </c:pt>
                <c:pt idx="26">
                  <c:v>103</c:v>
                </c:pt>
                <c:pt idx="27">
                  <c:v>103</c:v>
                </c:pt>
                <c:pt idx="28">
                  <c:v>104</c:v>
                </c:pt>
                <c:pt idx="29">
                  <c:v>104</c:v>
                </c:pt>
                <c:pt idx="30">
                  <c:v>107</c:v>
                </c:pt>
                <c:pt idx="31">
                  <c:v>107</c:v>
                </c:pt>
                <c:pt idx="32">
                  <c:v>107</c:v>
                </c:pt>
                <c:pt idx="33">
                  <c:v>104</c:v>
                </c:pt>
                <c:pt idx="34">
                  <c:v>104</c:v>
                </c:pt>
                <c:pt idx="35">
                  <c:v>104</c:v>
                </c:pt>
                <c:pt idx="36">
                  <c:v>107</c:v>
                </c:pt>
                <c:pt idx="37">
                  <c:v>107</c:v>
                </c:pt>
                <c:pt idx="38">
                  <c:v>107</c:v>
                </c:pt>
                <c:pt idx="39">
                  <c:v>107</c:v>
                </c:pt>
                <c:pt idx="40">
                  <c:v>107</c:v>
                </c:pt>
                <c:pt idx="41">
                  <c:v>107</c:v>
                </c:pt>
              </c:numCache>
            </c:numRef>
          </c:val>
          <c:extLst>
            <c:ext xmlns:c16="http://schemas.microsoft.com/office/drawing/2014/chart" uri="{C3380CC4-5D6E-409C-BE32-E72D297353CC}">
              <c16:uniqueId val="{0000000F-30D4-4A37-89B6-B381321CCAD9}"/>
            </c:ext>
          </c:extLst>
        </c:ser>
        <c:ser>
          <c:idx val="16"/>
          <c:order val="16"/>
          <c:tx>
            <c:strRef>
              <c:f>'Auto Correct IAP'!$R$1</c:f>
              <c:strCache>
                <c:ptCount val="1"/>
                <c:pt idx="0">
                  <c:v>16</c:v>
                </c:pt>
              </c:strCache>
            </c:strRef>
          </c:tx>
          <c:spPr>
            <a:solidFill>
              <a:schemeClr val="accent4">
                <a:shade val="61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IAP'!$R$2:$R$43</c:f>
              <c:numCache>
                <c:formatCode>0.0</c:formatCode>
                <c:ptCount val="42"/>
                <c:pt idx="0">
                  <c:v>108</c:v>
                </c:pt>
                <c:pt idx="1">
                  <c:v>108</c:v>
                </c:pt>
                <c:pt idx="2">
                  <c:v>101</c:v>
                </c:pt>
                <c:pt idx="3">
                  <c:v>93</c:v>
                </c:pt>
                <c:pt idx="4">
                  <c:v>92</c:v>
                </c:pt>
                <c:pt idx="5">
                  <c:v>94</c:v>
                </c:pt>
                <c:pt idx="6">
                  <c:v>97</c:v>
                </c:pt>
                <c:pt idx="7">
                  <c:v>97</c:v>
                </c:pt>
                <c:pt idx="8">
                  <c:v>94</c:v>
                </c:pt>
                <c:pt idx="9">
                  <c:v>92</c:v>
                </c:pt>
                <c:pt idx="10">
                  <c:v>92</c:v>
                </c:pt>
                <c:pt idx="11">
                  <c:v>94</c:v>
                </c:pt>
                <c:pt idx="12">
                  <c:v>97</c:v>
                </c:pt>
                <c:pt idx="13">
                  <c:v>104</c:v>
                </c:pt>
                <c:pt idx="14">
                  <c:v>109</c:v>
                </c:pt>
                <c:pt idx="15">
                  <c:v>113</c:v>
                </c:pt>
                <c:pt idx="16">
                  <c:v>117</c:v>
                </c:pt>
                <c:pt idx="17">
                  <c:v>118</c:v>
                </c:pt>
                <c:pt idx="18">
                  <c:v>118</c:v>
                </c:pt>
                <c:pt idx="19">
                  <c:v>114</c:v>
                </c:pt>
                <c:pt idx="20">
                  <c:v>109</c:v>
                </c:pt>
                <c:pt idx="21">
                  <c:v>107</c:v>
                </c:pt>
                <c:pt idx="22">
                  <c:v>106</c:v>
                </c:pt>
                <c:pt idx="23">
                  <c:v>108</c:v>
                </c:pt>
                <c:pt idx="24">
                  <c:v>112</c:v>
                </c:pt>
                <c:pt idx="25">
                  <c:v>112</c:v>
                </c:pt>
                <c:pt idx="26">
                  <c:v>113</c:v>
                </c:pt>
                <c:pt idx="27">
                  <c:v>113</c:v>
                </c:pt>
                <c:pt idx="28">
                  <c:v>113</c:v>
                </c:pt>
                <c:pt idx="29">
                  <c:v>114</c:v>
                </c:pt>
                <c:pt idx="30">
                  <c:v>114</c:v>
                </c:pt>
                <c:pt idx="31">
                  <c:v>114</c:v>
                </c:pt>
                <c:pt idx="32">
                  <c:v>114</c:v>
                </c:pt>
                <c:pt idx="33">
                  <c:v>113</c:v>
                </c:pt>
                <c:pt idx="34">
                  <c:v>109</c:v>
                </c:pt>
                <c:pt idx="35">
                  <c:v>109</c:v>
                </c:pt>
                <c:pt idx="36">
                  <c:v>109</c:v>
                </c:pt>
                <c:pt idx="37">
                  <c:v>109</c:v>
                </c:pt>
                <c:pt idx="38">
                  <c:v>109</c:v>
                </c:pt>
                <c:pt idx="39">
                  <c:v>109</c:v>
                </c:pt>
                <c:pt idx="40">
                  <c:v>109</c:v>
                </c:pt>
                <c:pt idx="41">
                  <c:v>109</c:v>
                </c:pt>
              </c:numCache>
            </c:numRef>
          </c:val>
          <c:extLst>
            <c:ext xmlns:c16="http://schemas.microsoft.com/office/drawing/2014/chart" uri="{C3380CC4-5D6E-409C-BE32-E72D297353CC}">
              <c16:uniqueId val="{00000010-30D4-4A37-89B6-B381321CCAD9}"/>
            </c:ext>
          </c:extLst>
        </c:ser>
        <c:ser>
          <c:idx val="17"/>
          <c:order val="17"/>
          <c:tx>
            <c:strRef>
              <c:f>'Auto Correct IAP'!$S$1</c:f>
              <c:strCache>
                <c:ptCount val="1"/>
                <c:pt idx="0">
                  <c:v>12</c:v>
                </c:pt>
              </c:strCache>
            </c:strRef>
          </c:tx>
          <c:spPr>
            <a:solidFill>
              <a:schemeClr val="accent4">
                <a:shade val="55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IAP'!$S$2:$S$43</c:f>
              <c:numCache>
                <c:formatCode>0.0</c:formatCode>
                <c:ptCount val="42"/>
                <c:pt idx="0">
                  <c:v>117</c:v>
                </c:pt>
                <c:pt idx="1">
                  <c:v>117</c:v>
                </c:pt>
                <c:pt idx="2">
                  <c:v>113</c:v>
                </c:pt>
                <c:pt idx="3">
                  <c:v>99</c:v>
                </c:pt>
                <c:pt idx="4">
                  <c:v>98</c:v>
                </c:pt>
                <c:pt idx="5">
                  <c:v>102</c:v>
                </c:pt>
                <c:pt idx="6">
                  <c:v>107</c:v>
                </c:pt>
                <c:pt idx="7">
                  <c:v>103</c:v>
                </c:pt>
                <c:pt idx="8">
                  <c:v>96</c:v>
                </c:pt>
                <c:pt idx="9">
                  <c:v>94</c:v>
                </c:pt>
                <c:pt idx="10">
                  <c:v>96</c:v>
                </c:pt>
                <c:pt idx="11">
                  <c:v>101</c:v>
                </c:pt>
                <c:pt idx="12">
                  <c:v>107</c:v>
                </c:pt>
                <c:pt idx="13">
                  <c:v>113</c:v>
                </c:pt>
                <c:pt idx="14">
                  <c:v>119</c:v>
                </c:pt>
                <c:pt idx="15">
                  <c:v>124</c:v>
                </c:pt>
                <c:pt idx="16">
                  <c:v>129</c:v>
                </c:pt>
                <c:pt idx="17">
                  <c:v>129</c:v>
                </c:pt>
                <c:pt idx="18">
                  <c:v>128</c:v>
                </c:pt>
                <c:pt idx="19">
                  <c:v>123</c:v>
                </c:pt>
                <c:pt idx="20">
                  <c:v>119</c:v>
                </c:pt>
                <c:pt idx="21">
                  <c:v>116</c:v>
                </c:pt>
                <c:pt idx="22">
                  <c:v>113</c:v>
                </c:pt>
                <c:pt idx="23">
                  <c:v>117</c:v>
                </c:pt>
                <c:pt idx="24">
                  <c:v>122</c:v>
                </c:pt>
                <c:pt idx="25">
                  <c:v>123</c:v>
                </c:pt>
                <c:pt idx="26">
                  <c:v>124</c:v>
                </c:pt>
                <c:pt idx="27">
                  <c:v>124</c:v>
                </c:pt>
                <c:pt idx="28">
                  <c:v>124</c:v>
                </c:pt>
                <c:pt idx="29">
                  <c:v>126</c:v>
                </c:pt>
                <c:pt idx="30">
                  <c:v>128</c:v>
                </c:pt>
                <c:pt idx="31">
                  <c:v>128</c:v>
                </c:pt>
                <c:pt idx="32">
                  <c:v>128</c:v>
                </c:pt>
                <c:pt idx="33">
                  <c:v>124</c:v>
                </c:pt>
                <c:pt idx="34">
                  <c:v>119</c:v>
                </c:pt>
                <c:pt idx="35">
                  <c:v>119</c:v>
                </c:pt>
                <c:pt idx="36">
                  <c:v>122</c:v>
                </c:pt>
                <c:pt idx="37">
                  <c:v>122</c:v>
                </c:pt>
                <c:pt idx="38">
                  <c:v>122</c:v>
                </c:pt>
                <c:pt idx="39">
                  <c:v>122</c:v>
                </c:pt>
                <c:pt idx="40">
                  <c:v>122</c:v>
                </c:pt>
                <c:pt idx="41">
                  <c:v>122</c:v>
                </c:pt>
              </c:numCache>
            </c:numRef>
          </c:val>
          <c:extLst>
            <c:ext xmlns:c16="http://schemas.microsoft.com/office/drawing/2014/chart" uri="{C3380CC4-5D6E-409C-BE32-E72D297353CC}">
              <c16:uniqueId val="{00000011-30D4-4A37-89B6-B381321CCAD9}"/>
            </c:ext>
          </c:extLst>
        </c:ser>
        <c:ser>
          <c:idx val="18"/>
          <c:order val="18"/>
          <c:tx>
            <c:strRef>
              <c:f>'Auto Correct IAP'!$T$1</c:f>
              <c:strCache>
                <c:ptCount val="1"/>
                <c:pt idx="0">
                  <c:v>8</c:v>
                </c:pt>
              </c:strCache>
            </c:strRef>
          </c:tx>
          <c:spPr>
            <a:solidFill>
              <a:schemeClr val="accent4">
                <a:shade val="49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IAP'!$T$2:$T$43</c:f>
              <c:numCache>
                <c:formatCode>0.0</c:formatCode>
                <c:ptCount val="42"/>
                <c:pt idx="0">
                  <c:v>128</c:v>
                </c:pt>
                <c:pt idx="1">
                  <c:v>128</c:v>
                </c:pt>
                <c:pt idx="2">
                  <c:v>125</c:v>
                </c:pt>
                <c:pt idx="3">
                  <c:v>114</c:v>
                </c:pt>
                <c:pt idx="4">
                  <c:v>112</c:v>
                </c:pt>
                <c:pt idx="5">
                  <c:v>113</c:v>
                </c:pt>
                <c:pt idx="6">
                  <c:v>122</c:v>
                </c:pt>
                <c:pt idx="7">
                  <c:v>117</c:v>
                </c:pt>
                <c:pt idx="8">
                  <c:v>108</c:v>
                </c:pt>
                <c:pt idx="9">
                  <c:v>106</c:v>
                </c:pt>
                <c:pt idx="10">
                  <c:v>106</c:v>
                </c:pt>
                <c:pt idx="11">
                  <c:v>112</c:v>
                </c:pt>
                <c:pt idx="12">
                  <c:v>120</c:v>
                </c:pt>
                <c:pt idx="13">
                  <c:v>126</c:v>
                </c:pt>
                <c:pt idx="14">
                  <c:v>134</c:v>
                </c:pt>
                <c:pt idx="15">
                  <c:v>139</c:v>
                </c:pt>
                <c:pt idx="16">
                  <c:v>143</c:v>
                </c:pt>
                <c:pt idx="17">
                  <c:v>143</c:v>
                </c:pt>
                <c:pt idx="18">
                  <c:v>142</c:v>
                </c:pt>
                <c:pt idx="19">
                  <c:v>140</c:v>
                </c:pt>
                <c:pt idx="20">
                  <c:v>138</c:v>
                </c:pt>
                <c:pt idx="21">
                  <c:v>136</c:v>
                </c:pt>
                <c:pt idx="22">
                  <c:v>136</c:v>
                </c:pt>
                <c:pt idx="23">
                  <c:v>136</c:v>
                </c:pt>
                <c:pt idx="24">
                  <c:v>139</c:v>
                </c:pt>
                <c:pt idx="25">
                  <c:v>142</c:v>
                </c:pt>
                <c:pt idx="26">
                  <c:v>146</c:v>
                </c:pt>
                <c:pt idx="27">
                  <c:v>148</c:v>
                </c:pt>
                <c:pt idx="28">
                  <c:v>146</c:v>
                </c:pt>
                <c:pt idx="29">
                  <c:v>147</c:v>
                </c:pt>
                <c:pt idx="30">
                  <c:v>156</c:v>
                </c:pt>
                <c:pt idx="31">
                  <c:v>158</c:v>
                </c:pt>
                <c:pt idx="32">
                  <c:v>152</c:v>
                </c:pt>
                <c:pt idx="33">
                  <c:v>150</c:v>
                </c:pt>
                <c:pt idx="34">
                  <c:v>148</c:v>
                </c:pt>
                <c:pt idx="35">
                  <c:v>147</c:v>
                </c:pt>
                <c:pt idx="36">
                  <c:v>147</c:v>
                </c:pt>
                <c:pt idx="37">
                  <c:v>147</c:v>
                </c:pt>
                <c:pt idx="38">
                  <c:v>147</c:v>
                </c:pt>
                <c:pt idx="39">
                  <c:v>147</c:v>
                </c:pt>
                <c:pt idx="40">
                  <c:v>147</c:v>
                </c:pt>
                <c:pt idx="41">
                  <c:v>147</c:v>
                </c:pt>
              </c:numCache>
            </c:numRef>
          </c:val>
          <c:extLst>
            <c:ext xmlns:c16="http://schemas.microsoft.com/office/drawing/2014/chart" uri="{C3380CC4-5D6E-409C-BE32-E72D297353CC}">
              <c16:uniqueId val="{00000012-30D4-4A37-89B6-B381321CCAD9}"/>
            </c:ext>
          </c:extLst>
        </c:ser>
        <c:ser>
          <c:idx val="19"/>
          <c:order val="19"/>
          <c:tx>
            <c:strRef>
              <c:f>'Auto Correct IAP'!$U$1</c:f>
              <c:strCache>
                <c:ptCount val="1"/>
                <c:pt idx="0">
                  <c:v>4</c:v>
                </c:pt>
              </c:strCache>
            </c:strRef>
          </c:tx>
          <c:spPr>
            <a:solidFill>
              <a:schemeClr val="accent4">
                <a:shade val="42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IAP'!$U$2:$U$43</c:f>
              <c:numCache>
                <c:formatCode>0.0</c:formatCode>
                <c:ptCount val="42"/>
                <c:pt idx="0">
                  <c:v>155</c:v>
                </c:pt>
                <c:pt idx="1">
                  <c:v>155</c:v>
                </c:pt>
                <c:pt idx="2">
                  <c:v>150</c:v>
                </c:pt>
                <c:pt idx="3">
                  <c:v>143</c:v>
                </c:pt>
                <c:pt idx="4">
                  <c:v>145</c:v>
                </c:pt>
                <c:pt idx="5">
                  <c:v>149</c:v>
                </c:pt>
                <c:pt idx="6">
                  <c:v>152</c:v>
                </c:pt>
                <c:pt idx="7">
                  <c:v>143</c:v>
                </c:pt>
                <c:pt idx="8">
                  <c:v>132</c:v>
                </c:pt>
                <c:pt idx="9">
                  <c:v>130</c:v>
                </c:pt>
                <c:pt idx="10">
                  <c:v>132</c:v>
                </c:pt>
                <c:pt idx="11">
                  <c:v>140</c:v>
                </c:pt>
                <c:pt idx="12">
                  <c:v>162</c:v>
                </c:pt>
                <c:pt idx="13">
                  <c:v>172</c:v>
                </c:pt>
                <c:pt idx="14">
                  <c:v>178</c:v>
                </c:pt>
                <c:pt idx="15">
                  <c:v>178</c:v>
                </c:pt>
                <c:pt idx="16">
                  <c:v>176</c:v>
                </c:pt>
                <c:pt idx="17">
                  <c:v>172</c:v>
                </c:pt>
                <c:pt idx="18">
                  <c:v>170</c:v>
                </c:pt>
                <c:pt idx="19">
                  <c:v>170</c:v>
                </c:pt>
                <c:pt idx="20">
                  <c:v>172</c:v>
                </c:pt>
                <c:pt idx="21">
                  <c:v>175</c:v>
                </c:pt>
                <c:pt idx="22">
                  <c:v>177</c:v>
                </c:pt>
                <c:pt idx="23">
                  <c:v>183</c:v>
                </c:pt>
                <c:pt idx="24">
                  <c:v>190</c:v>
                </c:pt>
                <c:pt idx="25">
                  <c:v>196</c:v>
                </c:pt>
                <c:pt idx="26">
                  <c:v>205</c:v>
                </c:pt>
                <c:pt idx="27">
                  <c:v>214</c:v>
                </c:pt>
                <c:pt idx="28">
                  <c:v>215</c:v>
                </c:pt>
                <c:pt idx="29">
                  <c:v>216</c:v>
                </c:pt>
                <c:pt idx="30">
                  <c:v>216</c:v>
                </c:pt>
                <c:pt idx="31">
                  <c:v>215</c:v>
                </c:pt>
                <c:pt idx="32">
                  <c:v>212</c:v>
                </c:pt>
                <c:pt idx="33">
                  <c:v>211</c:v>
                </c:pt>
                <c:pt idx="34">
                  <c:v>212</c:v>
                </c:pt>
                <c:pt idx="35">
                  <c:v>206</c:v>
                </c:pt>
                <c:pt idx="36">
                  <c:v>202</c:v>
                </c:pt>
                <c:pt idx="37">
                  <c:v>200</c:v>
                </c:pt>
                <c:pt idx="38">
                  <c:v>196</c:v>
                </c:pt>
                <c:pt idx="39">
                  <c:v>196</c:v>
                </c:pt>
                <c:pt idx="40">
                  <c:v>196</c:v>
                </c:pt>
                <c:pt idx="41">
                  <c:v>263.30213243546581</c:v>
                </c:pt>
              </c:numCache>
            </c:numRef>
          </c:val>
          <c:extLst>
            <c:ext xmlns:c16="http://schemas.microsoft.com/office/drawing/2014/chart" uri="{C3380CC4-5D6E-409C-BE32-E72D297353CC}">
              <c16:uniqueId val="{00000013-30D4-4A37-89B6-B381321CCAD9}"/>
            </c:ext>
          </c:extLst>
        </c:ser>
        <c:ser>
          <c:idx val="20"/>
          <c:order val="20"/>
          <c:tx>
            <c:strRef>
              <c:f>'Auto Correct IAP'!$V$1</c:f>
              <c:strCache>
                <c:ptCount val="1"/>
                <c:pt idx="0">
                  <c:v>0</c:v>
                </c:pt>
              </c:strCache>
            </c:strRef>
          </c:tx>
          <c:spPr>
            <a:solidFill>
              <a:schemeClr val="accent4">
                <a:shade val="36000"/>
              </a:schemeClr>
            </a:solidFill>
            <a:ln/>
            <a:effectLst>
              <a:outerShdw blurRad="57150" dist="19050" dir="5400000" algn="ctr" rotWithShape="0">
                <a:srgbClr val="000000">
                  <a:alpha val="63000"/>
                </a:srgbClr>
              </a:outerShdw>
            </a:effectLst>
            <a:sp3d/>
          </c:spPr>
          <c:cat>
            <c:numRef>
              <c:f>'Auto Correct IAP'!$A$2:$A$43</c:f>
              <c:numCache>
                <c:formatCode>General</c:formatCode>
                <c:ptCount val="42"/>
                <c:pt idx="0">
                  <c:v>800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5600</c:v>
                </c:pt>
                <c:pt idx="24">
                  <c:v>6000</c:v>
                </c:pt>
                <c:pt idx="25">
                  <c:v>6400</c:v>
                </c:pt>
                <c:pt idx="26">
                  <c:v>6800</c:v>
                </c:pt>
                <c:pt idx="27">
                  <c:v>7200</c:v>
                </c:pt>
                <c:pt idx="28">
                  <c:v>7600</c:v>
                </c:pt>
                <c:pt idx="29">
                  <c:v>8000</c:v>
                </c:pt>
                <c:pt idx="30">
                  <c:v>8400</c:v>
                </c:pt>
                <c:pt idx="31">
                  <c:v>8800</c:v>
                </c:pt>
                <c:pt idx="32">
                  <c:v>9200</c:v>
                </c:pt>
                <c:pt idx="33">
                  <c:v>9600</c:v>
                </c:pt>
                <c:pt idx="34">
                  <c:v>10000</c:v>
                </c:pt>
                <c:pt idx="35">
                  <c:v>10400</c:v>
                </c:pt>
                <c:pt idx="36">
                  <c:v>10800</c:v>
                </c:pt>
                <c:pt idx="37">
                  <c:v>11200</c:v>
                </c:pt>
                <c:pt idx="38">
                  <c:v>11600</c:v>
                </c:pt>
                <c:pt idx="39">
                  <c:v>12000</c:v>
                </c:pt>
                <c:pt idx="40">
                  <c:v>12400</c:v>
                </c:pt>
                <c:pt idx="41">
                  <c:v>12800</c:v>
                </c:pt>
              </c:numCache>
            </c:numRef>
          </c:cat>
          <c:val>
            <c:numRef>
              <c:f>'Auto Correct IAP'!$V$2:$V$43</c:f>
              <c:numCache>
                <c:formatCode>0.0</c:formatCode>
                <c:ptCount val="42"/>
                <c:pt idx="0">
                  <c:v>166</c:v>
                </c:pt>
                <c:pt idx="1">
                  <c:v>166</c:v>
                </c:pt>
                <c:pt idx="2">
                  <c:v>156</c:v>
                </c:pt>
                <c:pt idx="3">
                  <c:v>153</c:v>
                </c:pt>
                <c:pt idx="4">
                  <c:v>155</c:v>
                </c:pt>
                <c:pt idx="5">
                  <c:v>164</c:v>
                </c:pt>
                <c:pt idx="6">
                  <c:v>163</c:v>
                </c:pt>
                <c:pt idx="7">
                  <c:v>166</c:v>
                </c:pt>
                <c:pt idx="8">
                  <c:v>171</c:v>
                </c:pt>
                <c:pt idx="9">
                  <c:v>176</c:v>
                </c:pt>
                <c:pt idx="10">
                  <c:v>183</c:v>
                </c:pt>
                <c:pt idx="11">
                  <c:v>189</c:v>
                </c:pt>
                <c:pt idx="12">
                  <c:v>194</c:v>
                </c:pt>
                <c:pt idx="13">
                  <c:v>196</c:v>
                </c:pt>
                <c:pt idx="14">
                  <c:v>198</c:v>
                </c:pt>
                <c:pt idx="15">
                  <c:v>204</c:v>
                </c:pt>
                <c:pt idx="16">
                  <c:v>208</c:v>
                </c:pt>
                <c:pt idx="17">
                  <c:v>208</c:v>
                </c:pt>
                <c:pt idx="18">
                  <c:v>208</c:v>
                </c:pt>
                <c:pt idx="19">
                  <c:v>204</c:v>
                </c:pt>
                <c:pt idx="20">
                  <c:v>202</c:v>
                </c:pt>
                <c:pt idx="21">
                  <c:v>202</c:v>
                </c:pt>
                <c:pt idx="22">
                  <c:v>202</c:v>
                </c:pt>
                <c:pt idx="23">
                  <c:v>206</c:v>
                </c:pt>
                <c:pt idx="24">
                  <c:v>214</c:v>
                </c:pt>
                <c:pt idx="25">
                  <c:v>218</c:v>
                </c:pt>
                <c:pt idx="26">
                  <c:v>226</c:v>
                </c:pt>
                <c:pt idx="27">
                  <c:v>236</c:v>
                </c:pt>
                <c:pt idx="28">
                  <c:v>239</c:v>
                </c:pt>
                <c:pt idx="29">
                  <c:v>243</c:v>
                </c:pt>
                <c:pt idx="30">
                  <c:v>243</c:v>
                </c:pt>
                <c:pt idx="31">
                  <c:v>245</c:v>
                </c:pt>
                <c:pt idx="32">
                  <c:v>243</c:v>
                </c:pt>
                <c:pt idx="33">
                  <c:v>240</c:v>
                </c:pt>
                <c:pt idx="34">
                  <c:v>243</c:v>
                </c:pt>
                <c:pt idx="35">
                  <c:v>239</c:v>
                </c:pt>
                <c:pt idx="36">
                  <c:v>236</c:v>
                </c:pt>
                <c:pt idx="37">
                  <c:v>231</c:v>
                </c:pt>
                <c:pt idx="38">
                  <c:v>228</c:v>
                </c:pt>
                <c:pt idx="39">
                  <c:v>222</c:v>
                </c:pt>
                <c:pt idx="40">
                  <c:v>222</c:v>
                </c:pt>
                <c:pt idx="41">
                  <c:v>222</c:v>
                </c:pt>
              </c:numCache>
            </c:numRef>
          </c:val>
          <c:extLst>
            <c:ext xmlns:c16="http://schemas.microsoft.com/office/drawing/2014/chart" uri="{C3380CC4-5D6E-409C-BE32-E72D297353CC}">
              <c16:uniqueId val="{00000014-30D4-4A37-89B6-B381321CCAD9}"/>
            </c:ext>
          </c:extLst>
        </c:ser>
        <c:bandFmts>
          <c:bandFmt>
            <c:idx val="0"/>
            <c:spPr>
              <a:solidFill>
                <a:schemeClr val="accent4">
                  <a:tint val="50000"/>
                </a:schemeClr>
              </a:solidFill>
              <a:ln/>
              <a:effectLst>
                <a:outerShdw blurRad="57150" dist="19050" dir="5400000" algn="ctr" rotWithShape="0">
                  <a:srgbClr val="000000">
                    <a:alpha val="63000"/>
                  </a:srgbClr>
                </a:outerShdw>
              </a:effectLst>
              <a:sp3d/>
            </c:spPr>
          </c:bandFmt>
          <c:bandFmt>
            <c:idx val="1"/>
            <c:spPr>
              <a:solidFill>
                <a:schemeClr val="accent4">
                  <a:tint val="70000"/>
                </a:schemeClr>
              </a:solidFill>
              <a:ln/>
              <a:effectLst>
                <a:outerShdw blurRad="57150" dist="19050" dir="5400000" algn="ctr" rotWithShape="0">
                  <a:srgbClr val="000000">
                    <a:alpha val="63000"/>
                  </a:srgbClr>
                </a:outerShdw>
              </a:effectLst>
              <a:sp3d/>
            </c:spPr>
          </c:bandFmt>
          <c:bandFmt>
            <c:idx val="2"/>
            <c:spPr>
              <a:solidFill>
                <a:schemeClr val="accent4">
                  <a:tint val="90000"/>
                </a:schemeClr>
              </a:solidFill>
              <a:ln/>
              <a:effectLst>
                <a:outerShdw blurRad="57150" dist="19050" dir="5400000" algn="ctr" rotWithShape="0">
                  <a:srgbClr val="000000">
                    <a:alpha val="63000"/>
                  </a:srgbClr>
                </a:outerShdw>
              </a:effectLst>
              <a:sp3d/>
            </c:spPr>
          </c:bandFmt>
          <c:bandFmt>
            <c:idx val="3"/>
            <c:spPr>
              <a:solidFill>
                <a:schemeClr val="accent4">
                  <a:shade val="90000"/>
                </a:schemeClr>
              </a:solidFill>
              <a:ln/>
              <a:effectLst>
                <a:outerShdw blurRad="57150" dist="19050" dir="5400000" algn="ctr" rotWithShape="0">
                  <a:srgbClr val="000000">
                    <a:alpha val="63000"/>
                  </a:srgbClr>
                </a:outerShdw>
              </a:effectLst>
              <a:sp3d/>
            </c:spPr>
          </c:bandFmt>
          <c:bandFmt>
            <c:idx val="4"/>
            <c:spPr>
              <a:solidFill>
                <a:schemeClr val="accent4">
                  <a:shade val="70000"/>
                </a:schemeClr>
              </a:solidFill>
              <a:ln/>
              <a:effectLst>
                <a:outerShdw blurRad="57150" dist="19050" dir="5400000" algn="ctr" rotWithShape="0">
                  <a:srgbClr val="000000">
                    <a:alpha val="63000"/>
                  </a:srgbClr>
                </a:outerShdw>
              </a:effectLst>
              <a:sp3d/>
            </c:spPr>
          </c:bandFmt>
          <c:bandFmt>
            <c:idx val="5"/>
            <c:spPr>
              <a:solidFill>
                <a:schemeClr val="accent4">
                  <a:shade val="50000"/>
                </a:schemeClr>
              </a:solidFill>
              <a:ln/>
              <a:effectLst>
                <a:outerShdw blurRad="57150" dist="19050" dir="5400000" algn="ctr" rotWithShape="0">
                  <a:srgbClr val="000000">
                    <a:alpha val="63000"/>
                  </a:srgbClr>
                </a:outerShdw>
              </a:effectLst>
              <a:sp3d/>
            </c:spPr>
          </c:bandFmt>
          <c:bandFmt>
            <c:idx val="6"/>
            <c:spPr>
              <a:solidFill>
                <a:schemeClr val="accent4">
                  <a:shade val="50000"/>
                </a:schemeClr>
              </a:solidFill>
              <a:ln/>
              <a:effectLst>
                <a:outerShdw blurRad="57150" dist="19050" dir="5400000" algn="ctr" rotWithShape="0">
                  <a:srgbClr val="000000">
                    <a:alpha val="63000"/>
                  </a:srgbClr>
                </a:outerShdw>
              </a:effectLst>
              <a:sp3d/>
            </c:spPr>
          </c:bandFmt>
          <c:bandFmt>
            <c:idx val="7"/>
            <c:spPr>
              <a:solidFill>
                <a:schemeClr val="accent4">
                  <a:shade val="50000"/>
                </a:schemeClr>
              </a:solidFill>
              <a:ln/>
              <a:effectLst>
                <a:outerShdw blurRad="57150" dist="19050" dir="5400000" algn="ctr" rotWithShape="0">
                  <a:srgbClr val="000000">
                    <a:alpha val="63000"/>
                  </a:srgbClr>
                </a:outerShdw>
              </a:effectLst>
              <a:sp3d/>
            </c:spPr>
          </c:bandFmt>
          <c:bandFmt>
            <c:idx val="8"/>
            <c:spPr>
              <a:solidFill>
                <a:schemeClr val="accent4">
                  <a:shade val="50000"/>
                </a:schemeClr>
              </a:solidFill>
              <a:ln/>
              <a:effectLst>
                <a:outerShdw blurRad="57150" dist="19050" dir="5400000" algn="ctr" rotWithShape="0">
                  <a:srgbClr val="000000">
                    <a:alpha val="63000"/>
                  </a:srgbClr>
                </a:outerShdw>
              </a:effectLst>
              <a:sp3d/>
            </c:spPr>
          </c:bandFmt>
          <c:bandFmt>
            <c:idx val="9"/>
            <c:spPr>
              <a:solidFill>
                <a:schemeClr val="accent4">
                  <a:shade val="50000"/>
                </a:schemeClr>
              </a:solidFill>
              <a:ln/>
              <a:effectLst>
                <a:outerShdw blurRad="57150" dist="19050" dir="5400000" algn="ctr" rotWithShape="0">
                  <a:srgbClr val="000000">
                    <a:alpha val="63000"/>
                  </a:srgbClr>
                </a:outerShdw>
              </a:effectLst>
              <a:sp3d/>
            </c:spPr>
          </c:bandFmt>
          <c:bandFmt>
            <c:idx val="10"/>
            <c:spPr>
              <a:solidFill>
                <a:schemeClr val="accent4">
                  <a:shade val="50000"/>
                </a:schemeClr>
              </a:solidFill>
              <a:ln/>
              <a:effectLst>
                <a:outerShdw blurRad="57150" dist="19050" dir="5400000" algn="ctr" rotWithShape="0">
                  <a:srgbClr val="000000">
                    <a:alpha val="63000"/>
                  </a:srgbClr>
                </a:outerShdw>
              </a:effectLst>
              <a:sp3d/>
            </c:spPr>
          </c:bandFmt>
          <c:bandFmt>
            <c:idx val="11"/>
            <c:spPr>
              <a:solidFill>
                <a:schemeClr val="accent4">
                  <a:shade val="50000"/>
                </a:schemeClr>
              </a:solidFill>
              <a:ln/>
              <a:effectLst>
                <a:outerShdw blurRad="57150" dist="19050" dir="5400000" algn="ctr" rotWithShape="0">
                  <a:srgbClr val="000000">
                    <a:alpha val="63000"/>
                  </a:srgbClr>
                </a:outerShdw>
              </a:effectLst>
              <a:sp3d/>
            </c:spPr>
          </c:bandFmt>
          <c:bandFmt>
            <c:idx val="12"/>
            <c:spPr>
              <a:solidFill>
                <a:schemeClr val="accent4">
                  <a:shade val="50000"/>
                </a:schemeClr>
              </a:solidFill>
              <a:ln/>
              <a:effectLst>
                <a:outerShdw blurRad="57150" dist="19050" dir="5400000" algn="ctr" rotWithShape="0">
                  <a:srgbClr val="000000">
                    <a:alpha val="63000"/>
                  </a:srgbClr>
                </a:outerShdw>
              </a:effectLst>
              <a:sp3d/>
            </c:spPr>
          </c:bandFmt>
          <c:bandFmt>
            <c:idx val="13"/>
            <c:spPr>
              <a:solidFill>
                <a:schemeClr val="accent4">
                  <a:shade val="50000"/>
                </a:schemeClr>
              </a:solidFill>
              <a:ln/>
              <a:effectLst>
                <a:outerShdw blurRad="57150" dist="19050" dir="5400000" algn="ctr" rotWithShape="0">
                  <a:srgbClr val="000000">
                    <a:alpha val="63000"/>
                  </a:srgbClr>
                </a:outerShdw>
              </a:effectLst>
              <a:sp3d/>
            </c:spPr>
          </c:bandFmt>
          <c:bandFmt>
            <c:idx val="14"/>
            <c:spPr>
              <a:solidFill>
                <a:schemeClr val="accent4">
                  <a:shade val="50000"/>
                </a:schemeClr>
              </a:solidFill>
              <a:ln/>
              <a:effectLst>
                <a:outerShdw blurRad="57150" dist="19050" dir="5400000" algn="ctr" rotWithShape="0">
                  <a:srgbClr val="000000">
                    <a:alpha val="63000"/>
                  </a:srgbClr>
                </a:outerShdw>
              </a:effectLst>
              <a:sp3d/>
            </c:spPr>
          </c:bandFmt>
        </c:bandFmts>
        <c:axId val="351080528"/>
        <c:axId val="351092592"/>
        <c:axId val="238532064"/>
      </c:surface3DChart>
      <c:catAx>
        <c:axId val="351080528"/>
        <c:scaling>
          <c:orientation val="minMax"/>
        </c:scaling>
        <c:delete val="0"/>
        <c:axPos val="b"/>
        <c:majorGridlines>
          <c:spPr>
            <a:ln w="9525" cap="flat" cmpd="sng" algn="ctr">
              <a:solidFill>
                <a:schemeClr val="dk1">
                  <a:lumMod val="50000"/>
                  <a:lumOff val="50000"/>
                </a:schemeClr>
              </a:solidFill>
              <a:prstDash val="solid"/>
              <a:round/>
            </a:ln>
            <a:effectLst/>
          </c:spPr>
        </c:majorGridlines>
        <c:numFmt formatCode="General" sourceLinked="1"/>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92592"/>
        <c:crosses val="autoZero"/>
        <c:auto val="1"/>
        <c:lblAlgn val="ctr"/>
        <c:lblOffset val="100"/>
        <c:noMultiLvlLbl val="0"/>
      </c:catAx>
      <c:valAx>
        <c:axId val="351092592"/>
        <c:scaling>
          <c:orientation val="minMax"/>
        </c:scaling>
        <c:delete val="0"/>
        <c:axPos val="l"/>
        <c:majorGridlines>
          <c:spPr>
            <a:ln w="9525" cap="flat" cmpd="sng" algn="ctr">
              <a:solidFill>
                <a:schemeClr val="dk1">
                  <a:lumMod val="50000"/>
                  <a:lumOff val="50000"/>
                </a:schemeClr>
              </a:solidFill>
              <a:prstDash val="solid"/>
              <a:round/>
            </a:ln>
            <a:effectLst/>
          </c:spPr>
        </c:majorGridlines>
        <c:numFmt formatCode="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80528"/>
        <c:crosses val="autoZero"/>
        <c:crossBetween val="midCat"/>
      </c:valAx>
      <c:serAx>
        <c:axId val="238532064"/>
        <c:scaling>
          <c:orientation val="minMax"/>
        </c:scaling>
        <c:delete val="0"/>
        <c:axPos val="b"/>
        <c:majorGridlines>
          <c:spPr>
            <a:ln w="9525" cap="flat" cmpd="sng" algn="ctr">
              <a:solidFill>
                <a:schemeClr val="dk1">
                  <a:lumMod val="50000"/>
                  <a:lumOff val="50000"/>
                </a:schemeClr>
              </a:solidFill>
              <a:prstDash val="solid"/>
              <a:round/>
            </a:ln>
            <a:effectLst/>
          </c:spPr>
        </c:majorGridlines>
        <c:majorTickMark val="none"/>
        <c:minorTickMark val="none"/>
        <c:tickLblPos val="nextTo"/>
        <c:spPr>
          <a:noFill/>
          <a:ln w="9525" cap="flat" cmpd="sng" algn="ctr">
            <a:solidFill>
              <a:schemeClr val="dk1">
                <a:lumMod val="50000"/>
                <a:lumOff val="50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109259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81099</xdr:colOff>
      <xdr:row>35</xdr:row>
      <xdr:rowOff>29118</xdr:rowOff>
    </xdr:from>
    <xdr:to>
      <xdr:col>1</xdr:col>
      <xdr:colOff>357324</xdr:colOff>
      <xdr:row>38</xdr:row>
      <xdr:rowOff>38643</xdr:rowOff>
    </xdr:to>
    <xdr:sp macro="[0]!StartCode" textlink="">
      <xdr:nvSpPr>
        <xdr:cNvPr id="2" name="Rectangle: Rounded Corners 1">
          <a:extLst>
            <a:ext uri="{FF2B5EF4-FFF2-40B4-BE49-F238E27FC236}">
              <a16:creationId xmlns:a16="http://schemas.microsoft.com/office/drawing/2014/main" id="{985AB2FA-C76E-3BD7-314D-D2E661DC6E24}"/>
            </a:ext>
          </a:extLst>
        </xdr:cNvPr>
        <xdr:cNvSpPr/>
      </xdr:nvSpPr>
      <xdr:spPr>
        <a:xfrm>
          <a:off x="81099" y="4296318"/>
          <a:ext cx="1198245" cy="37528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Start Logging</a:t>
          </a:r>
        </a:p>
      </xdr:txBody>
    </xdr:sp>
    <xdr:clientData/>
  </xdr:twoCellAnchor>
  <xdr:twoCellAnchor>
    <xdr:from>
      <xdr:col>0</xdr:col>
      <xdr:colOff>81099</xdr:colOff>
      <xdr:row>38</xdr:row>
      <xdr:rowOff>118653</xdr:rowOff>
    </xdr:from>
    <xdr:to>
      <xdr:col>1</xdr:col>
      <xdr:colOff>357324</xdr:colOff>
      <xdr:row>42</xdr:row>
      <xdr:rowOff>34832</xdr:rowOff>
    </xdr:to>
    <xdr:sp macro="[0]!StopCode" textlink="">
      <xdr:nvSpPr>
        <xdr:cNvPr id="3" name="Rectangle: Rounded Corners 2">
          <a:extLst>
            <a:ext uri="{FF2B5EF4-FFF2-40B4-BE49-F238E27FC236}">
              <a16:creationId xmlns:a16="http://schemas.microsoft.com/office/drawing/2014/main" id="{A950623B-D0C8-414F-AAAC-0D8214743F5C}"/>
            </a:ext>
          </a:extLst>
        </xdr:cNvPr>
        <xdr:cNvSpPr/>
      </xdr:nvSpPr>
      <xdr:spPr>
        <a:xfrm>
          <a:off x="81099" y="4751613"/>
          <a:ext cx="1198245" cy="40385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Stop Logging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1</xdr:row>
      <xdr:rowOff>53340</xdr:rowOff>
    </xdr:from>
    <xdr:to>
      <xdr:col>3</xdr:col>
      <xdr:colOff>266699</xdr:colOff>
      <xdr:row>3</xdr:row>
      <xdr:rowOff>129540</xdr:rowOff>
    </xdr:to>
    <xdr:sp macro="[0]!analyzeData" textlink="">
      <xdr:nvSpPr>
        <xdr:cNvPr id="2" name="Rounded Rectangle 1">
          <a:extLst>
            <a:ext uri="{FF2B5EF4-FFF2-40B4-BE49-F238E27FC236}">
              <a16:creationId xmlns:a16="http://schemas.microsoft.com/office/drawing/2014/main" id="{00000000-0008-0000-0000-000002000000}"/>
            </a:ext>
          </a:extLst>
        </xdr:cNvPr>
        <xdr:cNvSpPr/>
      </xdr:nvSpPr>
      <xdr:spPr>
        <a:xfrm>
          <a:off x="83820" y="220980"/>
          <a:ext cx="2011679" cy="4114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Import Log</a:t>
          </a:r>
          <a:r>
            <a:rPr lang="en-US" sz="1800" baseline="0"/>
            <a:t> Data</a:t>
          </a:r>
          <a:endParaRPr lang="en-US" sz="1800"/>
        </a:p>
      </xdr:txBody>
    </xdr:sp>
    <xdr:clientData/>
  </xdr:twoCellAnchor>
  <xdr:twoCellAnchor>
    <xdr:from>
      <xdr:col>0</xdr:col>
      <xdr:colOff>91440</xdr:colOff>
      <xdr:row>4</xdr:row>
      <xdr:rowOff>83820</xdr:rowOff>
    </xdr:from>
    <xdr:to>
      <xdr:col>3</xdr:col>
      <xdr:colOff>274319</xdr:colOff>
      <xdr:row>6</xdr:row>
      <xdr:rowOff>160020</xdr:rowOff>
    </xdr:to>
    <xdr:sp macro="[0]!loadMap" textlink="">
      <xdr:nvSpPr>
        <xdr:cNvPr id="3" name="Rounded Rectangle 1">
          <a:extLst>
            <a:ext uri="{FF2B5EF4-FFF2-40B4-BE49-F238E27FC236}">
              <a16:creationId xmlns:a16="http://schemas.microsoft.com/office/drawing/2014/main" id="{88194EFA-85D2-408F-A296-EBB62D789BEF}"/>
            </a:ext>
          </a:extLst>
        </xdr:cNvPr>
        <xdr:cNvSpPr/>
      </xdr:nvSpPr>
      <xdr:spPr>
        <a:xfrm>
          <a:off x="91440" y="762000"/>
          <a:ext cx="2011679" cy="4114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Import Tune</a:t>
          </a:r>
          <a:r>
            <a:rPr lang="en-US" sz="1800" baseline="0"/>
            <a:t> Data</a:t>
          </a:r>
          <a:endParaRPr lang="en-US" sz="18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269874</xdr:colOff>
      <xdr:row>3</xdr:row>
      <xdr:rowOff>73024</xdr:rowOff>
    </xdr:from>
    <xdr:to>
      <xdr:col>35</xdr:col>
      <xdr:colOff>304800</xdr:colOff>
      <xdr:row>43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22</xdr:col>
      <xdr:colOff>209550</xdr:colOff>
      <xdr:row>3</xdr:row>
      <xdr:rowOff>114300</xdr:rowOff>
    </xdr:from>
    <xdr:to>
      <xdr:col>33</xdr:col>
      <xdr:colOff>82549</xdr:colOff>
      <xdr:row>42</xdr:row>
      <xdr:rowOff>165100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304800</xdr:colOff>
      <xdr:row>0</xdr:row>
      <xdr:rowOff>57150</xdr:rowOff>
    </xdr:from>
    <xdr:to>
      <xdr:col>34</xdr:col>
      <xdr:colOff>209550</xdr:colOff>
      <xdr:row>42</xdr:row>
      <xdr:rowOff>101600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22</xdr:col>
      <xdr:colOff>409574</xdr:colOff>
      <xdr:row>0</xdr:row>
      <xdr:rowOff>127000</xdr:rowOff>
    </xdr:from>
    <xdr:to>
      <xdr:col>38</xdr:col>
      <xdr:colOff>152400</xdr:colOff>
      <xdr:row>42</xdr:row>
      <xdr:rowOff>133350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149224</xdr:colOff>
      <xdr:row>0</xdr:row>
      <xdr:rowOff>60324</xdr:rowOff>
    </xdr:from>
    <xdr:to>
      <xdr:col>40</xdr:col>
      <xdr:colOff>101600</xdr:colOff>
      <xdr:row>43</xdr:row>
      <xdr:rowOff>6349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133350</xdr:colOff>
      <xdr:row>0</xdr:row>
      <xdr:rowOff>31750</xdr:rowOff>
    </xdr:from>
    <xdr:to>
      <xdr:col>39</xdr:col>
      <xdr:colOff>444500</xdr:colOff>
      <xdr:row>43</xdr:row>
      <xdr:rowOff>19050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63500</xdr:colOff>
      <xdr:row>0</xdr:row>
      <xdr:rowOff>31750</xdr:rowOff>
    </xdr:from>
    <xdr:to>
      <xdr:col>38</xdr:col>
      <xdr:colOff>450850</xdr:colOff>
      <xdr:row>43</xdr:row>
      <xdr:rowOff>44450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95250</xdr:colOff>
      <xdr:row>0</xdr:row>
      <xdr:rowOff>47624</xdr:rowOff>
    </xdr:from>
    <xdr:to>
      <xdr:col>37</xdr:col>
      <xdr:colOff>533399</xdr:colOff>
      <xdr:row>42</xdr:row>
      <xdr:rowOff>165099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EDD61-30E3-4316-899B-89DE0B1F3792}">
  <sheetPr codeName="Sheet10"/>
  <dimension ref="A1:AY44"/>
  <sheetViews>
    <sheetView zoomScaleNormal="100" workbookViewId="0">
      <selection activeCell="AD2" sqref="AD2:AX2"/>
    </sheetView>
  </sheetViews>
  <sheetFormatPr defaultColWidth="3.44140625" defaultRowHeight="10.050000000000001" customHeight="1" x14ac:dyDescent="0.25"/>
  <cols>
    <col min="1" max="1" width="13.44140625" bestFit="1" customWidth="1"/>
    <col min="2" max="2" width="7.6640625" customWidth="1"/>
    <col min="3" max="3" width="1.44140625" customWidth="1"/>
    <col min="4" max="4" width="4.6640625" style="40" bestFit="1" customWidth="1"/>
    <col min="5" max="27" width="3.88671875" style="40" customWidth="1"/>
    <col min="28" max="28" width="1.21875" style="40" customWidth="1"/>
    <col min="29" max="29" width="4.6640625" style="40" bestFit="1" customWidth="1"/>
    <col min="30" max="50" width="3.88671875" style="40" customWidth="1"/>
    <col min="51" max="51" width="3.109375" customWidth="1"/>
  </cols>
  <sheetData>
    <row r="1" spans="1:51" ht="10.050000000000001" customHeight="1" thickBot="1" x14ac:dyDescent="0.35">
      <c r="A1" s="33" t="s">
        <v>11</v>
      </c>
      <c r="B1" s="28"/>
      <c r="C1" s="28"/>
      <c r="D1" s="47" t="s">
        <v>5</v>
      </c>
      <c r="E1" s="48"/>
      <c r="F1" s="48"/>
      <c r="G1" s="48"/>
      <c r="H1" s="48"/>
      <c r="I1" s="48"/>
      <c r="J1" s="48"/>
      <c r="K1" s="48"/>
      <c r="L1" s="48"/>
      <c r="M1" s="48"/>
      <c r="N1" s="48"/>
      <c r="O1" s="48"/>
      <c r="P1" s="48"/>
      <c r="Q1" s="48"/>
      <c r="R1" s="48"/>
      <c r="S1" s="48"/>
      <c r="T1" s="48"/>
      <c r="U1" s="48"/>
      <c r="V1" s="48"/>
      <c r="W1" s="48"/>
      <c r="X1" s="48"/>
      <c r="Y1" s="48"/>
      <c r="Z1" s="48"/>
      <c r="AA1" s="48"/>
      <c r="AB1" s="48"/>
      <c r="AC1" s="48"/>
      <c r="AD1" s="48"/>
      <c r="AE1" s="48"/>
      <c r="AF1" s="48"/>
      <c r="AG1" s="48"/>
      <c r="AH1" s="48"/>
      <c r="AI1" s="48"/>
      <c r="AJ1" s="48"/>
      <c r="AK1" s="48"/>
      <c r="AL1" s="48"/>
      <c r="AM1" s="48"/>
      <c r="AN1" s="48"/>
      <c r="AO1" s="48"/>
      <c r="AP1" s="48"/>
      <c r="AQ1" s="48"/>
      <c r="AR1" s="48"/>
      <c r="AS1" s="48"/>
      <c r="AT1" s="48"/>
      <c r="AU1" s="48"/>
      <c r="AV1" s="48"/>
      <c r="AW1" s="48"/>
      <c r="AX1" s="49"/>
      <c r="AY1" s="28"/>
    </row>
    <row r="2" spans="1:51" ht="10.050000000000001" customHeight="1" x14ac:dyDescent="0.25">
      <c r="A2" s="54" t="s">
        <v>16</v>
      </c>
      <c r="B2" s="55"/>
      <c r="C2" s="28"/>
      <c r="D2" s="34" t="s">
        <v>0</v>
      </c>
      <c r="E2" s="35">
        <v>0</v>
      </c>
      <c r="F2" s="35">
        <v>0.6</v>
      </c>
      <c r="G2" s="35">
        <v>1.2</v>
      </c>
      <c r="H2" s="35">
        <v>1.9</v>
      </c>
      <c r="I2" s="35">
        <v>2.5</v>
      </c>
      <c r="J2" s="35">
        <v>3.1</v>
      </c>
      <c r="K2" s="35">
        <v>3.7</v>
      </c>
      <c r="L2" s="35">
        <v>4.4000000000000004</v>
      </c>
      <c r="M2" s="35">
        <v>5.6</v>
      </c>
      <c r="N2" s="35">
        <v>6.8</v>
      </c>
      <c r="O2" s="35">
        <v>8.1</v>
      </c>
      <c r="P2" s="35">
        <v>9.3000000000000007</v>
      </c>
      <c r="Q2" s="35">
        <v>10.6</v>
      </c>
      <c r="R2" s="35">
        <v>15.5</v>
      </c>
      <c r="S2" s="35">
        <v>20.5</v>
      </c>
      <c r="T2" s="35">
        <v>25.5</v>
      </c>
      <c r="U2" s="35">
        <v>30.5</v>
      </c>
      <c r="V2" s="35">
        <v>40.4</v>
      </c>
      <c r="W2" s="35">
        <v>50.4</v>
      </c>
      <c r="X2" s="35">
        <v>60.3</v>
      </c>
      <c r="Y2" s="35">
        <v>70.3</v>
      </c>
      <c r="Z2" s="35">
        <v>90.2</v>
      </c>
      <c r="AA2" s="36">
        <v>100</v>
      </c>
      <c r="AB2" s="37"/>
      <c r="AC2" s="34" t="s">
        <v>1</v>
      </c>
      <c r="AD2" s="35">
        <v>120</v>
      </c>
      <c r="AE2" s="35">
        <v>104</v>
      </c>
      <c r="AF2" s="35">
        <v>88</v>
      </c>
      <c r="AG2" s="35">
        <v>72</v>
      </c>
      <c r="AH2" s="35">
        <v>68</v>
      </c>
      <c r="AI2" s="35">
        <v>64</v>
      </c>
      <c r="AJ2" s="35">
        <v>60</v>
      </c>
      <c r="AK2" s="35">
        <v>56</v>
      </c>
      <c r="AL2" s="35">
        <v>52</v>
      </c>
      <c r="AM2" s="35">
        <v>48</v>
      </c>
      <c r="AN2" s="35">
        <v>44</v>
      </c>
      <c r="AO2" s="35">
        <v>40</v>
      </c>
      <c r="AP2" s="35">
        <v>36</v>
      </c>
      <c r="AQ2" s="35">
        <v>32</v>
      </c>
      <c r="AR2" s="35">
        <v>24</v>
      </c>
      <c r="AS2" s="35">
        <v>20</v>
      </c>
      <c r="AT2" s="35">
        <v>16</v>
      </c>
      <c r="AU2" s="35">
        <v>12</v>
      </c>
      <c r="AV2" s="35">
        <v>8</v>
      </c>
      <c r="AW2" s="35">
        <v>4</v>
      </c>
      <c r="AX2" s="36">
        <v>0</v>
      </c>
      <c r="AY2" s="28"/>
    </row>
    <row r="3" spans="1:51" ht="10.050000000000001" customHeight="1" thickBot="1" x14ac:dyDescent="0.3">
      <c r="A3" s="56"/>
      <c r="B3" s="57"/>
      <c r="C3" s="28"/>
      <c r="D3" s="38">
        <v>800</v>
      </c>
      <c r="E3" s="29"/>
      <c r="F3" s="29"/>
      <c r="G3" s="29"/>
      <c r="H3" s="29"/>
      <c r="I3" s="29"/>
      <c r="J3" s="29"/>
      <c r="K3" s="29"/>
      <c r="L3" s="29"/>
      <c r="M3" s="29"/>
      <c r="N3" s="29"/>
      <c r="O3" s="29"/>
      <c r="P3" s="29"/>
      <c r="Q3" s="29"/>
      <c r="R3" s="29"/>
      <c r="S3" s="29"/>
      <c r="T3" s="29"/>
      <c r="U3" s="29"/>
      <c r="V3" s="29"/>
      <c r="W3" s="29"/>
      <c r="X3" s="29"/>
      <c r="Y3" s="29"/>
      <c r="Z3" s="29"/>
      <c r="AA3" s="30"/>
      <c r="AB3" s="37"/>
      <c r="AC3" s="38">
        <v>800</v>
      </c>
      <c r="AD3" s="29"/>
      <c r="AE3" s="29"/>
      <c r="AF3" s="29"/>
      <c r="AG3" s="29"/>
      <c r="AH3" s="29"/>
      <c r="AI3" s="29"/>
      <c r="AJ3" s="29"/>
      <c r="AK3" s="29"/>
      <c r="AL3" s="29"/>
      <c r="AM3" s="29"/>
      <c r="AN3" s="29"/>
      <c r="AO3" s="29"/>
      <c r="AP3" s="29"/>
      <c r="AQ3" s="29"/>
      <c r="AR3" s="29"/>
      <c r="AS3" s="29"/>
      <c r="AT3" s="29"/>
      <c r="AU3" s="29"/>
      <c r="AV3" s="29"/>
      <c r="AW3" s="29"/>
      <c r="AX3" s="30"/>
      <c r="AY3" s="28"/>
    </row>
    <row r="4" spans="1:51" ht="10.050000000000001" customHeight="1" x14ac:dyDescent="0.25">
      <c r="A4" s="41" t="s">
        <v>13</v>
      </c>
      <c r="B4" s="41">
        <v>7</v>
      </c>
      <c r="C4" s="28"/>
      <c r="D4" s="38">
        <v>1000</v>
      </c>
      <c r="E4" s="29"/>
      <c r="F4" s="29"/>
      <c r="G4" s="29"/>
      <c r="H4" s="29"/>
      <c r="I4" s="29"/>
      <c r="J4" s="29"/>
      <c r="K4" s="29"/>
      <c r="L4" s="29"/>
      <c r="M4" s="29"/>
      <c r="N4" s="29"/>
      <c r="O4" s="29"/>
      <c r="P4" s="29"/>
      <c r="Q4" s="29"/>
      <c r="R4" s="29"/>
      <c r="S4" s="29"/>
      <c r="T4" s="29"/>
      <c r="U4" s="29"/>
      <c r="V4" s="29"/>
      <c r="W4" s="29"/>
      <c r="X4" s="29"/>
      <c r="Y4" s="29"/>
      <c r="Z4" s="29"/>
      <c r="AA4" s="30"/>
      <c r="AB4" s="37"/>
      <c r="AC4" s="38">
        <v>1000</v>
      </c>
      <c r="AD4" s="29"/>
      <c r="AE4" s="29"/>
      <c r="AF4" s="29"/>
      <c r="AG4" s="29"/>
      <c r="AH4" s="29"/>
      <c r="AI4" s="29"/>
      <c r="AJ4" s="29"/>
      <c r="AK4" s="29"/>
      <c r="AL4" s="29"/>
      <c r="AM4" s="29"/>
      <c r="AN4" s="29"/>
      <c r="AO4" s="29"/>
      <c r="AP4" s="29"/>
      <c r="AQ4" s="29"/>
      <c r="AR4" s="29"/>
      <c r="AS4" s="29"/>
      <c r="AT4" s="29"/>
      <c r="AU4" s="29"/>
      <c r="AV4" s="29"/>
      <c r="AW4" s="29"/>
      <c r="AX4" s="30"/>
      <c r="AY4" s="28"/>
    </row>
    <row r="5" spans="1:51" ht="10.050000000000001" customHeight="1" thickBot="1" x14ac:dyDescent="0.3">
      <c r="A5" s="42"/>
      <c r="B5" s="42"/>
      <c r="C5" s="28"/>
      <c r="D5" s="38">
        <v>1200</v>
      </c>
      <c r="E5" s="29"/>
      <c r="F5" s="29"/>
      <c r="G5" s="29"/>
      <c r="H5" s="29"/>
      <c r="I5" s="29"/>
      <c r="J5" s="29"/>
      <c r="K5" s="29"/>
      <c r="L5" s="29"/>
      <c r="M5" s="29"/>
      <c r="N5" s="29"/>
      <c r="O5" s="29"/>
      <c r="P5" s="29"/>
      <c r="Q5" s="29"/>
      <c r="R5" s="29"/>
      <c r="S5" s="29"/>
      <c r="T5" s="29"/>
      <c r="U5" s="29"/>
      <c r="V5" s="29"/>
      <c r="W5" s="29"/>
      <c r="X5" s="29"/>
      <c r="Y5" s="29"/>
      <c r="Z5" s="29"/>
      <c r="AA5" s="30"/>
      <c r="AB5" s="37"/>
      <c r="AC5" s="38">
        <v>1200</v>
      </c>
      <c r="AD5" s="29"/>
      <c r="AE5" s="29"/>
      <c r="AF5" s="29"/>
      <c r="AG5" s="29"/>
      <c r="AH5" s="29"/>
      <c r="AI5" s="29"/>
      <c r="AJ5" s="29"/>
      <c r="AK5" s="29"/>
      <c r="AL5" s="29"/>
      <c r="AM5" s="29"/>
      <c r="AN5" s="29"/>
      <c r="AO5" s="29"/>
      <c r="AP5" s="29"/>
      <c r="AQ5" s="29"/>
      <c r="AR5" s="29"/>
      <c r="AS5" s="29"/>
      <c r="AT5" s="29"/>
      <c r="AU5" s="29"/>
      <c r="AV5" s="29"/>
      <c r="AW5" s="29"/>
      <c r="AX5" s="30"/>
      <c r="AY5" s="28"/>
    </row>
    <row r="6" spans="1:51" ht="10.050000000000001" customHeight="1" x14ac:dyDescent="0.25">
      <c r="A6" s="41" t="s">
        <v>3</v>
      </c>
      <c r="B6" s="58" t="s">
        <v>18</v>
      </c>
      <c r="C6" s="28"/>
      <c r="D6" s="38">
        <v>1400</v>
      </c>
      <c r="E6" s="29"/>
      <c r="F6" s="29"/>
      <c r="G6" s="29"/>
      <c r="H6" s="29"/>
      <c r="I6" s="29"/>
      <c r="J6" s="29"/>
      <c r="K6" s="29"/>
      <c r="L6" s="29"/>
      <c r="M6" s="29"/>
      <c r="N6" s="29"/>
      <c r="O6" s="29"/>
      <c r="P6" s="29"/>
      <c r="Q6" s="29"/>
      <c r="R6" s="29"/>
      <c r="S6" s="29"/>
      <c r="T6" s="29"/>
      <c r="U6" s="29"/>
      <c r="V6" s="29"/>
      <c r="W6" s="29"/>
      <c r="X6" s="29"/>
      <c r="Y6" s="29"/>
      <c r="Z6" s="29"/>
      <c r="AA6" s="30"/>
      <c r="AB6" s="37"/>
      <c r="AC6" s="38">
        <v>1400</v>
      </c>
      <c r="AD6" s="29"/>
      <c r="AE6" s="29"/>
      <c r="AF6" s="29"/>
      <c r="AG6" s="29"/>
      <c r="AH6" s="29"/>
      <c r="AI6" s="29"/>
      <c r="AJ6" s="29"/>
      <c r="AK6" s="29"/>
      <c r="AL6" s="29"/>
      <c r="AM6" s="29"/>
      <c r="AN6" s="29"/>
      <c r="AO6" s="29"/>
      <c r="AP6" s="29"/>
      <c r="AQ6" s="29"/>
      <c r="AR6" s="29"/>
      <c r="AS6" s="29"/>
      <c r="AT6" s="29"/>
      <c r="AU6" s="29"/>
      <c r="AV6" s="29"/>
      <c r="AW6" s="29"/>
      <c r="AX6" s="30"/>
      <c r="AY6" s="28"/>
    </row>
    <row r="7" spans="1:51" ht="10.050000000000001" customHeight="1" thickBot="1" x14ac:dyDescent="0.3">
      <c r="A7" s="42"/>
      <c r="B7" s="59"/>
      <c r="C7" s="28"/>
      <c r="D7" s="38">
        <v>1600</v>
      </c>
      <c r="E7" s="29"/>
      <c r="F7" s="29"/>
      <c r="G7" s="29"/>
      <c r="H7" s="29"/>
      <c r="I7" s="29"/>
      <c r="J7" s="29"/>
      <c r="K7" s="29"/>
      <c r="L7" s="29"/>
      <c r="M7" s="29"/>
      <c r="N7" s="29"/>
      <c r="O7" s="29"/>
      <c r="P7" s="29"/>
      <c r="Q7" s="29"/>
      <c r="R7" s="29"/>
      <c r="S7" s="29"/>
      <c r="T7" s="29"/>
      <c r="U7" s="29"/>
      <c r="V7" s="29"/>
      <c r="W7" s="29"/>
      <c r="X7" s="29"/>
      <c r="Y7" s="29"/>
      <c r="Z7" s="29"/>
      <c r="AA7" s="30"/>
      <c r="AB7" s="37"/>
      <c r="AC7" s="38">
        <v>1600</v>
      </c>
      <c r="AD7" s="29"/>
      <c r="AE7" s="29"/>
      <c r="AF7" s="29"/>
      <c r="AG7" s="29"/>
      <c r="AH7" s="29"/>
      <c r="AI7" s="29"/>
      <c r="AJ7" s="29"/>
      <c r="AK7" s="29"/>
      <c r="AL7" s="29"/>
      <c r="AM7" s="29"/>
      <c r="AN7" s="29"/>
      <c r="AO7" s="29"/>
      <c r="AP7" s="29"/>
      <c r="AQ7" s="29"/>
      <c r="AR7" s="29"/>
      <c r="AS7" s="29"/>
      <c r="AT7" s="29"/>
      <c r="AU7" s="29"/>
      <c r="AV7" s="29"/>
      <c r="AW7" s="29"/>
      <c r="AX7" s="30"/>
      <c r="AY7" s="28"/>
    </row>
    <row r="8" spans="1:51" ht="10.050000000000001" customHeight="1" thickBot="1" x14ac:dyDescent="0.3">
      <c r="C8" s="28"/>
      <c r="D8" s="38">
        <v>1800</v>
      </c>
      <c r="E8" s="29"/>
      <c r="F8" s="29"/>
      <c r="G8" s="29"/>
      <c r="H8" s="29"/>
      <c r="I8" s="29"/>
      <c r="J8" s="29"/>
      <c r="K8" s="29"/>
      <c r="L8" s="29"/>
      <c r="M8" s="29"/>
      <c r="N8" s="29"/>
      <c r="O8" s="29"/>
      <c r="P8" s="29"/>
      <c r="Q8" s="29"/>
      <c r="R8" s="29"/>
      <c r="S8" s="29"/>
      <c r="T8" s="29"/>
      <c r="U8" s="29"/>
      <c r="V8" s="29"/>
      <c r="W8" s="29"/>
      <c r="X8" s="29"/>
      <c r="Y8" s="29"/>
      <c r="Z8" s="29"/>
      <c r="AA8" s="30"/>
      <c r="AB8" s="37"/>
      <c r="AC8" s="38">
        <v>1800</v>
      </c>
      <c r="AD8" s="29"/>
      <c r="AE8" s="29"/>
      <c r="AF8" s="29"/>
      <c r="AG8" s="29"/>
      <c r="AH8" s="29"/>
      <c r="AI8" s="29"/>
      <c r="AJ8" s="29"/>
      <c r="AK8" s="29"/>
      <c r="AL8" s="29"/>
      <c r="AM8" s="29"/>
      <c r="AN8" s="29"/>
      <c r="AO8" s="29"/>
      <c r="AP8" s="29"/>
      <c r="AQ8" s="29"/>
      <c r="AR8" s="29"/>
      <c r="AS8" s="29"/>
      <c r="AT8" s="29"/>
      <c r="AU8" s="29"/>
      <c r="AV8" s="29"/>
      <c r="AW8" s="29"/>
      <c r="AX8" s="30"/>
      <c r="AY8" s="28"/>
    </row>
    <row r="9" spans="1:51" ht="10.050000000000001" customHeight="1" x14ac:dyDescent="0.25">
      <c r="A9" s="41" t="s">
        <v>12</v>
      </c>
      <c r="B9" s="58">
        <v>4</v>
      </c>
      <c r="C9" s="28"/>
      <c r="D9" s="38">
        <v>2000</v>
      </c>
      <c r="E9" s="29"/>
      <c r="F9" s="29"/>
      <c r="G9" s="29"/>
      <c r="H9" s="29"/>
      <c r="I9" s="29"/>
      <c r="J9" s="29"/>
      <c r="K9" s="29"/>
      <c r="L9" s="29"/>
      <c r="M9" s="29"/>
      <c r="N9" s="29"/>
      <c r="O9" s="29"/>
      <c r="P9" s="29"/>
      <c r="Q9" s="29"/>
      <c r="R9" s="29"/>
      <c r="S9" s="29"/>
      <c r="T9" s="29"/>
      <c r="U9" s="29"/>
      <c r="V9" s="29"/>
      <c r="W9" s="29"/>
      <c r="X9" s="29"/>
      <c r="Y9" s="29"/>
      <c r="Z9" s="29"/>
      <c r="AA9" s="30"/>
      <c r="AB9" s="37"/>
      <c r="AC9" s="38">
        <v>2000</v>
      </c>
      <c r="AD9" s="29"/>
      <c r="AE9" s="29"/>
      <c r="AF9" s="29"/>
      <c r="AG9" s="29"/>
      <c r="AH9" s="29"/>
      <c r="AI9" s="29"/>
      <c r="AJ9" s="29"/>
      <c r="AK9" s="29"/>
      <c r="AL9" s="29"/>
      <c r="AM9" s="29"/>
      <c r="AN9" s="29"/>
      <c r="AO9" s="29"/>
      <c r="AP9" s="29"/>
      <c r="AQ9" s="29"/>
      <c r="AR9" s="29"/>
      <c r="AS9" s="29"/>
      <c r="AT9" s="29"/>
      <c r="AU9" s="29"/>
      <c r="AV9" s="29"/>
      <c r="AW9" s="29"/>
      <c r="AX9" s="30"/>
      <c r="AY9" s="28"/>
    </row>
    <row r="10" spans="1:51" ht="10.050000000000001" customHeight="1" thickBot="1" x14ac:dyDescent="0.3">
      <c r="A10" s="42"/>
      <c r="B10" s="59"/>
      <c r="C10" s="28"/>
      <c r="D10" s="38">
        <v>2200</v>
      </c>
      <c r="E10" s="29"/>
      <c r="F10" s="29"/>
      <c r="G10" s="29"/>
      <c r="H10" s="29"/>
      <c r="I10" s="29"/>
      <c r="J10" s="29"/>
      <c r="K10" s="29"/>
      <c r="L10" s="29"/>
      <c r="M10" s="29"/>
      <c r="N10" s="29"/>
      <c r="O10" s="29"/>
      <c r="P10" s="29"/>
      <c r="Q10" s="29"/>
      <c r="R10" s="29"/>
      <c r="S10" s="29"/>
      <c r="T10" s="29"/>
      <c r="U10" s="29"/>
      <c r="V10" s="29"/>
      <c r="W10" s="29"/>
      <c r="X10" s="29"/>
      <c r="Y10" s="29"/>
      <c r="Z10" s="29"/>
      <c r="AA10" s="30"/>
      <c r="AB10" s="37"/>
      <c r="AC10" s="38">
        <v>2200</v>
      </c>
      <c r="AD10" s="29"/>
      <c r="AE10" s="29"/>
      <c r="AF10" s="29"/>
      <c r="AG10" s="29"/>
      <c r="AH10" s="29"/>
      <c r="AI10" s="29"/>
      <c r="AJ10" s="29"/>
      <c r="AK10" s="29"/>
      <c r="AL10" s="29"/>
      <c r="AM10" s="29"/>
      <c r="AN10" s="29"/>
      <c r="AO10" s="29"/>
      <c r="AP10" s="29"/>
      <c r="AQ10" s="29"/>
      <c r="AR10" s="29"/>
      <c r="AS10" s="29"/>
      <c r="AT10" s="29"/>
      <c r="AU10" s="29"/>
      <c r="AV10" s="29"/>
      <c r="AW10" s="29"/>
      <c r="AX10" s="30"/>
      <c r="AY10" s="28"/>
    </row>
    <row r="11" spans="1:51" ht="10.050000000000001" customHeight="1" x14ac:dyDescent="0.25">
      <c r="C11" s="28"/>
      <c r="D11" s="38">
        <v>2400</v>
      </c>
      <c r="E11" s="29"/>
      <c r="F11" s="29"/>
      <c r="G11" s="29"/>
      <c r="H11" s="29"/>
      <c r="I11" s="29"/>
      <c r="J11" s="29"/>
      <c r="K11" s="29"/>
      <c r="L11" s="29"/>
      <c r="M11" s="29"/>
      <c r="N11" s="29"/>
      <c r="O11" s="29"/>
      <c r="P11" s="29"/>
      <c r="Q11" s="29"/>
      <c r="R11" s="29"/>
      <c r="S11" s="29"/>
      <c r="T11" s="29"/>
      <c r="U11" s="29"/>
      <c r="V11" s="29"/>
      <c r="W11" s="29"/>
      <c r="X11" s="29"/>
      <c r="Y11" s="29"/>
      <c r="Z11" s="29"/>
      <c r="AA11" s="30"/>
      <c r="AB11" s="37"/>
      <c r="AC11" s="38">
        <v>2400</v>
      </c>
      <c r="AD11" s="29"/>
      <c r="AE11" s="29"/>
      <c r="AF11" s="29"/>
      <c r="AG11" s="29"/>
      <c r="AH11" s="29"/>
      <c r="AI11" s="29"/>
      <c r="AJ11" s="29"/>
      <c r="AK11" s="29"/>
      <c r="AL11" s="29"/>
      <c r="AM11" s="29"/>
      <c r="AN11" s="29"/>
      <c r="AO11" s="29"/>
      <c r="AP11" s="29"/>
      <c r="AQ11" s="29"/>
      <c r="AR11" s="29"/>
      <c r="AS11" s="29"/>
      <c r="AT11" s="29"/>
      <c r="AU11" s="29"/>
      <c r="AV11" s="29"/>
      <c r="AW11" s="29"/>
      <c r="AX11" s="30"/>
      <c r="AY11" s="28"/>
    </row>
    <row r="12" spans="1:51" ht="10.050000000000001" customHeight="1" x14ac:dyDescent="0.25">
      <c r="C12" s="28"/>
      <c r="D12" s="38">
        <v>2600</v>
      </c>
      <c r="E12" s="29"/>
      <c r="F12" s="29"/>
      <c r="G12" s="29"/>
      <c r="H12" s="29"/>
      <c r="I12" s="29"/>
      <c r="J12" s="29"/>
      <c r="K12" s="29"/>
      <c r="L12" s="29"/>
      <c r="M12" s="29"/>
      <c r="N12" s="29"/>
      <c r="O12" s="29"/>
      <c r="P12" s="29"/>
      <c r="Q12" s="29"/>
      <c r="R12" s="29"/>
      <c r="S12" s="29"/>
      <c r="T12" s="29"/>
      <c r="U12" s="29"/>
      <c r="V12" s="29"/>
      <c r="W12" s="29"/>
      <c r="X12" s="29"/>
      <c r="Y12" s="29"/>
      <c r="Z12" s="29"/>
      <c r="AA12" s="30"/>
      <c r="AB12" s="37"/>
      <c r="AC12" s="38">
        <v>2600</v>
      </c>
      <c r="AD12" s="29"/>
      <c r="AE12" s="29"/>
      <c r="AF12" s="29"/>
      <c r="AG12" s="29"/>
      <c r="AH12" s="29"/>
      <c r="AI12" s="29"/>
      <c r="AJ12" s="29"/>
      <c r="AK12" s="29"/>
      <c r="AL12" s="29"/>
      <c r="AM12" s="29"/>
      <c r="AN12" s="29"/>
      <c r="AO12" s="29"/>
      <c r="AP12" s="29"/>
      <c r="AQ12" s="29"/>
      <c r="AR12" s="29"/>
      <c r="AS12" s="29"/>
      <c r="AT12" s="29"/>
      <c r="AU12" s="29"/>
      <c r="AV12" s="29"/>
      <c r="AW12" s="29"/>
      <c r="AX12" s="30"/>
      <c r="AY12" s="28"/>
    </row>
    <row r="13" spans="1:51" ht="10.050000000000001" customHeight="1" x14ac:dyDescent="0.25">
      <c r="C13" s="28"/>
      <c r="D13" s="38">
        <v>2800</v>
      </c>
      <c r="E13" s="29"/>
      <c r="F13" s="29"/>
      <c r="G13" s="29"/>
      <c r="H13" s="29"/>
      <c r="I13" s="29"/>
      <c r="J13" s="29"/>
      <c r="K13" s="29"/>
      <c r="L13" s="29"/>
      <c r="M13" s="29"/>
      <c r="N13" s="29"/>
      <c r="O13" s="29"/>
      <c r="P13" s="29"/>
      <c r="Q13" s="29"/>
      <c r="R13" s="29"/>
      <c r="S13" s="29"/>
      <c r="T13" s="29"/>
      <c r="U13" s="29"/>
      <c r="V13" s="29"/>
      <c r="W13" s="29"/>
      <c r="X13" s="29"/>
      <c r="Y13" s="29"/>
      <c r="Z13" s="29"/>
      <c r="AA13" s="30"/>
      <c r="AB13" s="37"/>
      <c r="AC13" s="38">
        <v>2800</v>
      </c>
      <c r="AD13" s="29"/>
      <c r="AE13" s="29"/>
      <c r="AF13" s="29"/>
      <c r="AG13" s="29"/>
      <c r="AH13" s="29"/>
      <c r="AI13" s="29"/>
      <c r="AJ13" s="29"/>
      <c r="AK13" s="29"/>
      <c r="AL13" s="29"/>
      <c r="AM13" s="29"/>
      <c r="AN13" s="29"/>
      <c r="AO13" s="29"/>
      <c r="AP13" s="29"/>
      <c r="AQ13" s="29"/>
      <c r="AR13" s="29"/>
      <c r="AS13" s="29"/>
      <c r="AT13" s="29"/>
      <c r="AU13" s="29"/>
      <c r="AV13" s="29"/>
      <c r="AW13" s="29"/>
      <c r="AX13" s="30"/>
      <c r="AY13" s="28"/>
    </row>
    <row r="14" spans="1:51" ht="10.050000000000001" customHeight="1" x14ac:dyDescent="0.25">
      <c r="C14" s="28"/>
      <c r="D14" s="38">
        <v>3000</v>
      </c>
      <c r="E14" s="29"/>
      <c r="F14" s="29"/>
      <c r="G14" s="29"/>
      <c r="H14" s="29"/>
      <c r="I14" s="29"/>
      <c r="J14" s="29"/>
      <c r="K14" s="29"/>
      <c r="L14" s="29"/>
      <c r="M14" s="29"/>
      <c r="N14" s="29"/>
      <c r="O14" s="29"/>
      <c r="P14" s="29"/>
      <c r="Q14" s="29"/>
      <c r="R14" s="29"/>
      <c r="S14" s="29"/>
      <c r="T14" s="29"/>
      <c r="U14" s="29"/>
      <c r="V14" s="29"/>
      <c r="W14" s="29"/>
      <c r="X14" s="29"/>
      <c r="Y14" s="29"/>
      <c r="Z14" s="29"/>
      <c r="AA14" s="30"/>
      <c r="AB14" s="37"/>
      <c r="AC14" s="38">
        <v>3000</v>
      </c>
      <c r="AD14" s="29"/>
      <c r="AE14" s="29"/>
      <c r="AF14" s="29"/>
      <c r="AG14" s="29"/>
      <c r="AH14" s="29"/>
      <c r="AI14" s="29"/>
      <c r="AJ14" s="29"/>
      <c r="AK14" s="29"/>
      <c r="AL14" s="29"/>
      <c r="AM14" s="29"/>
      <c r="AN14" s="29"/>
      <c r="AO14" s="29"/>
      <c r="AP14" s="29"/>
      <c r="AQ14" s="29"/>
      <c r="AR14" s="29"/>
      <c r="AS14" s="29"/>
      <c r="AT14" s="29"/>
      <c r="AU14" s="29"/>
      <c r="AV14" s="29"/>
      <c r="AW14" s="29"/>
      <c r="AX14" s="30"/>
      <c r="AY14" s="28"/>
    </row>
    <row r="15" spans="1:51" ht="10.050000000000001" customHeight="1" x14ac:dyDescent="0.25">
      <c r="C15" s="28"/>
      <c r="D15" s="38">
        <v>3200</v>
      </c>
      <c r="E15" s="29"/>
      <c r="F15" s="29"/>
      <c r="G15" s="29"/>
      <c r="H15" s="29"/>
      <c r="I15" s="29"/>
      <c r="J15" s="29"/>
      <c r="K15" s="29"/>
      <c r="L15" s="29"/>
      <c r="M15" s="29"/>
      <c r="N15" s="29"/>
      <c r="O15" s="29"/>
      <c r="P15" s="29"/>
      <c r="Q15" s="29"/>
      <c r="R15" s="29"/>
      <c r="S15" s="29"/>
      <c r="T15" s="29"/>
      <c r="U15" s="29"/>
      <c r="V15" s="29"/>
      <c r="W15" s="29"/>
      <c r="X15" s="29"/>
      <c r="Y15" s="29"/>
      <c r="Z15" s="29"/>
      <c r="AA15" s="30"/>
      <c r="AB15" s="37"/>
      <c r="AC15" s="38">
        <v>3200</v>
      </c>
      <c r="AD15" s="29"/>
      <c r="AE15" s="29"/>
      <c r="AF15" s="29"/>
      <c r="AG15" s="29"/>
      <c r="AH15" s="29"/>
      <c r="AI15" s="29"/>
      <c r="AJ15" s="29"/>
      <c r="AK15" s="29"/>
      <c r="AL15" s="29"/>
      <c r="AM15" s="29"/>
      <c r="AN15" s="29"/>
      <c r="AO15" s="29"/>
      <c r="AP15" s="29"/>
      <c r="AQ15" s="29"/>
      <c r="AR15" s="29"/>
      <c r="AS15" s="29"/>
      <c r="AT15" s="29"/>
      <c r="AU15" s="29"/>
      <c r="AV15" s="29"/>
      <c r="AW15" s="29"/>
      <c r="AX15" s="30"/>
      <c r="AY15" s="28"/>
    </row>
    <row r="16" spans="1:51" ht="10.050000000000001" customHeight="1" x14ac:dyDescent="0.25">
      <c r="C16" s="28"/>
      <c r="D16" s="38">
        <v>3400</v>
      </c>
      <c r="E16" s="29"/>
      <c r="F16" s="29"/>
      <c r="G16" s="29"/>
      <c r="H16" s="29"/>
      <c r="I16" s="29"/>
      <c r="J16" s="29"/>
      <c r="K16" s="29"/>
      <c r="L16" s="29"/>
      <c r="M16" s="29"/>
      <c r="N16" s="29"/>
      <c r="O16" s="29"/>
      <c r="P16" s="29"/>
      <c r="Q16" s="29"/>
      <c r="R16" s="29"/>
      <c r="S16" s="29"/>
      <c r="T16" s="29"/>
      <c r="U16" s="29"/>
      <c r="V16" s="29"/>
      <c r="W16" s="29"/>
      <c r="X16" s="29"/>
      <c r="Y16" s="29"/>
      <c r="Z16" s="29"/>
      <c r="AA16" s="30"/>
      <c r="AB16" s="37"/>
      <c r="AC16" s="38">
        <v>3400</v>
      </c>
      <c r="AD16" s="29"/>
      <c r="AE16" s="29"/>
      <c r="AF16" s="29"/>
      <c r="AG16" s="29"/>
      <c r="AH16" s="29"/>
      <c r="AI16" s="29"/>
      <c r="AJ16" s="29"/>
      <c r="AK16" s="29"/>
      <c r="AL16" s="29"/>
      <c r="AM16" s="29"/>
      <c r="AN16" s="29"/>
      <c r="AO16" s="29"/>
      <c r="AP16" s="29"/>
      <c r="AQ16" s="29"/>
      <c r="AR16" s="29"/>
      <c r="AS16" s="29"/>
      <c r="AT16" s="29"/>
      <c r="AU16" s="29"/>
      <c r="AV16" s="29"/>
      <c r="AW16" s="29"/>
      <c r="AX16" s="30"/>
      <c r="AY16" s="28"/>
    </row>
    <row r="17" spans="1:51" ht="10.050000000000001" customHeight="1" thickBot="1" x14ac:dyDescent="0.3">
      <c r="C17" s="28"/>
      <c r="D17" s="38">
        <v>3600</v>
      </c>
      <c r="E17" s="29"/>
      <c r="F17" s="29"/>
      <c r="G17" s="29"/>
      <c r="H17" s="29"/>
      <c r="I17" s="29"/>
      <c r="J17" s="29"/>
      <c r="K17" s="29"/>
      <c r="L17" s="29"/>
      <c r="M17" s="29"/>
      <c r="N17" s="29"/>
      <c r="O17" s="29"/>
      <c r="P17" s="29"/>
      <c r="Q17" s="29"/>
      <c r="R17" s="29"/>
      <c r="S17" s="29"/>
      <c r="T17" s="29"/>
      <c r="U17" s="29"/>
      <c r="V17" s="29"/>
      <c r="W17" s="29"/>
      <c r="X17" s="29"/>
      <c r="Y17" s="29"/>
      <c r="Z17" s="29"/>
      <c r="AA17" s="30"/>
      <c r="AB17" s="37"/>
      <c r="AC17" s="38">
        <v>3600</v>
      </c>
      <c r="AD17" s="29"/>
      <c r="AE17" s="29"/>
      <c r="AF17" s="29"/>
      <c r="AG17" s="29"/>
      <c r="AH17" s="29"/>
      <c r="AI17" s="29"/>
      <c r="AJ17" s="29"/>
      <c r="AK17" s="29"/>
      <c r="AL17" s="29"/>
      <c r="AM17" s="29"/>
      <c r="AN17" s="29"/>
      <c r="AO17" s="29"/>
      <c r="AP17" s="29"/>
      <c r="AQ17" s="29"/>
      <c r="AR17" s="29"/>
      <c r="AS17" s="29"/>
      <c r="AT17" s="29"/>
      <c r="AU17" s="29"/>
      <c r="AV17" s="29"/>
      <c r="AW17" s="29"/>
      <c r="AX17" s="30"/>
      <c r="AY17" s="28"/>
    </row>
    <row r="18" spans="1:51" ht="10.050000000000001" customHeight="1" x14ac:dyDescent="0.25">
      <c r="A18" s="54" t="s">
        <v>10</v>
      </c>
      <c r="B18" s="55"/>
      <c r="C18" s="28"/>
      <c r="D18" s="38">
        <v>3800</v>
      </c>
      <c r="E18" s="29"/>
      <c r="F18" s="29"/>
      <c r="G18" s="29"/>
      <c r="H18" s="29"/>
      <c r="I18" s="29"/>
      <c r="J18" s="29"/>
      <c r="K18" s="29"/>
      <c r="L18" s="29"/>
      <c r="M18" s="29"/>
      <c r="N18" s="29"/>
      <c r="O18" s="29"/>
      <c r="P18" s="29"/>
      <c r="Q18" s="29"/>
      <c r="R18" s="29"/>
      <c r="S18" s="29"/>
      <c r="T18" s="29"/>
      <c r="U18" s="29"/>
      <c r="V18" s="29"/>
      <c r="W18" s="29"/>
      <c r="X18" s="29"/>
      <c r="Y18" s="29"/>
      <c r="Z18" s="29"/>
      <c r="AA18" s="30"/>
      <c r="AB18" s="37"/>
      <c r="AC18" s="38">
        <v>3800</v>
      </c>
      <c r="AD18" s="29"/>
      <c r="AE18" s="29"/>
      <c r="AF18" s="29"/>
      <c r="AG18" s="29"/>
      <c r="AH18" s="29"/>
      <c r="AI18" s="29"/>
      <c r="AJ18" s="29"/>
      <c r="AK18" s="29"/>
      <c r="AL18" s="29"/>
      <c r="AM18" s="29"/>
      <c r="AN18" s="29"/>
      <c r="AO18" s="29"/>
      <c r="AP18" s="29"/>
      <c r="AQ18" s="29"/>
      <c r="AR18" s="29"/>
      <c r="AS18" s="29"/>
      <c r="AT18" s="29"/>
      <c r="AU18" s="29"/>
      <c r="AV18" s="29"/>
      <c r="AW18" s="29"/>
      <c r="AX18" s="30"/>
      <c r="AY18" s="28"/>
    </row>
    <row r="19" spans="1:51" ht="10.050000000000001" customHeight="1" thickBot="1" x14ac:dyDescent="0.3">
      <c r="A19" s="56"/>
      <c r="B19" s="57"/>
      <c r="C19" s="28"/>
      <c r="D19" s="38">
        <v>4000</v>
      </c>
      <c r="E19" s="29"/>
      <c r="F19" s="29"/>
      <c r="G19" s="29"/>
      <c r="H19" s="29"/>
      <c r="I19" s="29"/>
      <c r="J19" s="29"/>
      <c r="K19" s="29"/>
      <c r="L19" s="29"/>
      <c r="M19" s="29"/>
      <c r="N19" s="29"/>
      <c r="O19" s="29"/>
      <c r="P19" s="29"/>
      <c r="Q19" s="29"/>
      <c r="R19" s="29"/>
      <c r="S19" s="29"/>
      <c r="T19" s="29"/>
      <c r="U19" s="29"/>
      <c r="V19" s="29"/>
      <c r="W19" s="29"/>
      <c r="X19" s="29"/>
      <c r="Y19" s="29"/>
      <c r="Z19" s="29"/>
      <c r="AA19" s="30"/>
      <c r="AB19" s="37"/>
      <c r="AC19" s="38">
        <v>4000</v>
      </c>
      <c r="AD19" s="29"/>
      <c r="AE19" s="29"/>
      <c r="AF19" s="29"/>
      <c r="AG19" s="29"/>
      <c r="AH19" s="29"/>
      <c r="AI19" s="29"/>
      <c r="AJ19" s="29"/>
      <c r="AK19" s="29"/>
      <c r="AL19" s="29"/>
      <c r="AM19" s="29"/>
      <c r="AN19" s="29"/>
      <c r="AO19" s="29"/>
      <c r="AP19" s="29"/>
      <c r="AQ19" s="29"/>
      <c r="AR19" s="29"/>
      <c r="AS19" s="29"/>
      <c r="AT19" s="29"/>
      <c r="AU19" s="29"/>
      <c r="AV19" s="29"/>
      <c r="AW19" s="29"/>
      <c r="AX19" s="30"/>
      <c r="AY19" s="28"/>
    </row>
    <row r="20" spans="1:51" ht="10.050000000000001" customHeight="1" x14ac:dyDescent="0.25">
      <c r="A20" s="41" t="s">
        <v>6</v>
      </c>
      <c r="B20" s="45">
        <v>4</v>
      </c>
      <c r="C20" s="28"/>
      <c r="D20" s="38">
        <v>4200</v>
      </c>
      <c r="E20" s="29"/>
      <c r="F20" s="29"/>
      <c r="G20" s="29"/>
      <c r="H20" s="29"/>
      <c r="I20" s="29"/>
      <c r="J20" s="29"/>
      <c r="K20" s="29"/>
      <c r="L20" s="29"/>
      <c r="M20" s="29"/>
      <c r="N20" s="29"/>
      <c r="O20" s="29"/>
      <c r="P20" s="29"/>
      <c r="Q20" s="29"/>
      <c r="R20" s="29"/>
      <c r="S20" s="29"/>
      <c r="T20" s="29"/>
      <c r="U20" s="29"/>
      <c r="V20" s="29"/>
      <c r="W20" s="29"/>
      <c r="X20" s="29"/>
      <c r="Y20" s="29"/>
      <c r="Z20" s="29"/>
      <c r="AA20" s="30"/>
      <c r="AB20" s="37"/>
      <c r="AC20" s="38">
        <v>4200</v>
      </c>
      <c r="AD20" s="29"/>
      <c r="AE20" s="29"/>
      <c r="AF20" s="29"/>
      <c r="AG20" s="29"/>
      <c r="AH20" s="29"/>
      <c r="AI20" s="29"/>
      <c r="AJ20" s="29"/>
      <c r="AK20" s="29"/>
      <c r="AL20" s="29"/>
      <c r="AM20" s="29"/>
      <c r="AN20" s="29"/>
      <c r="AO20" s="29"/>
      <c r="AP20" s="29"/>
      <c r="AQ20" s="29"/>
      <c r="AR20" s="29"/>
      <c r="AS20" s="29"/>
      <c r="AT20" s="29"/>
      <c r="AU20" s="29"/>
      <c r="AV20" s="29"/>
      <c r="AW20" s="29"/>
      <c r="AX20" s="30"/>
      <c r="AY20" s="28"/>
    </row>
    <row r="21" spans="1:51" ht="10.050000000000001" customHeight="1" thickBot="1" x14ac:dyDescent="0.3">
      <c r="A21" s="42"/>
      <c r="B21" s="46"/>
      <c r="C21" s="28"/>
      <c r="D21" s="38">
        <v>4400</v>
      </c>
      <c r="E21" s="29"/>
      <c r="F21" s="29"/>
      <c r="G21" s="29"/>
      <c r="H21" s="29"/>
      <c r="I21" s="29"/>
      <c r="J21" s="29"/>
      <c r="K21" s="29"/>
      <c r="L21" s="29"/>
      <c r="M21" s="29"/>
      <c r="N21" s="29"/>
      <c r="O21" s="29"/>
      <c r="P21" s="29"/>
      <c r="Q21" s="29"/>
      <c r="R21" s="29"/>
      <c r="S21" s="29"/>
      <c r="T21" s="29"/>
      <c r="U21" s="29"/>
      <c r="V21" s="29"/>
      <c r="W21" s="29"/>
      <c r="X21" s="29"/>
      <c r="Y21" s="29"/>
      <c r="Z21" s="29"/>
      <c r="AA21" s="30"/>
      <c r="AB21" s="37"/>
      <c r="AC21" s="38">
        <v>4400</v>
      </c>
      <c r="AD21" s="29"/>
      <c r="AE21" s="29"/>
      <c r="AF21" s="29"/>
      <c r="AG21" s="29"/>
      <c r="AH21" s="29"/>
      <c r="AI21" s="29"/>
      <c r="AJ21" s="29"/>
      <c r="AK21" s="29"/>
      <c r="AL21" s="29"/>
      <c r="AM21" s="29"/>
      <c r="AN21" s="29"/>
      <c r="AO21" s="29"/>
      <c r="AP21" s="29"/>
      <c r="AQ21" s="29"/>
      <c r="AR21" s="29"/>
      <c r="AS21" s="29"/>
      <c r="AT21" s="29"/>
      <c r="AU21" s="29"/>
      <c r="AV21" s="29"/>
      <c r="AW21" s="29"/>
      <c r="AX21" s="30"/>
      <c r="AY21" s="28"/>
    </row>
    <row r="22" spans="1:51" ht="10.050000000000001" customHeight="1" x14ac:dyDescent="0.25">
      <c r="A22" s="41" t="s">
        <v>7</v>
      </c>
      <c r="B22" s="45">
        <v>5</v>
      </c>
      <c r="C22" s="28"/>
      <c r="D22" s="38">
        <v>4600</v>
      </c>
      <c r="E22" s="29"/>
      <c r="F22" s="29"/>
      <c r="G22" s="29"/>
      <c r="H22" s="29"/>
      <c r="I22" s="29"/>
      <c r="J22" s="29"/>
      <c r="K22" s="29"/>
      <c r="L22" s="29"/>
      <c r="M22" s="29"/>
      <c r="N22" s="29"/>
      <c r="O22" s="29"/>
      <c r="P22" s="29"/>
      <c r="Q22" s="29"/>
      <c r="R22" s="29"/>
      <c r="S22" s="29"/>
      <c r="T22" s="29"/>
      <c r="U22" s="29"/>
      <c r="V22" s="29"/>
      <c r="W22" s="29"/>
      <c r="X22" s="29"/>
      <c r="Y22" s="29"/>
      <c r="Z22" s="29"/>
      <c r="AA22" s="30"/>
      <c r="AB22" s="37"/>
      <c r="AC22" s="38">
        <v>4600</v>
      </c>
      <c r="AD22" s="29"/>
      <c r="AE22" s="29"/>
      <c r="AF22" s="29"/>
      <c r="AG22" s="29"/>
      <c r="AH22" s="29"/>
      <c r="AI22" s="29"/>
      <c r="AJ22" s="29"/>
      <c r="AK22" s="29"/>
      <c r="AL22" s="29"/>
      <c r="AM22" s="29"/>
      <c r="AN22" s="29"/>
      <c r="AO22" s="29"/>
      <c r="AP22" s="29"/>
      <c r="AQ22" s="29"/>
      <c r="AR22" s="29"/>
      <c r="AS22" s="29"/>
      <c r="AT22" s="29"/>
      <c r="AU22" s="29"/>
      <c r="AV22" s="29"/>
      <c r="AW22" s="29"/>
      <c r="AX22" s="30"/>
      <c r="AY22" s="28"/>
    </row>
    <row r="23" spans="1:51" ht="10.050000000000001" customHeight="1" thickBot="1" x14ac:dyDescent="0.3">
      <c r="A23" s="42"/>
      <c r="B23" s="46"/>
      <c r="C23" s="28"/>
      <c r="D23" s="38">
        <v>4800</v>
      </c>
      <c r="E23" s="29"/>
      <c r="F23" s="29"/>
      <c r="G23" s="29"/>
      <c r="H23" s="29"/>
      <c r="I23" s="29"/>
      <c r="J23" s="29"/>
      <c r="K23" s="29"/>
      <c r="L23" s="29"/>
      <c r="M23" s="29"/>
      <c r="N23" s="29"/>
      <c r="O23" s="29"/>
      <c r="P23" s="29"/>
      <c r="Q23" s="29"/>
      <c r="R23" s="29"/>
      <c r="S23" s="29"/>
      <c r="T23" s="29"/>
      <c r="U23" s="29"/>
      <c r="V23" s="29"/>
      <c r="W23" s="29"/>
      <c r="X23" s="29"/>
      <c r="Y23" s="29"/>
      <c r="Z23" s="29"/>
      <c r="AA23" s="30"/>
      <c r="AB23" s="37"/>
      <c r="AC23" s="38">
        <v>4800</v>
      </c>
      <c r="AD23" s="29"/>
      <c r="AE23" s="29"/>
      <c r="AF23" s="29"/>
      <c r="AG23" s="29"/>
      <c r="AH23" s="29"/>
      <c r="AI23" s="29"/>
      <c r="AJ23" s="29"/>
      <c r="AK23" s="29"/>
      <c r="AL23" s="29"/>
      <c r="AM23" s="29"/>
      <c r="AN23" s="29"/>
      <c r="AO23" s="29"/>
      <c r="AP23" s="29"/>
      <c r="AQ23" s="29"/>
      <c r="AR23" s="29"/>
      <c r="AS23" s="29"/>
      <c r="AT23" s="29"/>
      <c r="AU23" s="29"/>
      <c r="AV23" s="29"/>
      <c r="AW23" s="29"/>
      <c r="AX23" s="30"/>
      <c r="AY23" s="28"/>
    </row>
    <row r="24" spans="1:51" ht="10.050000000000001" customHeight="1" thickBot="1" x14ac:dyDescent="0.3">
      <c r="C24" s="28"/>
      <c r="D24" s="38">
        <v>5000</v>
      </c>
      <c r="E24" s="29"/>
      <c r="F24" s="29"/>
      <c r="G24" s="29"/>
      <c r="H24" s="29"/>
      <c r="I24" s="29"/>
      <c r="J24" s="29"/>
      <c r="K24" s="29"/>
      <c r="L24" s="29"/>
      <c r="M24" s="29"/>
      <c r="N24" s="29"/>
      <c r="O24" s="29"/>
      <c r="P24" s="29"/>
      <c r="Q24" s="29"/>
      <c r="R24" s="29"/>
      <c r="S24" s="29"/>
      <c r="T24" s="29"/>
      <c r="U24" s="29"/>
      <c r="V24" s="29"/>
      <c r="W24" s="29"/>
      <c r="X24" s="29"/>
      <c r="Y24" s="29"/>
      <c r="Z24" s="29"/>
      <c r="AA24" s="30"/>
      <c r="AB24" s="37"/>
      <c r="AC24" s="38">
        <v>5000</v>
      </c>
      <c r="AD24" s="29"/>
      <c r="AE24" s="29"/>
      <c r="AF24" s="29"/>
      <c r="AG24" s="29"/>
      <c r="AH24" s="29"/>
      <c r="AI24" s="29"/>
      <c r="AJ24" s="29"/>
      <c r="AK24" s="29"/>
      <c r="AL24" s="29"/>
      <c r="AM24" s="29"/>
      <c r="AN24" s="29"/>
      <c r="AO24" s="29"/>
      <c r="AP24" s="29"/>
      <c r="AQ24" s="29"/>
      <c r="AR24" s="29"/>
      <c r="AS24" s="29"/>
      <c r="AT24" s="29"/>
      <c r="AU24" s="29"/>
      <c r="AV24" s="29"/>
      <c r="AW24" s="29"/>
      <c r="AX24" s="30"/>
      <c r="AY24" s="28"/>
    </row>
    <row r="25" spans="1:51" ht="10.050000000000001" customHeight="1" x14ac:dyDescent="0.25">
      <c r="A25" s="54" t="s">
        <v>15</v>
      </c>
      <c r="B25" s="55"/>
      <c r="C25" s="28"/>
      <c r="D25" s="38">
        <v>5200</v>
      </c>
      <c r="E25" s="29"/>
      <c r="F25" s="29"/>
      <c r="G25" s="29"/>
      <c r="H25" s="29"/>
      <c r="I25" s="29"/>
      <c r="J25" s="29"/>
      <c r="K25" s="29"/>
      <c r="L25" s="29"/>
      <c r="M25" s="29"/>
      <c r="N25" s="29"/>
      <c r="O25" s="29"/>
      <c r="P25" s="29"/>
      <c r="Q25" s="29"/>
      <c r="R25" s="29"/>
      <c r="S25" s="29"/>
      <c r="T25" s="29"/>
      <c r="U25" s="29"/>
      <c r="V25" s="29"/>
      <c r="W25" s="29"/>
      <c r="X25" s="29"/>
      <c r="Y25" s="29"/>
      <c r="Z25" s="29"/>
      <c r="AA25" s="30"/>
      <c r="AB25" s="37"/>
      <c r="AC25" s="38">
        <v>5200</v>
      </c>
      <c r="AD25" s="29"/>
      <c r="AE25" s="29"/>
      <c r="AF25" s="29"/>
      <c r="AG25" s="29"/>
      <c r="AH25" s="29"/>
      <c r="AI25" s="29"/>
      <c r="AJ25" s="29"/>
      <c r="AK25" s="29"/>
      <c r="AL25" s="29"/>
      <c r="AM25" s="29"/>
      <c r="AN25" s="29"/>
      <c r="AO25" s="29"/>
      <c r="AP25" s="29"/>
      <c r="AQ25" s="29"/>
      <c r="AR25" s="29"/>
      <c r="AS25" s="29"/>
      <c r="AT25" s="29"/>
      <c r="AU25" s="29"/>
      <c r="AV25" s="29"/>
      <c r="AW25" s="29"/>
      <c r="AX25" s="30"/>
      <c r="AY25" s="28"/>
    </row>
    <row r="26" spans="1:51" ht="10.050000000000001" customHeight="1" thickBot="1" x14ac:dyDescent="0.3">
      <c r="A26" s="56"/>
      <c r="B26" s="57"/>
      <c r="C26" s="28"/>
      <c r="D26" s="38">
        <v>5600</v>
      </c>
      <c r="E26" s="29"/>
      <c r="F26" s="29"/>
      <c r="G26" s="29"/>
      <c r="H26" s="29"/>
      <c r="I26" s="29"/>
      <c r="J26" s="29"/>
      <c r="K26" s="29"/>
      <c r="L26" s="29"/>
      <c r="M26" s="29"/>
      <c r="N26" s="29"/>
      <c r="O26" s="29"/>
      <c r="P26" s="29"/>
      <c r="Q26" s="29"/>
      <c r="R26" s="29"/>
      <c r="S26" s="29"/>
      <c r="T26" s="29"/>
      <c r="U26" s="29"/>
      <c r="V26" s="29"/>
      <c r="W26" s="29"/>
      <c r="X26" s="29"/>
      <c r="Y26" s="29"/>
      <c r="Z26" s="29"/>
      <c r="AA26" s="30"/>
      <c r="AB26" s="37"/>
      <c r="AC26" s="38">
        <v>5600</v>
      </c>
      <c r="AD26" s="29"/>
      <c r="AE26" s="29"/>
      <c r="AF26" s="29"/>
      <c r="AG26" s="29"/>
      <c r="AH26" s="29"/>
      <c r="AI26" s="29"/>
      <c r="AJ26" s="29"/>
      <c r="AK26" s="29"/>
      <c r="AL26" s="29"/>
      <c r="AM26" s="29"/>
      <c r="AN26" s="29"/>
      <c r="AO26" s="29"/>
      <c r="AP26" s="29"/>
      <c r="AQ26" s="29"/>
      <c r="AR26" s="29"/>
      <c r="AS26" s="29"/>
      <c r="AT26" s="29"/>
      <c r="AU26" s="29"/>
      <c r="AV26" s="29"/>
      <c r="AW26" s="29"/>
      <c r="AX26" s="30"/>
      <c r="AY26" s="28"/>
    </row>
    <row r="27" spans="1:51" ht="10.050000000000001" customHeight="1" x14ac:dyDescent="0.25">
      <c r="A27" s="50" t="s">
        <v>17</v>
      </c>
      <c r="B27" s="52">
        <v>100</v>
      </c>
      <c r="C27" s="28"/>
      <c r="D27" s="38">
        <v>6000</v>
      </c>
      <c r="E27" s="29"/>
      <c r="F27" s="29"/>
      <c r="G27" s="29"/>
      <c r="H27" s="29"/>
      <c r="I27" s="29"/>
      <c r="J27" s="29"/>
      <c r="K27" s="29"/>
      <c r="L27" s="29"/>
      <c r="M27" s="29"/>
      <c r="N27" s="29"/>
      <c r="O27" s="29"/>
      <c r="P27" s="29"/>
      <c r="Q27" s="29"/>
      <c r="R27" s="29"/>
      <c r="S27" s="29"/>
      <c r="T27" s="29"/>
      <c r="U27" s="29"/>
      <c r="V27" s="29"/>
      <c r="W27" s="29"/>
      <c r="X27" s="29"/>
      <c r="Y27" s="29"/>
      <c r="Z27" s="29"/>
      <c r="AA27" s="30"/>
      <c r="AB27" s="37"/>
      <c r="AC27" s="38">
        <v>6000</v>
      </c>
      <c r="AD27" s="29"/>
      <c r="AE27" s="29"/>
      <c r="AF27" s="29"/>
      <c r="AG27" s="29"/>
      <c r="AH27" s="29"/>
      <c r="AI27" s="29"/>
      <c r="AJ27" s="29"/>
      <c r="AK27" s="29"/>
      <c r="AL27" s="29"/>
      <c r="AM27" s="29"/>
      <c r="AN27" s="29"/>
      <c r="AO27" s="29"/>
      <c r="AP27" s="29"/>
      <c r="AQ27" s="29"/>
      <c r="AR27" s="29"/>
      <c r="AS27" s="29"/>
      <c r="AT27" s="29"/>
      <c r="AU27" s="29"/>
      <c r="AV27" s="29"/>
      <c r="AW27" s="29"/>
      <c r="AX27" s="30"/>
      <c r="AY27" s="28"/>
    </row>
    <row r="28" spans="1:51" ht="10.050000000000001" customHeight="1" thickBot="1" x14ac:dyDescent="0.3">
      <c r="A28" s="51"/>
      <c r="B28" s="53"/>
      <c r="C28" s="28"/>
      <c r="D28" s="38">
        <v>6400</v>
      </c>
      <c r="E28" s="29"/>
      <c r="F28" s="29"/>
      <c r="G28" s="29"/>
      <c r="H28" s="29"/>
      <c r="I28" s="29"/>
      <c r="J28" s="29"/>
      <c r="K28" s="29"/>
      <c r="L28" s="29"/>
      <c r="M28" s="29"/>
      <c r="N28" s="29"/>
      <c r="O28" s="29"/>
      <c r="P28" s="29"/>
      <c r="Q28" s="29"/>
      <c r="R28" s="29"/>
      <c r="S28" s="29"/>
      <c r="T28" s="29"/>
      <c r="U28" s="29"/>
      <c r="V28" s="29"/>
      <c r="W28" s="29"/>
      <c r="X28" s="29"/>
      <c r="Y28" s="29"/>
      <c r="Z28" s="29"/>
      <c r="AA28" s="30"/>
      <c r="AB28" s="37"/>
      <c r="AC28" s="38">
        <v>6400</v>
      </c>
      <c r="AD28" s="29"/>
      <c r="AE28" s="29"/>
      <c r="AF28" s="29"/>
      <c r="AG28" s="29"/>
      <c r="AH28" s="29"/>
      <c r="AI28" s="29"/>
      <c r="AJ28" s="29"/>
      <c r="AK28" s="29"/>
      <c r="AL28" s="29"/>
      <c r="AM28" s="29"/>
      <c r="AN28" s="29"/>
      <c r="AO28" s="29"/>
      <c r="AP28" s="29"/>
      <c r="AQ28" s="29"/>
      <c r="AR28" s="29"/>
      <c r="AS28" s="29"/>
      <c r="AT28" s="29"/>
      <c r="AU28" s="29"/>
      <c r="AV28" s="29"/>
      <c r="AW28" s="29"/>
      <c r="AX28" s="30"/>
      <c r="AY28" s="28"/>
    </row>
    <row r="29" spans="1:51" ht="10.050000000000001" customHeight="1" x14ac:dyDescent="0.25">
      <c r="A29" s="41" t="s">
        <v>8</v>
      </c>
      <c r="B29" s="45">
        <v>3</v>
      </c>
      <c r="C29" s="28"/>
      <c r="D29" s="38">
        <v>6800</v>
      </c>
      <c r="E29" s="29"/>
      <c r="F29" s="29"/>
      <c r="G29" s="29"/>
      <c r="H29" s="29"/>
      <c r="I29" s="29"/>
      <c r="J29" s="29"/>
      <c r="K29" s="29"/>
      <c r="L29" s="29"/>
      <c r="M29" s="29"/>
      <c r="N29" s="29"/>
      <c r="O29" s="29"/>
      <c r="P29" s="29"/>
      <c r="Q29" s="29"/>
      <c r="R29" s="29"/>
      <c r="S29" s="29"/>
      <c r="T29" s="29"/>
      <c r="U29" s="29"/>
      <c r="V29" s="29"/>
      <c r="W29" s="29"/>
      <c r="X29" s="29"/>
      <c r="Y29" s="29"/>
      <c r="Z29" s="29"/>
      <c r="AA29" s="30"/>
      <c r="AB29" s="37"/>
      <c r="AC29" s="38">
        <v>6800</v>
      </c>
      <c r="AD29" s="29"/>
      <c r="AE29" s="29"/>
      <c r="AF29" s="29"/>
      <c r="AG29" s="29"/>
      <c r="AH29" s="29"/>
      <c r="AI29" s="29"/>
      <c r="AJ29" s="29"/>
      <c r="AK29" s="29"/>
      <c r="AL29" s="29"/>
      <c r="AM29" s="29"/>
      <c r="AN29" s="29"/>
      <c r="AO29" s="29"/>
      <c r="AP29" s="29"/>
      <c r="AQ29" s="29"/>
      <c r="AR29" s="29"/>
      <c r="AS29" s="29"/>
      <c r="AT29" s="29"/>
      <c r="AU29" s="29"/>
      <c r="AV29" s="29"/>
      <c r="AW29" s="29"/>
      <c r="AX29" s="30"/>
      <c r="AY29" s="28"/>
    </row>
    <row r="30" spans="1:51" ht="10.050000000000001" customHeight="1" thickBot="1" x14ac:dyDescent="0.3">
      <c r="A30" s="42"/>
      <c r="B30" s="46"/>
      <c r="C30" s="28"/>
      <c r="D30" s="38">
        <v>7200</v>
      </c>
      <c r="E30" s="29"/>
      <c r="F30" s="29"/>
      <c r="G30" s="29"/>
      <c r="H30" s="29"/>
      <c r="I30" s="29"/>
      <c r="J30" s="29"/>
      <c r="K30" s="29"/>
      <c r="L30" s="29"/>
      <c r="M30" s="29"/>
      <c r="N30" s="29"/>
      <c r="O30" s="29"/>
      <c r="P30" s="29"/>
      <c r="Q30" s="29"/>
      <c r="R30" s="29"/>
      <c r="S30" s="29"/>
      <c r="T30" s="29"/>
      <c r="U30" s="29"/>
      <c r="V30" s="29"/>
      <c r="W30" s="29"/>
      <c r="X30" s="29"/>
      <c r="Y30" s="29"/>
      <c r="Z30" s="29"/>
      <c r="AA30" s="30"/>
      <c r="AB30" s="37"/>
      <c r="AC30" s="38">
        <v>7200</v>
      </c>
      <c r="AD30" s="29"/>
      <c r="AE30" s="29"/>
      <c r="AF30" s="29"/>
      <c r="AG30" s="29"/>
      <c r="AH30" s="29"/>
      <c r="AI30" s="29"/>
      <c r="AJ30" s="29"/>
      <c r="AK30" s="29"/>
      <c r="AL30" s="29"/>
      <c r="AM30" s="29"/>
      <c r="AN30" s="29"/>
      <c r="AO30" s="29"/>
      <c r="AP30" s="29"/>
      <c r="AQ30" s="29"/>
      <c r="AR30" s="29"/>
      <c r="AS30" s="29"/>
      <c r="AT30" s="29"/>
      <c r="AU30" s="29"/>
      <c r="AV30" s="29"/>
      <c r="AW30" s="29"/>
      <c r="AX30" s="30"/>
      <c r="AY30" s="28"/>
    </row>
    <row r="31" spans="1:51" ht="10.050000000000001" customHeight="1" x14ac:dyDescent="0.25">
      <c r="A31" s="41" t="s">
        <v>9</v>
      </c>
      <c r="B31" s="45">
        <v>9</v>
      </c>
      <c r="C31" s="28"/>
      <c r="D31" s="38">
        <v>7600</v>
      </c>
      <c r="E31" s="29"/>
      <c r="F31" s="29"/>
      <c r="G31" s="29"/>
      <c r="H31" s="29"/>
      <c r="I31" s="29"/>
      <c r="J31" s="29"/>
      <c r="K31" s="29"/>
      <c r="L31" s="29"/>
      <c r="M31" s="29"/>
      <c r="N31" s="29"/>
      <c r="O31" s="29"/>
      <c r="P31" s="29"/>
      <c r="Q31" s="29"/>
      <c r="R31" s="29"/>
      <c r="S31" s="29"/>
      <c r="T31" s="29"/>
      <c r="U31" s="29"/>
      <c r="V31" s="29"/>
      <c r="W31" s="29"/>
      <c r="X31" s="29"/>
      <c r="Y31" s="29"/>
      <c r="Z31" s="29"/>
      <c r="AA31" s="30"/>
      <c r="AB31" s="37"/>
      <c r="AC31" s="38">
        <v>7600</v>
      </c>
      <c r="AD31" s="29"/>
      <c r="AE31" s="29"/>
      <c r="AF31" s="29"/>
      <c r="AG31" s="29"/>
      <c r="AH31" s="29"/>
      <c r="AI31" s="29"/>
      <c r="AJ31" s="29"/>
      <c r="AK31" s="29"/>
      <c r="AL31" s="29"/>
      <c r="AM31" s="29"/>
      <c r="AN31" s="29"/>
      <c r="AO31" s="29"/>
      <c r="AP31" s="29"/>
      <c r="AQ31" s="29"/>
      <c r="AR31" s="29"/>
      <c r="AS31" s="29"/>
      <c r="AT31" s="29"/>
      <c r="AU31" s="29"/>
      <c r="AV31" s="29"/>
      <c r="AW31" s="29"/>
      <c r="AX31" s="30"/>
      <c r="AY31" s="28"/>
    </row>
    <row r="32" spans="1:51" ht="10.050000000000001" customHeight="1" thickBot="1" x14ac:dyDescent="0.3">
      <c r="A32" s="42"/>
      <c r="B32" s="46"/>
      <c r="C32" s="28"/>
      <c r="D32" s="38">
        <v>8000</v>
      </c>
      <c r="E32" s="29"/>
      <c r="F32" s="29"/>
      <c r="G32" s="29"/>
      <c r="H32" s="29"/>
      <c r="I32" s="29"/>
      <c r="J32" s="29"/>
      <c r="K32" s="29"/>
      <c r="L32" s="29"/>
      <c r="M32" s="29"/>
      <c r="N32" s="29"/>
      <c r="O32" s="29"/>
      <c r="P32" s="29"/>
      <c r="Q32" s="29"/>
      <c r="R32" s="29"/>
      <c r="S32" s="29"/>
      <c r="T32" s="29"/>
      <c r="U32" s="29"/>
      <c r="V32" s="29"/>
      <c r="W32" s="29"/>
      <c r="X32" s="29"/>
      <c r="Y32" s="29"/>
      <c r="Z32" s="29"/>
      <c r="AA32" s="30"/>
      <c r="AB32" s="37"/>
      <c r="AC32" s="38">
        <v>8000</v>
      </c>
      <c r="AD32" s="29"/>
      <c r="AE32" s="29"/>
      <c r="AF32" s="29"/>
      <c r="AG32" s="29"/>
      <c r="AH32" s="29"/>
      <c r="AI32" s="29"/>
      <c r="AJ32" s="29"/>
      <c r="AK32" s="29"/>
      <c r="AL32" s="29"/>
      <c r="AM32" s="29"/>
      <c r="AN32" s="29"/>
      <c r="AO32" s="29"/>
      <c r="AP32" s="29"/>
      <c r="AQ32" s="29"/>
      <c r="AR32" s="29"/>
      <c r="AS32" s="29"/>
      <c r="AT32" s="29"/>
      <c r="AU32" s="29"/>
      <c r="AV32" s="29"/>
      <c r="AW32" s="29"/>
      <c r="AX32" s="30"/>
      <c r="AY32" s="28"/>
    </row>
    <row r="33" spans="1:51" ht="10.050000000000001" customHeight="1" x14ac:dyDescent="0.25">
      <c r="A33" s="41" t="s">
        <v>14</v>
      </c>
      <c r="B33" s="43">
        <v>220</v>
      </c>
      <c r="C33" s="28"/>
      <c r="D33" s="38">
        <v>8400</v>
      </c>
      <c r="E33" s="29"/>
      <c r="F33" s="29"/>
      <c r="G33" s="29"/>
      <c r="H33" s="29"/>
      <c r="I33" s="29"/>
      <c r="J33" s="29"/>
      <c r="K33" s="29"/>
      <c r="L33" s="29"/>
      <c r="M33" s="29"/>
      <c r="N33" s="29"/>
      <c r="O33" s="29"/>
      <c r="P33" s="29"/>
      <c r="Q33" s="29"/>
      <c r="R33" s="29"/>
      <c r="S33" s="29"/>
      <c r="T33" s="29"/>
      <c r="U33" s="29"/>
      <c r="V33" s="29"/>
      <c r="W33" s="29"/>
      <c r="X33" s="29"/>
      <c r="Y33" s="29"/>
      <c r="Z33" s="29"/>
      <c r="AA33" s="30"/>
      <c r="AB33" s="37"/>
      <c r="AC33" s="38">
        <v>8400</v>
      </c>
      <c r="AD33" s="29"/>
      <c r="AE33" s="29"/>
      <c r="AF33" s="29"/>
      <c r="AG33" s="29"/>
      <c r="AH33" s="29"/>
      <c r="AI33" s="29"/>
      <c r="AJ33" s="29"/>
      <c r="AK33" s="29"/>
      <c r="AL33" s="29"/>
      <c r="AM33" s="29"/>
      <c r="AN33" s="29"/>
      <c r="AO33" s="29"/>
      <c r="AP33" s="29"/>
      <c r="AQ33" s="29"/>
      <c r="AR33" s="29"/>
      <c r="AS33" s="29"/>
      <c r="AT33" s="29"/>
      <c r="AU33" s="29"/>
      <c r="AV33" s="29"/>
      <c r="AW33" s="29"/>
      <c r="AX33" s="30"/>
      <c r="AY33" s="28"/>
    </row>
    <row r="34" spans="1:51" ht="10.050000000000001" customHeight="1" thickBot="1" x14ac:dyDescent="0.3">
      <c r="A34" s="42"/>
      <c r="B34" s="44"/>
      <c r="C34" s="28"/>
      <c r="D34" s="38">
        <v>8800</v>
      </c>
      <c r="E34" s="29"/>
      <c r="F34" s="29"/>
      <c r="G34" s="29"/>
      <c r="H34" s="29"/>
      <c r="I34" s="29"/>
      <c r="J34" s="29"/>
      <c r="K34" s="29"/>
      <c r="L34" s="29"/>
      <c r="M34" s="29"/>
      <c r="N34" s="29"/>
      <c r="O34" s="29"/>
      <c r="P34" s="29"/>
      <c r="Q34" s="29"/>
      <c r="R34" s="29"/>
      <c r="S34" s="29"/>
      <c r="T34" s="29"/>
      <c r="U34" s="29"/>
      <c r="V34" s="29"/>
      <c r="W34" s="29"/>
      <c r="X34" s="29"/>
      <c r="Y34" s="29"/>
      <c r="Z34" s="29"/>
      <c r="AA34" s="30"/>
      <c r="AB34" s="37"/>
      <c r="AC34" s="38">
        <v>8800</v>
      </c>
      <c r="AD34" s="29"/>
      <c r="AE34" s="29"/>
      <c r="AF34" s="29"/>
      <c r="AG34" s="29"/>
      <c r="AH34" s="29"/>
      <c r="AI34" s="29"/>
      <c r="AJ34" s="29"/>
      <c r="AK34" s="29"/>
      <c r="AL34" s="29"/>
      <c r="AM34" s="29"/>
      <c r="AN34" s="29"/>
      <c r="AO34" s="29"/>
      <c r="AP34" s="29"/>
      <c r="AQ34" s="29"/>
      <c r="AR34" s="29"/>
      <c r="AS34" s="29"/>
      <c r="AT34" s="29"/>
      <c r="AU34" s="29"/>
      <c r="AV34" s="29"/>
      <c r="AW34" s="29"/>
      <c r="AX34" s="30"/>
      <c r="AY34" s="28"/>
    </row>
    <row r="35" spans="1:51" ht="10.050000000000001" customHeight="1" x14ac:dyDescent="0.25">
      <c r="C35" s="28"/>
      <c r="D35" s="38">
        <v>9200</v>
      </c>
      <c r="E35" s="29"/>
      <c r="F35" s="29"/>
      <c r="G35" s="29"/>
      <c r="H35" s="29"/>
      <c r="I35" s="29"/>
      <c r="J35" s="29"/>
      <c r="K35" s="29"/>
      <c r="L35" s="29"/>
      <c r="M35" s="29"/>
      <c r="N35" s="29"/>
      <c r="O35" s="29"/>
      <c r="P35" s="29"/>
      <c r="Q35" s="29"/>
      <c r="R35" s="29"/>
      <c r="S35" s="29"/>
      <c r="T35" s="29"/>
      <c r="U35" s="29"/>
      <c r="V35" s="29"/>
      <c r="W35" s="29"/>
      <c r="X35" s="29"/>
      <c r="Y35" s="29"/>
      <c r="Z35" s="29"/>
      <c r="AA35" s="30"/>
      <c r="AB35" s="37"/>
      <c r="AC35" s="38">
        <v>9200</v>
      </c>
      <c r="AD35" s="29"/>
      <c r="AE35" s="29"/>
      <c r="AF35" s="29"/>
      <c r="AG35" s="29"/>
      <c r="AH35" s="29"/>
      <c r="AI35" s="29"/>
      <c r="AJ35" s="29"/>
      <c r="AK35" s="29"/>
      <c r="AL35" s="29"/>
      <c r="AM35" s="29"/>
      <c r="AN35" s="29"/>
      <c r="AO35" s="29"/>
      <c r="AP35" s="29"/>
      <c r="AQ35" s="29"/>
      <c r="AR35" s="29"/>
      <c r="AS35" s="29"/>
      <c r="AT35" s="29"/>
      <c r="AU35" s="29"/>
      <c r="AV35" s="29"/>
      <c r="AW35" s="29"/>
      <c r="AX35" s="30"/>
      <c r="AY35" s="28"/>
    </row>
    <row r="36" spans="1:51" ht="10.050000000000001" customHeight="1" x14ac:dyDescent="0.25">
      <c r="C36" s="28"/>
      <c r="D36" s="38">
        <v>9600</v>
      </c>
      <c r="E36" s="29"/>
      <c r="F36" s="29"/>
      <c r="G36" s="29"/>
      <c r="H36" s="29"/>
      <c r="I36" s="29"/>
      <c r="J36" s="29"/>
      <c r="K36" s="29"/>
      <c r="L36" s="29"/>
      <c r="M36" s="29"/>
      <c r="N36" s="29"/>
      <c r="O36" s="29"/>
      <c r="P36" s="29"/>
      <c r="Q36" s="29"/>
      <c r="R36" s="29"/>
      <c r="S36" s="29"/>
      <c r="T36" s="29"/>
      <c r="U36" s="29"/>
      <c r="V36" s="29"/>
      <c r="W36" s="29"/>
      <c r="X36" s="29"/>
      <c r="Y36" s="29"/>
      <c r="Z36" s="29"/>
      <c r="AA36" s="30"/>
      <c r="AB36" s="37"/>
      <c r="AC36" s="38">
        <v>9600</v>
      </c>
      <c r="AD36" s="29"/>
      <c r="AE36" s="29"/>
      <c r="AF36" s="29"/>
      <c r="AG36" s="29"/>
      <c r="AH36" s="29"/>
      <c r="AI36" s="29"/>
      <c r="AJ36" s="29"/>
      <c r="AK36" s="29"/>
      <c r="AL36" s="29"/>
      <c r="AM36" s="29"/>
      <c r="AN36" s="29"/>
      <c r="AO36" s="29"/>
      <c r="AP36" s="29"/>
      <c r="AQ36" s="29"/>
      <c r="AR36" s="29"/>
      <c r="AS36" s="29"/>
      <c r="AT36" s="29"/>
      <c r="AU36" s="29"/>
      <c r="AV36" s="29"/>
      <c r="AW36" s="29"/>
      <c r="AX36" s="30"/>
      <c r="AY36" s="28"/>
    </row>
    <row r="37" spans="1:51" ht="10.050000000000001" customHeight="1" x14ac:dyDescent="0.25">
      <c r="C37" s="28"/>
      <c r="D37" s="38">
        <v>10000</v>
      </c>
      <c r="E37" s="29"/>
      <c r="F37" s="29"/>
      <c r="G37" s="29"/>
      <c r="H37" s="29"/>
      <c r="I37" s="29"/>
      <c r="J37" s="29"/>
      <c r="K37" s="29"/>
      <c r="L37" s="29"/>
      <c r="M37" s="29"/>
      <c r="N37" s="29"/>
      <c r="O37" s="29"/>
      <c r="P37" s="29"/>
      <c r="Q37" s="29"/>
      <c r="R37" s="29"/>
      <c r="S37" s="29"/>
      <c r="T37" s="29"/>
      <c r="U37" s="29"/>
      <c r="V37" s="29"/>
      <c r="W37" s="29"/>
      <c r="X37" s="29"/>
      <c r="Y37" s="29"/>
      <c r="Z37" s="29"/>
      <c r="AA37" s="30"/>
      <c r="AB37" s="37"/>
      <c r="AC37" s="38">
        <v>10000</v>
      </c>
      <c r="AD37" s="29"/>
      <c r="AE37" s="29"/>
      <c r="AF37" s="29"/>
      <c r="AG37" s="29"/>
      <c r="AH37" s="29"/>
      <c r="AI37" s="29"/>
      <c r="AJ37" s="29"/>
      <c r="AK37" s="29"/>
      <c r="AL37" s="29"/>
      <c r="AM37" s="29"/>
      <c r="AN37" s="29"/>
      <c r="AO37" s="29"/>
      <c r="AP37" s="29"/>
      <c r="AQ37" s="29"/>
      <c r="AR37" s="29"/>
      <c r="AS37" s="29"/>
      <c r="AT37" s="29"/>
      <c r="AU37" s="29"/>
      <c r="AV37" s="29"/>
      <c r="AW37" s="29"/>
      <c r="AX37" s="30"/>
      <c r="AY37" s="28"/>
    </row>
    <row r="38" spans="1:51" ht="10.050000000000001" customHeight="1" x14ac:dyDescent="0.25">
      <c r="C38" s="28"/>
      <c r="D38" s="38">
        <v>10400</v>
      </c>
      <c r="E38" s="29"/>
      <c r="F38" s="29"/>
      <c r="G38" s="29"/>
      <c r="H38" s="29"/>
      <c r="I38" s="29"/>
      <c r="J38" s="29"/>
      <c r="K38" s="29"/>
      <c r="L38" s="29"/>
      <c r="M38" s="29"/>
      <c r="N38" s="29"/>
      <c r="O38" s="29"/>
      <c r="P38" s="29"/>
      <c r="Q38" s="29"/>
      <c r="R38" s="29"/>
      <c r="S38" s="29"/>
      <c r="T38" s="29"/>
      <c r="U38" s="29"/>
      <c r="V38" s="29"/>
      <c r="W38" s="29"/>
      <c r="X38" s="29"/>
      <c r="Y38" s="29"/>
      <c r="Z38" s="29"/>
      <c r="AA38" s="30"/>
      <c r="AB38" s="37"/>
      <c r="AC38" s="38">
        <v>10400</v>
      </c>
      <c r="AD38" s="29"/>
      <c r="AE38" s="29"/>
      <c r="AF38" s="29"/>
      <c r="AG38" s="29"/>
      <c r="AH38" s="29"/>
      <c r="AI38" s="29"/>
      <c r="AJ38" s="29"/>
      <c r="AK38" s="29"/>
      <c r="AL38" s="29"/>
      <c r="AM38" s="29"/>
      <c r="AN38" s="29"/>
      <c r="AO38" s="29"/>
      <c r="AP38" s="29"/>
      <c r="AQ38" s="29"/>
      <c r="AR38" s="29"/>
      <c r="AS38" s="29"/>
      <c r="AT38" s="29"/>
      <c r="AU38" s="29"/>
      <c r="AV38" s="29"/>
      <c r="AW38" s="29"/>
      <c r="AX38" s="30"/>
      <c r="AY38" s="28"/>
    </row>
    <row r="39" spans="1:51" ht="10.050000000000001" customHeight="1" x14ac:dyDescent="0.25">
      <c r="C39" s="28"/>
      <c r="D39" s="38">
        <v>10800</v>
      </c>
      <c r="E39" s="29"/>
      <c r="F39" s="29"/>
      <c r="G39" s="29"/>
      <c r="H39" s="29"/>
      <c r="I39" s="29"/>
      <c r="J39" s="29"/>
      <c r="K39" s="29"/>
      <c r="L39" s="29"/>
      <c r="M39" s="29"/>
      <c r="N39" s="29"/>
      <c r="O39" s="29"/>
      <c r="P39" s="29"/>
      <c r="Q39" s="29"/>
      <c r="R39" s="29"/>
      <c r="S39" s="29"/>
      <c r="T39" s="29"/>
      <c r="U39" s="29"/>
      <c r="V39" s="29"/>
      <c r="W39" s="29"/>
      <c r="X39" s="29"/>
      <c r="Y39" s="29"/>
      <c r="Z39" s="29"/>
      <c r="AA39" s="30"/>
      <c r="AB39" s="37"/>
      <c r="AC39" s="38">
        <v>10800</v>
      </c>
      <c r="AD39" s="29"/>
      <c r="AE39" s="29"/>
      <c r="AF39" s="29"/>
      <c r="AG39" s="29"/>
      <c r="AH39" s="29"/>
      <c r="AI39" s="29"/>
      <c r="AJ39" s="29"/>
      <c r="AK39" s="29"/>
      <c r="AL39" s="29"/>
      <c r="AM39" s="29"/>
      <c r="AN39" s="29"/>
      <c r="AO39" s="29"/>
      <c r="AP39" s="29"/>
      <c r="AQ39" s="29"/>
      <c r="AR39" s="29"/>
      <c r="AS39" s="29"/>
      <c r="AT39" s="29"/>
      <c r="AU39" s="29"/>
      <c r="AV39" s="29"/>
      <c r="AW39" s="29"/>
      <c r="AX39" s="30"/>
      <c r="AY39" s="28"/>
    </row>
    <row r="40" spans="1:51" ht="10.050000000000001" customHeight="1" x14ac:dyDescent="0.25">
      <c r="C40" s="28"/>
      <c r="D40" s="38">
        <v>11200</v>
      </c>
      <c r="E40" s="29"/>
      <c r="F40" s="29"/>
      <c r="G40" s="29"/>
      <c r="H40" s="29"/>
      <c r="I40" s="29"/>
      <c r="J40" s="29"/>
      <c r="K40" s="29"/>
      <c r="L40" s="29"/>
      <c r="M40" s="29"/>
      <c r="N40" s="29"/>
      <c r="O40" s="29"/>
      <c r="P40" s="29"/>
      <c r="Q40" s="29"/>
      <c r="R40" s="29"/>
      <c r="S40" s="29"/>
      <c r="T40" s="29"/>
      <c r="U40" s="29"/>
      <c r="V40" s="29"/>
      <c r="W40" s="29"/>
      <c r="X40" s="29"/>
      <c r="Y40" s="29"/>
      <c r="Z40" s="29"/>
      <c r="AA40" s="30"/>
      <c r="AB40" s="37"/>
      <c r="AC40" s="38">
        <v>11200</v>
      </c>
      <c r="AD40" s="29"/>
      <c r="AE40" s="29"/>
      <c r="AF40" s="29"/>
      <c r="AG40" s="29"/>
      <c r="AH40" s="29"/>
      <c r="AI40" s="29"/>
      <c r="AJ40" s="29"/>
      <c r="AK40" s="29"/>
      <c r="AL40" s="29"/>
      <c r="AM40" s="29"/>
      <c r="AN40" s="29"/>
      <c r="AO40" s="29"/>
      <c r="AP40" s="29"/>
      <c r="AQ40" s="29"/>
      <c r="AR40" s="29"/>
      <c r="AS40" s="29"/>
      <c r="AT40" s="29"/>
      <c r="AU40" s="29"/>
      <c r="AV40" s="29"/>
      <c r="AW40" s="29"/>
      <c r="AX40" s="30"/>
      <c r="AY40" s="28"/>
    </row>
    <row r="41" spans="1:51" ht="10.050000000000001" customHeight="1" x14ac:dyDescent="0.25">
      <c r="C41" s="28"/>
      <c r="D41" s="38">
        <v>11600</v>
      </c>
      <c r="E41" s="29"/>
      <c r="F41" s="29"/>
      <c r="G41" s="29"/>
      <c r="H41" s="29"/>
      <c r="I41" s="29"/>
      <c r="J41" s="29"/>
      <c r="K41" s="29"/>
      <c r="L41" s="29"/>
      <c r="M41" s="29"/>
      <c r="N41" s="29"/>
      <c r="O41" s="29"/>
      <c r="P41" s="29"/>
      <c r="Q41" s="29"/>
      <c r="R41" s="29"/>
      <c r="S41" s="29"/>
      <c r="T41" s="29"/>
      <c r="U41" s="29"/>
      <c r="V41" s="29"/>
      <c r="W41" s="29"/>
      <c r="X41" s="29"/>
      <c r="Y41" s="29"/>
      <c r="Z41" s="29"/>
      <c r="AA41" s="30"/>
      <c r="AB41" s="37"/>
      <c r="AC41" s="38">
        <v>11600</v>
      </c>
      <c r="AD41" s="29"/>
      <c r="AE41" s="29"/>
      <c r="AF41" s="29"/>
      <c r="AG41" s="29"/>
      <c r="AH41" s="29"/>
      <c r="AI41" s="29"/>
      <c r="AJ41" s="29"/>
      <c r="AK41" s="29"/>
      <c r="AL41" s="29"/>
      <c r="AM41" s="29"/>
      <c r="AN41" s="29"/>
      <c r="AO41" s="29"/>
      <c r="AP41" s="29"/>
      <c r="AQ41" s="29"/>
      <c r="AR41" s="29"/>
      <c r="AS41" s="29"/>
      <c r="AT41" s="29"/>
      <c r="AU41" s="29"/>
      <c r="AV41" s="29"/>
      <c r="AW41" s="29"/>
      <c r="AX41" s="30"/>
      <c r="AY41" s="28"/>
    </row>
    <row r="42" spans="1:51" ht="10.050000000000001" customHeight="1" x14ac:dyDescent="0.25">
      <c r="C42" s="28"/>
      <c r="D42" s="38">
        <v>12000</v>
      </c>
      <c r="E42" s="29"/>
      <c r="F42" s="29"/>
      <c r="G42" s="29"/>
      <c r="H42" s="29"/>
      <c r="I42" s="29"/>
      <c r="J42" s="29"/>
      <c r="K42" s="29"/>
      <c r="L42" s="29"/>
      <c r="M42" s="29"/>
      <c r="N42" s="29"/>
      <c r="O42" s="29"/>
      <c r="P42" s="29"/>
      <c r="Q42" s="29"/>
      <c r="R42" s="29"/>
      <c r="S42" s="29"/>
      <c r="T42" s="29"/>
      <c r="U42" s="29"/>
      <c r="V42" s="29"/>
      <c r="W42" s="29"/>
      <c r="X42" s="29"/>
      <c r="Y42" s="29"/>
      <c r="Z42" s="29"/>
      <c r="AA42" s="30"/>
      <c r="AB42" s="37"/>
      <c r="AC42" s="38">
        <v>12000</v>
      </c>
      <c r="AD42" s="29"/>
      <c r="AE42" s="29"/>
      <c r="AF42" s="29"/>
      <c r="AG42" s="29"/>
      <c r="AH42" s="29"/>
      <c r="AI42" s="29"/>
      <c r="AJ42" s="29"/>
      <c r="AK42" s="29"/>
      <c r="AL42" s="29"/>
      <c r="AM42" s="29"/>
      <c r="AN42" s="29"/>
      <c r="AO42" s="29"/>
      <c r="AP42" s="29"/>
      <c r="AQ42" s="29"/>
      <c r="AR42" s="29"/>
      <c r="AS42" s="29"/>
      <c r="AT42" s="29"/>
      <c r="AU42" s="29"/>
      <c r="AV42" s="29"/>
      <c r="AW42" s="29"/>
      <c r="AX42" s="30"/>
      <c r="AY42" s="28"/>
    </row>
    <row r="43" spans="1:51" ht="10.050000000000001" customHeight="1" x14ac:dyDescent="0.25">
      <c r="C43" s="28"/>
      <c r="D43" s="38">
        <v>12400</v>
      </c>
      <c r="E43" s="29"/>
      <c r="F43" s="29"/>
      <c r="G43" s="29"/>
      <c r="H43" s="29"/>
      <c r="I43" s="29"/>
      <c r="J43" s="29"/>
      <c r="K43" s="29"/>
      <c r="L43" s="29"/>
      <c r="M43" s="29"/>
      <c r="N43" s="29"/>
      <c r="O43" s="29"/>
      <c r="P43" s="29"/>
      <c r="Q43" s="29"/>
      <c r="R43" s="29"/>
      <c r="S43" s="29"/>
      <c r="T43" s="29"/>
      <c r="U43" s="29"/>
      <c r="V43" s="29"/>
      <c r="W43" s="29"/>
      <c r="X43" s="29"/>
      <c r="Y43" s="29"/>
      <c r="Z43" s="29"/>
      <c r="AA43" s="30"/>
      <c r="AB43" s="37"/>
      <c r="AC43" s="38">
        <v>12400</v>
      </c>
      <c r="AD43" s="29"/>
      <c r="AE43" s="29"/>
      <c r="AF43" s="29"/>
      <c r="AG43" s="29"/>
      <c r="AH43" s="29"/>
      <c r="AI43" s="29"/>
      <c r="AJ43" s="29"/>
      <c r="AK43" s="29"/>
      <c r="AL43" s="29"/>
      <c r="AM43" s="29"/>
      <c r="AN43" s="29"/>
      <c r="AO43" s="29"/>
      <c r="AP43" s="29"/>
      <c r="AQ43" s="29"/>
      <c r="AR43" s="29"/>
      <c r="AS43" s="29"/>
      <c r="AT43" s="29"/>
      <c r="AU43" s="29"/>
      <c r="AV43" s="29"/>
      <c r="AW43" s="29"/>
      <c r="AX43" s="30"/>
      <c r="AY43" s="28"/>
    </row>
    <row r="44" spans="1:51" ht="10.050000000000001" customHeight="1" thickBot="1" x14ac:dyDescent="0.3">
      <c r="C44" s="28"/>
      <c r="D44" s="39">
        <v>12800</v>
      </c>
      <c r="E44" s="31"/>
      <c r="F44" s="31"/>
      <c r="G44" s="31"/>
      <c r="H44" s="31"/>
      <c r="I44" s="31"/>
      <c r="J44" s="31"/>
      <c r="K44" s="31"/>
      <c r="L44" s="31"/>
      <c r="M44" s="31"/>
      <c r="N44" s="31"/>
      <c r="O44" s="31"/>
      <c r="P44" s="31"/>
      <c r="Q44" s="31"/>
      <c r="R44" s="31"/>
      <c r="S44" s="31"/>
      <c r="T44" s="31"/>
      <c r="U44" s="31"/>
      <c r="V44" s="31"/>
      <c r="W44" s="31"/>
      <c r="X44" s="31"/>
      <c r="Y44" s="31"/>
      <c r="Z44" s="31"/>
      <c r="AA44" s="32"/>
      <c r="AB44" s="37"/>
      <c r="AC44" s="39">
        <v>12800</v>
      </c>
      <c r="AD44" s="31"/>
      <c r="AE44" s="31"/>
      <c r="AF44" s="31"/>
      <c r="AG44" s="31"/>
      <c r="AH44" s="31"/>
      <c r="AI44" s="31"/>
      <c r="AJ44" s="31"/>
      <c r="AK44" s="31"/>
      <c r="AL44" s="31"/>
      <c r="AM44" s="31"/>
      <c r="AN44" s="31"/>
      <c r="AO44" s="31"/>
      <c r="AP44" s="31"/>
      <c r="AQ44" s="31"/>
      <c r="AR44" s="31"/>
      <c r="AS44" s="31"/>
      <c r="AT44" s="31"/>
      <c r="AU44" s="31"/>
      <c r="AV44" s="31"/>
      <c r="AW44" s="31"/>
      <c r="AX44" s="32"/>
      <c r="AY44" s="28"/>
    </row>
  </sheetData>
  <mergeCells count="22">
    <mergeCell ref="D1:AX1"/>
    <mergeCell ref="A27:A28"/>
    <mergeCell ref="B27:B28"/>
    <mergeCell ref="A25:B26"/>
    <mergeCell ref="A2:B3"/>
    <mergeCell ref="A4:A5"/>
    <mergeCell ref="B4:B5"/>
    <mergeCell ref="A6:A7"/>
    <mergeCell ref="B6:B7"/>
    <mergeCell ref="A9:A10"/>
    <mergeCell ref="B9:B10"/>
    <mergeCell ref="A22:A23"/>
    <mergeCell ref="B22:B23"/>
    <mergeCell ref="A20:A21"/>
    <mergeCell ref="B20:B21"/>
    <mergeCell ref="A18:B19"/>
    <mergeCell ref="A33:A34"/>
    <mergeCell ref="B33:B34"/>
    <mergeCell ref="A31:A32"/>
    <mergeCell ref="B31:B32"/>
    <mergeCell ref="A29:A30"/>
    <mergeCell ref="B29:B30"/>
  </mergeCells>
  <conditionalFormatting sqref="B4">
    <cfRule type="cellIs" dxfId="4" priority="1" operator="lessThan">
      <formula>220</formula>
    </cfRule>
    <cfRule type="cellIs" dxfId="3" priority="2" operator="greaterThanOrEqual">
      <formula>220</formula>
    </cfRule>
  </conditionalFormatting>
  <conditionalFormatting sqref="E3:AA44 AD3:AX44">
    <cfRule type="cellIs" dxfId="2" priority="24" operator="equal">
      <formula>$B$27</formula>
    </cfRule>
    <cfRule type="cellIs" dxfId="1" priority="25" operator="lessThan">
      <formula>$B$27</formula>
    </cfRule>
    <cfRule type="cellIs" dxfId="0" priority="26" operator="greaterThan">
      <formula>$B$27</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V18"/>
  <sheetViews>
    <sheetView tabSelected="1" workbookViewId="0"/>
  </sheetViews>
  <sheetFormatPr defaultRowHeight="13.2" x14ac:dyDescent="0.25"/>
  <sheetData>
    <row r="1" spans="1:15" ht="13.8" thickBot="1" x14ac:dyDescent="0.3"/>
    <row r="2" spans="1:15" ht="13.2" customHeight="1" x14ac:dyDescent="0.25">
      <c r="E2" s="88" t="s">
        <v>26</v>
      </c>
      <c r="F2" s="60"/>
      <c r="G2" s="60"/>
      <c r="H2" s="60"/>
      <c r="I2" s="60"/>
      <c r="J2" s="60"/>
      <c r="K2" s="60"/>
      <c r="L2" s="60"/>
      <c r="M2" s="60"/>
      <c r="N2" s="60"/>
      <c r="O2" s="61"/>
    </row>
    <row r="3" spans="1:15" x14ac:dyDescent="0.25">
      <c r="E3" s="62"/>
      <c r="F3" s="63"/>
      <c r="G3" s="63"/>
      <c r="H3" s="63"/>
      <c r="I3" s="63"/>
      <c r="J3" s="63"/>
      <c r="K3" s="63"/>
      <c r="L3" s="63"/>
      <c r="M3" s="63"/>
      <c r="N3" s="63"/>
      <c r="O3" s="64"/>
    </row>
    <row r="4" spans="1:15" x14ac:dyDescent="0.25">
      <c r="E4" s="62"/>
      <c r="F4" s="63"/>
      <c r="G4" s="63"/>
      <c r="H4" s="63"/>
      <c r="I4" s="63"/>
      <c r="J4" s="63"/>
      <c r="K4" s="63"/>
      <c r="L4" s="63"/>
      <c r="M4" s="63"/>
      <c r="N4" s="63"/>
      <c r="O4" s="64"/>
    </row>
    <row r="5" spans="1:15" x14ac:dyDescent="0.25">
      <c r="E5" s="62"/>
      <c r="F5" s="63"/>
      <c r="G5" s="63"/>
      <c r="H5" s="63"/>
      <c r="I5" s="63"/>
      <c r="J5" s="63"/>
      <c r="K5" s="63"/>
      <c r="L5" s="63"/>
      <c r="M5" s="63"/>
      <c r="N5" s="63"/>
      <c r="O5" s="64"/>
    </row>
    <row r="6" spans="1:15" x14ac:dyDescent="0.25">
      <c r="E6" s="62"/>
      <c r="F6" s="63"/>
      <c r="G6" s="63"/>
      <c r="H6" s="63"/>
      <c r="I6" s="63"/>
      <c r="J6" s="63"/>
      <c r="K6" s="63"/>
      <c r="L6" s="63"/>
      <c r="M6" s="63"/>
      <c r="N6" s="63"/>
      <c r="O6" s="64"/>
    </row>
    <row r="7" spans="1:15" x14ac:dyDescent="0.25">
      <c r="E7" s="62"/>
      <c r="F7" s="63"/>
      <c r="G7" s="63"/>
      <c r="H7" s="63"/>
      <c r="I7" s="63"/>
      <c r="J7" s="63"/>
      <c r="K7" s="63"/>
      <c r="L7" s="63"/>
      <c r="M7" s="63"/>
      <c r="N7" s="63"/>
      <c r="O7" s="64"/>
    </row>
    <row r="8" spans="1:15" x14ac:dyDescent="0.25">
      <c r="E8" s="62"/>
      <c r="F8" s="63"/>
      <c r="G8" s="63"/>
      <c r="H8" s="63"/>
      <c r="I8" s="63"/>
      <c r="J8" s="63"/>
      <c r="K8" s="63"/>
      <c r="L8" s="63"/>
      <c r="M8" s="63"/>
      <c r="N8" s="63"/>
      <c r="O8" s="64"/>
    </row>
    <row r="9" spans="1:15" ht="13.8" thickBot="1" x14ac:dyDescent="0.3">
      <c r="E9" s="62"/>
      <c r="F9" s="63"/>
      <c r="G9" s="63"/>
      <c r="H9" s="63"/>
      <c r="I9" s="63"/>
      <c r="J9" s="63"/>
      <c r="K9" s="63"/>
      <c r="L9" s="63"/>
      <c r="M9" s="63"/>
      <c r="N9" s="63"/>
      <c r="O9" s="64"/>
    </row>
    <row r="10" spans="1:15" x14ac:dyDescent="0.25">
      <c r="A10" s="77" t="s">
        <v>21</v>
      </c>
      <c r="B10" s="78"/>
      <c r="C10" s="86">
        <v>10</v>
      </c>
      <c r="E10" s="62"/>
      <c r="F10" s="63"/>
      <c r="G10" s="63"/>
      <c r="H10" s="63"/>
      <c r="I10" s="63"/>
      <c r="J10" s="63"/>
      <c r="K10" s="63"/>
      <c r="L10" s="63"/>
      <c r="M10" s="63"/>
      <c r="N10" s="63"/>
      <c r="O10" s="64"/>
    </row>
    <row r="11" spans="1:15" ht="13.8" thickBot="1" x14ac:dyDescent="0.3">
      <c r="A11" s="79"/>
      <c r="B11" s="80"/>
      <c r="C11" s="87"/>
      <c r="E11" s="62"/>
      <c r="F11" s="63"/>
      <c r="G11" s="63"/>
      <c r="H11" s="63"/>
      <c r="I11" s="63"/>
      <c r="J11" s="63"/>
      <c r="K11" s="63"/>
      <c r="L11" s="63"/>
      <c r="M11" s="63"/>
      <c r="N11" s="63"/>
      <c r="O11" s="64"/>
    </row>
    <row r="12" spans="1:15" x14ac:dyDescent="0.25">
      <c r="E12" s="62"/>
      <c r="F12" s="63"/>
      <c r="G12" s="63"/>
      <c r="H12" s="63"/>
      <c r="I12" s="63"/>
      <c r="J12" s="63"/>
      <c r="K12" s="63"/>
      <c r="L12" s="63"/>
      <c r="M12" s="63"/>
      <c r="N12" s="63"/>
      <c r="O12" s="64"/>
    </row>
    <row r="13" spans="1:15" x14ac:dyDescent="0.25">
      <c r="E13" s="62"/>
      <c r="F13" s="63"/>
      <c r="G13" s="63"/>
      <c r="H13" s="63"/>
      <c r="I13" s="63"/>
      <c r="J13" s="63"/>
      <c r="K13" s="63"/>
      <c r="L13" s="63"/>
      <c r="M13" s="63"/>
      <c r="N13" s="63"/>
      <c r="O13" s="64"/>
    </row>
    <row r="14" spans="1:15" x14ac:dyDescent="0.25">
      <c r="E14" s="62"/>
      <c r="F14" s="63"/>
      <c r="G14" s="63"/>
      <c r="H14" s="63"/>
      <c r="I14" s="63"/>
      <c r="J14" s="63"/>
      <c r="K14" s="63"/>
      <c r="L14" s="63"/>
      <c r="M14" s="63"/>
      <c r="N14" s="63"/>
      <c r="O14" s="64"/>
    </row>
    <row r="15" spans="1:15" ht="13.8" thickBot="1" x14ac:dyDescent="0.3">
      <c r="E15" s="65"/>
      <c r="F15" s="66"/>
      <c r="G15" s="66"/>
      <c r="H15" s="66"/>
      <c r="I15" s="66"/>
      <c r="J15" s="66"/>
      <c r="K15" s="66"/>
      <c r="L15" s="66"/>
      <c r="M15" s="66"/>
      <c r="N15" s="66"/>
      <c r="O15" s="67"/>
    </row>
    <row r="16" spans="1:15" ht="13.8" thickBot="1" x14ac:dyDescent="0.3"/>
    <row r="17" spans="1:22" ht="14.4" thickBot="1" x14ac:dyDescent="0.3">
      <c r="A17" s="81" t="s">
        <v>22</v>
      </c>
      <c r="B17" s="82"/>
      <c r="C17" s="83" t="s">
        <v>24</v>
      </c>
      <c r="D17" s="84"/>
      <c r="E17" s="84"/>
      <c r="F17" s="84"/>
      <c r="G17" s="84"/>
      <c r="H17" s="84"/>
      <c r="I17" s="84"/>
      <c r="J17" s="84"/>
      <c r="K17" s="84"/>
      <c r="L17" s="84"/>
      <c r="M17" s="84"/>
      <c r="N17" s="84"/>
      <c r="O17" s="84"/>
      <c r="P17" s="84"/>
      <c r="Q17" s="84"/>
      <c r="R17" s="84"/>
      <c r="S17" s="84"/>
      <c r="T17" s="84"/>
      <c r="U17" s="84"/>
      <c r="V17" s="85"/>
    </row>
    <row r="18" spans="1:22" ht="14.4" thickBot="1" x14ac:dyDescent="0.3">
      <c r="A18" s="81" t="s">
        <v>23</v>
      </c>
      <c r="B18" s="82"/>
      <c r="C18" s="83" t="s">
        <v>25</v>
      </c>
      <c r="D18" s="84"/>
      <c r="E18" s="84"/>
      <c r="F18" s="84"/>
      <c r="G18" s="84"/>
      <c r="H18" s="84"/>
      <c r="I18" s="84"/>
      <c r="J18" s="84"/>
      <c r="K18" s="84"/>
      <c r="L18" s="84"/>
      <c r="M18" s="84"/>
      <c r="N18" s="84"/>
      <c r="O18" s="84"/>
      <c r="P18" s="84"/>
      <c r="Q18" s="84"/>
      <c r="R18" s="84"/>
      <c r="S18" s="84"/>
      <c r="T18" s="84"/>
      <c r="U18" s="84"/>
      <c r="V18" s="85"/>
    </row>
  </sheetData>
  <sheetProtection algorithmName="SHA-512" hashValue="tOFOd+I96flL+MeDEOBtcjvgFTAD6CtM9mSFFehC5Wr5PxFz/W4+5o/oWirdB8fGah0rNhDTNOXUMCN1BtPgOw==" saltValue="7ugg60gybhBk8TNaXRhCiw==" spinCount="100000" sheet="1" objects="1" scenarios="1"/>
  <mergeCells count="7">
    <mergeCell ref="A10:B11"/>
    <mergeCell ref="C10:C11"/>
    <mergeCell ref="A17:B17"/>
    <mergeCell ref="A18:B18"/>
    <mergeCell ref="C17:V17"/>
    <mergeCell ref="C18:V18"/>
    <mergeCell ref="E2:O15"/>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outlinePr summaryBelow="0" summaryRight="0"/>
  </sheetPr>
  <dimension ref="A1:AW1000"/>
  <sheetViews>
    <sheetView zoomScale="70" zoomScaleNormal="70" workbookViewId="0">
      <selection activeCell="Z1" sqref="Z1"/>
    </sheetView>
  </sheetViews>
  <sheetFormatPr defaultColWidth="12.5546875" defaultRowHeight="13.2" x14ac:dyDescent="0.25"/>
  <cols>
    <col min="1" max="1" width="6.6640625" style="2" bestFit="1" customWidth="1"/>
    <col min="2" max="24" width="4.77734375" style="2" customWidth="1"/>
    <col min="25" max="25" width="4.33203125" style="2" customWidth="1"/>
    <col min="26" max="26" width="6.6640625" style="2" bestFit="1" customWidth="1"/>
    <col min="27" max="49" width="4.77734375" style="2" customWidth="1"/>
    <col min="50" max="16384" width="12.5546875" style="2"/>
  </cols>
  <sheetData>
    <row r="1" spans="1:49" x14ac:dyDescent="0.25">
      <c r="A1" s="3" t="s">
        <v>2</v>
      </c>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c r="Z1" s="3" t="s">
        <v>4</v>
      </c>
      <c r="AA1" s="4">
        <v>0</v>
      </c>
      <c r="AB1" s="4">
        <v>0.6</v>
      </c>
      <c r="AC1" s="4">
        <v>1.2</v>
      </c>
      <c r="AD1" s="4">
        <v>1.9</v>
      </c>
      <c r="AE1" s="4">
        <v>2.5</v>
      </c>
      <c r="AF1" s="4">
        <v>3.1</v>
      </c>
      <c r="AG1" s="4">
        <v>3.7</v>
      </c>
      <c r="AH1" s="4">
        <v>4.4000000000000004</v>
      </c>
      <c r="AI1" s="4">
        <v>5.6</v>
      </c>
      <c r="AJ1" s="4">
        <v>6.8</v>
      </c>
      <c r="AK1" s="4">
        <v>8.1</v>
      </c>
      <c r="AL1" s="4">
        <v>9.3000000000000007</v>
      </c>
      <c r="AM1" s="4">
        <v>10.6</v>
      </c>
      <c r="AN1" s="4">
        <v>15.5</v>
      </c>
      <c r="AO1" s="4">
        <v>20.5</v>
      </c>
      <c r="AP1" s="4">
        <v>25.5</v>
      </c>
      <c r="AQ1" s="4">
        <v>30.5</v>
      </c>
      <c r="AR1" s="4">
        <v>40.4</v>
      </c>
      <c r="AS1" s="4">
        <v>50.4</v>
      </c>
      <c r="AT1" s="4">
        <v>60.3</v>
      </c>
      <c r="AU1" s="4">
        <v>70.3</v>
      </c>
      <c r="AV1" s="4">
        <v>90.2</v>
      </c>
      <c r="AW1" s="5">
        <v>100</v>
      </c>
    </row>
    <row r="2" spans="1:49" x14ac:dyDescent="0.25">
      <c r="A2" s="6">
        <v>800</v>
      </c>
      <c r="B2" s="23"/>
      <c r="C2" s="23"/>
      <c r="D2" s="23"/>
      <c r="E2" s="23"/>
      <c r="F2" s="23"/>
      <c r="G2" s="23"/>
      <c r="H2" s="23"/>
      <c r="I2" s="23"/>
      <c r="J2" s="23"/>
      <c r="K2" s="23"/>
      <c r="L2" s="23"/>
      <c r="M2" s="23"/>
      <c r="N2" s="23"/>
      <c r="O2" s="23"/>
      <c r="P2" s="23"/>
      <c r="Q2" s="23"/>
      <c r="R2" s="23"/>
      <c r="S2" s="23"/>
      <c r="T2" s="23"/>
      <c r="U2" s="23"/>
      <c r="V2" s="23"/>
      <c r="W2" s="23"/>
      <c r="X2" s="24"/>
      <c r="Z2" s="6">
        <v>800</v>
      </c>
      <c r="AA2" s="23"/>
      <c r="AB2" s="23"/>
      <c r="AC2" s="23"/>
      <c r="AD2" s="23"/>
      <c r="AE2" s="23"/>
      <c r="AF2" s="23"/>
      <c r="AG2" s="23"/>
      <c r="AH2" s="23"/>
      <c r="AI2" s="23"/>
      <c r="AJ2" s="23"/>
      <c r="AK2" s="23"/>
      <c r="AL2" s="23"/>
      <c r="AM2" s="23"/>
      <c r="AN2" s="23"/>
      <c r="AO2" s="23"/>
      <c r="AP2" s="23"/>
      <c r="AQ2" s="23"/>
      <c r="AR2" s="23"/>
      <c r="AS2" s="23"/>
      <c r="AT2" s="23"/>
      <c r="AU2" s="23"/>
      <c r="AV2" s="23"/>
      <c r="AW2" s="24"/>
    </row>
    <row r="3" spans="1:49" x14ac:dyDescent="0.25">
      <c r="A3" s="6">
        <v>1000</v>
      </c>
      <c r="B3" s="23"/>
      <c r="C3" s="23"/>
      <c r="D3" s="23"/>
      <c r="E3" s="23"/>
      <c r="F3" s="23"/>
      <c r="G3" s="23"/>
      <c r="H3" s="23"/>
      <c r="I3" s="23"/>
      <c r="J3" s="23"/>
      <c r="K3" s="23"/>
      <c r="L3" s="23"/>
      <c r="M3" s="23"/>
      <c r="N3" s="23"/>
      <c r="O3" s="23"/>
      <c r="P3" s="23"/>
      <c r="Q3" s="23"/>
      <c r="R3" s="23"/>
      <c r="S3" s="23"/>
      <c r="T3" s="23"/>
      <c r="U3" s="23"/>
      <c r="V3" s="23"/>
      <c r="W3" s="23"/>
      <c r="X3" s="24"/>
      <c r="Z3" s="6">
        <v>1000</v>
      </c>
      <c r="AA3" s="23"/>
      <c r="AB3" s="23"/>
      <c r="AC3" s="23"/>
      <c r="AD3" s="23"/>
      <c r="AE3" s="23"/>
      <c r="AF3" s="23"/>
      <c r="AG3" s="23"/>
      <c r="AH3" s="23"/>
      <c r="AI3" s="23"/>
      <c r="AJ3" s="23"/>
      <c r="AK3" s="23"/>
      <c r="AL3" s="23"/>
      <c r="AM3" s="23"/>
      <c r="AN3" s="23"/>
      <c r="AO3" s="23"/>
      <c r="AP3" s="23"/>
      <c r="AQ3" s="23"/>
      <c r="AR3" s="23"/>
      <c r="AS3" s="23"/>
      <c r="AT3" s="23"/>
      <c r="AU3" s="23"/>
      <c r="AV3" s="23"/>
      <c r="AW3" s="24"/>
    </row>
    <row r="4" spans="1:49" x14ac:dyDescent="0.25">
      <c r="A4" s="6">
        <v>1200</v>
      </c>
      <c r="B4" s="23"/>
      <c r="C4" s="23"/>
      <c r="D4" s="23"/>
      <c r="E4" s="23"/>
      <c r="F4" s="23"/>
      <c r="G4" s="23"/>
      <c r="H4" s="23"/>
      <c r="I4" s="23"/>
      <c r="J4" s="23"/>
      <c r="K4" s="23"/>
      <c r="L4" s="23"/>
      <c r="M4" s="23"/>
      <c r="N4" s="23"/>
      <c r="O4" s="23"/>
      <c r="P4" s="23"/>
      <c r="Q4" s="23"/>
      <c r="R4" s="23"/>
      <c r="S4" s="23"/>
      <c r="T4" s="23"/>
      <c r="U4" s="23"/>
      <c r="V4" s="23"/>
      <c r="W4" s="23"/>
      <c r="X4" s="24"/>
      <c r="Z4" s="6">
        <v>1200</v>
      </c>
      <c r="AA4" s="23"/>
      <c r="AB4" s="23"/>
      <c r="AC4" s="23"/>
      <c r="AD4" s="23"/>
      <c r="AE4" s="23"/>
      <c r="AF4" s="23"/>
      <c r="AG4" s="23"/>
      <c r="AH4" s="23"/>
      <c r="AI4" s="23"/>
      <c r="AJ4" s="23"/>
      <c r="AK4" s="23"/>
      <c r="AL4" s="23"/>
      <c r="AM4" s="23"/>
      <c r="AN4" s="23"/>
      <c r="AO4" s="23"/>
      <c r="AP4" s="23"/>
      <c r="AQ4" s="23"/>
      <c r="AR4" s="23"/>
      <c r="AS4" s="23"/>
      <c r="AT4" s="23"/>
      <c r="AU4" s="23"/>
      <c r="AV4" s="23"/>
      <c r="AW4" s="24"/>
    </row>
    <row r="5" spans="1:49" x14ac:dyDescent="0.25">
      <c r="A5" s="6">
        <v>1400</v>
      </c>
      <c r="B5" s="23"/>
      <c r="C5" s="23"/>
      <c r="D5" s="23"/>
      <c r="E5" s="23"/>
      <c r="F5" s="23"/>
      <c r="G5" s="23"/>
      <c r="H5" s="23"/>
      <c r="I5" s="23"/>
      <c r="J5" s="23"/>
      <c r="K5" s="23"/>
      <c r="L5" s="23"/>
      <c r="M5" s="23"/>
      <c r="N5" s="23"/>
      <c r="O5" s="23"/>
      <c r="P5" s="23"/>
      <c r="Q5" s="23"/>
      <c r="R5" s="23"/>
      <c r="S5" s="23"/>
      <c r="T5" s="23"/>
      <c r="U5" s="23"/>
      <c r="V5" s="23"/>
      <c r="W5" s="23"/>
      <c r="X5" s="24"/>
      <c r="Z5" s="6">
        <v>1400</v>
      </c>
      <c r="AA5" s="23"/>
      <c r="AB5" s="23"/>
      <c r="AC5" s="23"/>
      <c r="AD5" s="23"/>
      <c r="AE5" s="23"/>
      <c r="AF5" s="23"/>
      <c r="AG5" s="23"/>
      <c r="AH5" s="23"/>
      <c r="AI5" s="23"/>
      <c r="AJ5" s="23"/>
      <c r="AK5" s="23"/>
      <c r="AL5" s="23"/>
      <c r="AM5" s="23"/>
      <c r="AN5" s="23"/>
      <c r="AO5" s="23"/>
      <c r="AP5" s="23"/>
      <c r="AQ5" s="23"/>
      <c r="AR5" s="23"/>
      <c r="AS5" s="23"/>
      <c r="AT5" s="23"/>
      <c r="AU5" s="23"/>
      <c r="AV5" s="23"/>
      <c r="AW5" s="24"/>
    </row>
    <row r="6" spans="1:49" x14ac:dyDescent="0.25">
      <c r="A6" s="6">
        <v>1600</v>
      </c>
      <c r="B6" s="23"/>
      <c r="C6" s="23"/>
      <c r="D6" s="23"/>
      <c r="E6" s="23"/>
      <c r="F6" s="23"/>
      <c r="G6" s="23"/>
      <c r="H6" s="23"/>
      <c r="I6" s="23"/>
      <c r="J6" s="23"/>
      <c r="K6" s="23"/>
      <c r="L6" s="23"/>
      <c r="M6" s="23"/>
      <c r="N6" s="23"/>
      <c r="O6" s="23"/>
      <c r="P6" s="23"/>
      <c r="Q6" s="23"/>
      <c r="R6" s="23"/>
      <c r="S6" s="23"/>
      <c r="T6" s="23"/>
      <c r="U6" s="23"/>
      <c r="V6" s="23"/>
      <c r="W6" s="23"/>
      <c r="X6" s="24"/>
      <c r="Z6" s="6">
        <v>1600</v>
      </c>
      <c r="AA6" s="23"/>
      <c r="AB6" s="23"/>
      <c r="AC6" s="23"/>
      <c r="AD6" s="23"/>
      <c r="AE6" s="23"/>
      <c r="AF6" s="23"/>
      <c r="AG6" s="23"/>
      <c r="AH6" s="23"/>
      <c r="AI6" s="23"/>
      <c r="AJ6" s="23"/>
      <c r="AK6" s="23"/>
      <c r="AL6" s="23"/>
      <c r="AM6" s="23"/>
      <c r="AN6" s="23"/>
      <c r="AO6" s="23"/>
      <c r="AP6" s="23"/>
      <c r="AQ6" s="23"/>
      <c r="AR6" s="23"/>
      <c r="AS6" s="23"/>
      <c r="AT6" s="23"/>
      <c r="AU6" s="23"/>
      <c r="AV6" s="23"/>
      <c r="AW6" s="24"/>
    </row>
    <row r="7" spans="1:49" x14ac:dyDescent="0.25">
      <c r="A7" s="6">
        <v>1800</v>
      </c>
      <c r="B7" s="23"/>
      <c r="C7" s="23"/>
      <c r="D7" s="23"/>
      <c r="E7" s="23"/>
      <c r="F7" s="23"/>
      <c r="G7" s="23"/>
      <c r="H7" s="23"/>
      <c r="I7" s="23"/>
      <c r="J7" s="23"/>
      <c r="K7" s="23"/>
      <c r="L7" s="23"/>
      <c r="M7" s="23"/>
      <c r="N7" s="23"/>
      <c r="O7" s="23"/>
      <c r="P7" s="23"/>
      <c r="Q7" s="23"/>
      <c r="R7" s="23"/>
      <c r="S7" s="23"/>
      <c r="T7" s="23"/>
      <c r="U7" s="23"/>
      <c r="V7" s="23"/>
      <c r="W7" s="23"/>
      <c r="X7" s="24"/>
      <c r="Z7" s="6">
        <v>1800</v>
      </c>
      <c r="AA7" s="23"/>
      <c r="AB7" s="23"/>
      <c r="AC7" s="23"/>
      <c r="AD7" s="23"/>
      <c r="AE7" s="23"/>
      <c r="AF7" s="23"/>
      <c r="AG7" s="23"/>
      <c r="AH7" s="23"/>
      <c r="AI7" s="23"/>
      <c r="AJ7" s="23"/>
      <c r="AK7" s="23"/>
      <c r="AL7" s="23"/>
      <c r="AM7" s="23"/>
      <c r="AN7" s="23"/>
      <c r="AO7" s="23"/>
      <c r="AP7" s="23"/>
      <c r="AQ7" s="23"/>
      <c r="AR7" s="23"/>
      <c r="AS7" s="23"/>
      <c r="AT7" s="23"/>
      <c r="AU7" s="23"/>
      <c r="AV7" s="23"/>
      <c r="AW7" s="24"/>
    </row>
    <row r="8" spans="1:49" x14ac:dyDescent="0.25">
      <c r="A8" s="6">
        <v>2000</v>
      </c>
      <c r="B8" s="23"/>
      <c r="C8" s="23"/>
      <c r="D8" s="23"/>
      <c r="E8" s="23"/>
      <c r="F8" s="23"/>
      <c r="G8" s="23"/>
      <c r="H8" s="23"/>
      <c r="I8" s="23"/>
      <c r="J8" s="23"/>
      <c r="K8" s="23"/>
      <c r="L8" s="23"/>
      <c r="M8" s="23"/>
      <c r="N8" s="23"/>
      <c r="O8" s="23"/>
      <c r="P8" s="23"/>
      <c r="Q8" s="23"/>
      <c r="R8" s="23"/>
      <c r="S8" s="23"/>
      <c r="T8" s="23"/>
      <c r="U8" s="23"/>
      <c r="V8" s="23"/>
      <c r="W8" s="23"/>
      <c r="X8" s="24"/>
      <c r="Z8" s="6">
        <v>2000</v>
      </c>
      <c r="AA8" s="23"/>
      <c r="AB8" s="23"/>
      <c r="AC8" s="23"/>
      <c r="AD8" s="23"/>
      <c r="AE8" s="23"/>
      <c r="AF8" s="23"/>
      <c r="AG8" s="23"/>
      <c r="AH8" s="23"/>
      <c r="AI8" s="23"/>
      <c r="AJ8" s="23"/>
      <c r="AK8" s="23"/>
      <c r="AL8" s="23"/>
      <c r="AM8" s="23"/>
      <c r="AN8" s="23"/>
      <c r="AO8" s="23"/>
      <c r="AP8" s="23"/>
      <c r="AQ8" s="23"/>
      <c r="AR8" s="23"/>
      <c r="AS8" s="23"/>
      <c r="AT8" s="23"/>
      <c r="AU8" s="23"/>
      <c r="AV8" s="23"/>
      <c r="AW8" s="24"/>
    </row>
    <row r="9" spans="1:49" x14ac:dyDescent="0.25">
      <c r="A9" s="6">
        <v>2200</v>
      </c>
      <c r="B9" s="23"/>
      <c r="C9" s="23"/>
      <c r="D9" s="23"/>
      <c r="E9" s="23"/>
      <c r="F9" s="23"/>
      <c r="G9" s="23"/>
      <c r="H9" s="23"/>
      <c r="I9" s="23"/>
      <c r="J9" s="23"/>
      <c r="K9" s="23"/>
      <c r="L9" s="23"/>
      <c r="M9" s="23"/>
      <c r="N9" s="23"/>
      <c r="O9" s="23"/>
      <c r="P9" s="23"/>
      <c r="Q9" s="23"/>
      <c r="R9" s="23"/>
      <c r="S9" s="23"/>
      <c r="T9" s="23"/>
      <c r="U9" s="23"/>
      <c r="V9" s="23"/>
      <c r="W9" s="23"/>
      <c r="X9" s="24"/>
      <c r="Z9" s="6">
        <v>2200</v>
      </c>
      <c r="AA9" s="23"/>
      <c r="AB9" s="23"/>
      <c r="AC9" s="23"/>
      <c r="AD9" s="23"/>
      <c r="AE9" s="23"/>
      <c r="AF9" s="23"/>
      <c r="AG9" s="23"/>
      <c r="AH9" s="23"/>
      <c r="AI9" s="23"/>
      <c r="AJ9" s="23"/>
      <c r="AK9" s="23"/>
      <c r="AL9" s="23"/>
      <c r="AM9" s="23"/>
      <c r="AN9" s="23"/>
      <c r="AO9" s="23"/>
      <c r="AP9" s="23"/>
      <c r="AQ9" s="23"/>
      <c r="AR9" s="23"/>
      <c r="AS9" s="23"/>
      <c r="AT9" s="23"/>
      <c r="AU9" s="23"/>
      <c r="AV9" s="23"/>
      <c r="AW9" s="24"/>
    </row>
    <row r="10" spans="1:49" x14ac:dyDescent="0.25">
      <c r="A10" s="6">
        <v>2400</v>
      </c>
      <c r="B10" s="23"/>
      <c r="C10" s="23"/>
      <c r="D10" s="23"/>
      <c r="E10" s="23"/>
      <c r="F10" s="23"/>
      <c r="G10" s="23"/>
      <c r="H10" s="23"/>
      <c r="I10" s="23"/>
      <c r="J10" s="23"/>
      <c r="K10" s="23"/>
      <c r="L10" s="23"/>
      <c r="M10" s="23"/>
      <c r="N10" s="23"/>
      <c r="O10" s="23"/>
      <c r="P10" s="23"/>
      <c r="Q10" s="23"/>
      <c r="R10" s="23"/>
      <c r="S10" s="23"/>
      <c r="T10" s="23"/>
      <c r="U10" s="23"/>
      <c r="V10" s="23"/>
      <c r="W10" s="23"/>
      <c r="X10" s="24"/>
      <c r="Z10" s="6">
        <v>2400</v>
      </c>
      <c r="AA10" s="23"/>
      <c r="AB10" s="23"/>
      <c r="AC10" s="23"/>
      <c r="AD10" s="23"/>
      <c r="AE10" s="23"/>
      <c r="AF10" s="23"/>
      <c r="AG10" s="23"/>
      <c r="AH10" s="23"/>
      <c r="AI10" s="23"/>
      <c r="AJ10" s="23"/>
      <c r="AK10" s="23"/>
      <c r="AL10" s="23"/>
      <c r="AM10" s="23"/>
      <c r="AN10" s="23"/>
      <c r="AO10" s="23"/>
      <c r="AP10" s="23"/>
      <c r="AQ10" s="23"/>
      <c r="AR10" s="23"/>
      <c r="AS10" s="23"/>
      <c r="AT10" s="23"/>
      <c r="AU10" s="23"/>
      <c r="AV10" s="23"/>
      <c r="AW10" s="24"/>
    </row>
    <row r="11" spans="1:49" x14ac:dyDescent="0.25">
      <c r="A11" s="6">
        <v>2600</v>
      </c>
      <c r="B11" s="23"/>
      <c r="C11" s="23"/>
      <c r="D11" s="23"/>
      <c r="E11" s="23"/>
      <c r="F11" s="23"/>
      <c r="G11" s="23"/>
      <c r="H11" s="23"/>
      <c r="I11" s="23"/>
      <c r="J11" s="23"/>
      <c r="K11" s="23"/>
      <c r="L11" s="23"/>
      <c r="M11" s="23"/>
      <c r="N11" s="23"/>
      <c r="O11" s="23"/>
      <c r="P11" s="23"/>
      <c r="Q11" s="23"/>
      <c r="R11" s="23"/>
      <c r="S11" s="23"/>
      <c r="T11" s="23"/>
      <c r="U11" s="23"/>
      <c r="V11" s="23"/>
      <c r="W11" s="23"/>
      <c r="X11" s="24"/>
      <c r="Z11" s="6">
        <v>2600</v>
      </c>
      <c r="AA11" s="23"/>
      <c r="AB11" s="23"/>
      <c r="AC11" s="23"/>
      <c r="AD11" s="23"/>
      <c r="AE11" s="23"/>
      <c r="AF11" s="23"/>
      <c r="AG11" s="23"/>
      <c r="AH11" s="23"/>
      <c r="AI11" s="23"/>
      <c r="AJ11" s="23"/>
      <c r="AK11" s="23"/>
      <c r="AL11" s="23"/>
      <c r="AM11" s="23"/>
      <c r="AN11" s="23"/>
      <c r="AO11" s="23"/>
      <c r="AP11" s="23"/>
      <c r="AQ11" s="23"/>
      <c r="AR11" s="23"/>
      <c r="AS11" s="23"/>
      <c r="AT11" s="23"/>
      <c r="AU11" s="23"/>
      <c r="AV11" s="23"/>
      <c r="AW11" s="24"/>
    </row>
    <row r="12" spans="1:49" x14ac:dyDescent="0.25">
      <c r="A12" s="6">
        <v>2800</v>
      </c>
      <c r="B12" s="23"/>
      <c r="C12" s="23"/>
      <c r="D12" s="23"/>
      <c r="E12" s="23"/>
      <c r="F12" s="23"/>
      <c r="G12" s="23"/>
      <c r="H12" s="23"/>
      <c r="I12" s="23"/>
      <c r="J12" s="23"/>
      <c r="K12" s="23"/>
      <c r="L12" s="23"/>
      <c r="M12" s="23"/>
      <c r="N12" s="23"/>
      <c r="O12" s="23"/>
      <c r="P12" s="23"/>
      <c r="Q12" s="23"/>
      <c r="R12" s="23"/>
      <c r="S12" s="23"/>
      <c r="T12" s="23"/>
      <c r="U12" s="23"/>
      <c r="V12" s="23"/>
      <c r="W12" s="23"/>
      <c r="X12" s="24"/>
      <c r="Z12" s="6">
        <v>2800</v>
      </c>
      <c r="AA12" s="23"/>
      <c r="AB12" s="23"/>
      <c r="AC12" s="23"/>
      <c r="AD12" s="23"/>
      <c r="AE12" s="23"/>
      <c r="AF12" s="23"/>
      <c r="AG12" s="23"/>
      <c r="AH12" s="23"/>
      <c r="AI12" s="23"/>
      <c r="AJ12" s="23"/>
      <c r="AK12" s="23"/>
      <c r="AL12" s="23"/>
      <c r="AM12" s="23"/>
      <c r="AN12" s="23"/>
      <c r="AO12" s="23"/>
      <c r="AP12" s="23"/>
      <c r="AQ12" s="23"/>
      <c r="AR12" s="23"/>
      <c r="AS12" s="23"/>
      <c r="AT12" s="23"/>
      <c r="AU12" s="23"/>
      <c r="AV12" s="23"/>
      <c r="AW12" s="24"/>
    </row>
    <row r="13" spans="1:49" x14ac:dyDescent="0.25">
      <c r="A13" s="6">
        <v>3000</v>
      </c>
      <c r="B13" s="23"/>
      <c r="C13" s="23"/>
      <c r="D13" s="23"/>
      <c r="E13" s="23"/>
      <c r="F13" s="23"/>
      <c r="G13" s="23"/>
      <c r="H13" s="23"/>
      <c r="I13" s="23"/>
      <c r="J13" s="23"/>
      <c r="K13" s="23"/>
      <c r="L13" s="23"/>
      <c r="M13" s="23"/>
      <c r="N13" s="23"/>
      <c r="O13" s="23"/>
      <c r="P13" s="23"/>
      <c r="Q13" s="23"/>
      <c r="R13" s="23"/>
      <c r="S13" s="23"/>
      <c r="T13" s="23"/>
      <c r="U13" s="23"/>
      <c r="V13" s="23"/>
      <c r="W13" s="23"/>
      <c r="X13" s="24"/>
      <c r="Z13" s="6">
        <v>3000</v>
      </c>
      <c r="AA13" s="23"/>
      <c r="AB13" s="23"/>
      <c r="AC13" s="23"/>
      <c r="AD13" s="23"/>
      <c r="AE13" s="23"/>
      <c r="AF13" s="23"/>
      <c r="AG13" s="23"/>
      <c r="AH13" s="23"/>
      <c r="AI13" s="23"/>
      <c r="AJ13" s="23"/>
      <c r="AK13" s="23"/>
      <c r="AL13" s="23"/>
      <c r="AM13" s="23"/>
      <c r="AN13" s="23"/>
      <c r="AO13" s="23"/>
      <c r="AP13" s="23"/>
      <c r="AQ13" s="23"/>
      <c r="AR13" s="23"/>
      <c r="AS13" s="23"/>
      <c r="AT13" s="23"/>
      <c r="AU13" s="23"/>
      <c r="AV13" s="23"/>
      <c r="AW13" s="24"/>
    </row>
    <row r="14" spans="1:49" x14ac:dyDescent="0.25">
      <c r="A14" s="6">
        <v>3200</v>
      </c>
      <c r="B14" s="23"/>
      <c r="C14" s="23"/>
      <c r="D14" s="23"/>
      <c r="E14" s="23"/>
      <c r="F14" s="23"/>
      <c r="G14" s="23"/>
      <c r="H14" s="23"/>
      <c r="I14" s="23"/>
      <c r="J14" s="23"/>
      <c r="K14" s="23"/>
      <c r="L14" s="23"/>
      <c r="M14" s="23"/>
      <c r="N14" s="23"/>
      <c r="O14" s="23"/>
      <c r="P14" s="23"/>
      <c r="Q14" s="23"/>
      <c r="R14" s="23"/>
      <c r="S14" s="23"/>
      <c r="T14" s="23"/>
      <c r="U14" s="23"/>
      <c r="V14" s="23"/>
      <c r="W14" s="23"/>
      <c r="X14" s="24"/>
      <c r="Z14" s="6">
        <v>3200</v>
      </c>
      <c r="AA14" s="23"/>
      <c r="AB14" s="23"/>
      <c r="AC14" s="23"/>
      <c r="AD14" s="23"/>
      <c r="AE14" s="23"/>
      <c r="AF14" s="23"/>
      <c r="AG14" s="23"/>
      <c r="AH14" s="23"/>
      <c r="AI14" s="23"/>
      <c r="AJ14" s="23"/>
      <c r="AK14" s="23"/>
      <c r="AL14" s="23"/>
      <c r="AM14" s="23"/>
      <c r="AN14" s="23"/>
      <c r="AO14" s="23"/>
      <c r="AP14" s="23"/>
      <c r="AQ14" s="23"/>
      <c r="AR14" s="23"/>
      <c r="AS14" s="23"/>
      <c r="AT14" s="23"/>
      <c r="AU14" s="23"/>
      <c r="AV14" s="23"/>
      <c r="AW14" s="24"/>
    </row>
    <row r="15" spans="1:49" x14ac:dyDescent="0.25">
      <c r="A15" s="6">
        <v>3400</v>
      </c>
      <c r="B15" s="23"/>
      <c r="C15" s="23"/>
      <c r="D15" s="23"/>
      <c r="E15" s="23"/>
      <c r="F15" s="23"/>
      <c r="G15" s="23"/>
      <c r="H15" s="23"/>
      <c r="I15" s="23"/>
      <c r="J15" s="23"/>
      <c r="K15" s="23"/>
      <c r="L15" s="23"/>
      <c r="M15" s="23"/>
      <c r="N15" s="23"/>
      <c r="O15" s="23"/>
      <c r="P15" s="23"/>
      <c r="Q15" s="23"/>
      <c r="R15" s="23"/>
      <c r="S15" s="23"/>
      <c r="T15" s="23"/>
      <c r="U15" s="23"/>
      <c r="V15" s="23"/>
      <c r="W15" s="23"/>
      <c r="X15" s="24"/>
      <c r="Z15" s="6">
        <v>3400</v>
      </c>
      <c r="AA15" s="23"/>
      <c r="AB15" s="23"/>
      <c r="AC15" s="23"/>
      <c r="AD15" s="23"/>
      <c r="AE15" s="23"/>
      <c r="AF15" s="23"/>
      <c r="AG15" s="23"/>
      <c r="AH15" s="23"/>
      <c r="AI15" s="23"/>
      <c r="AJ15" s="23"/>
      <c r="AK15" s="23"/>
      <c r="AL15" s="23"/>
      <c r="AM15" s="23"/>
      <c r="AN15" s="23"/>
      <c r="AO15" s="23"/>
      <c r="AP15" s="23"/>
      <c r="AQ15" s="23"/>
      <c r="AR15" s="23"/>
      <c r="AS15" s="23"/>
      <c r="AT15" s="23"/>
      <c r="AU15" s="23"/>
      <c r="AV15" s="23"/>
      <c r="AW15" s="24"/>
    </row>
    <row r="16" spans="1:49" x14ac:dyDescent="0.25">
      <c r="A16" s="6">
        <v>3600</v>
      </c>
      <c r="B16" s="23"/>
      <c r="C16" s="23"/>
      <c r="D16" s="23"/>
      <c r="E16" s="23"/>
      <c r="F16" s="23"/>
      <c r="G16" s="23"/>
      <c r="H16" s="23"/>
      <c r="I16" s="23"/>
      <c r="J16" s="23"/>
      <c r="K16" s="23"/>
      <c r="L16" s="23"/>
      <c r="M16" s="23"/>
      <c r="N16" s="23"/>
      <c r="O16" s="23"/>
      <c r="P16" s="23"/>
      <c r="Q16" s="23"/>
      <c r="R16" s="23"/>
      <c r="S16" s="23"/>
      <c r="T16" s="23"/>
      <c r="U16" s="23"/>
      <c r="V16" s="23"/>
      <c r="W16" s="23"/>
      <c r="X16" s="24"/>
      <c r="Z16" s="6">
        <v>3600</v>
      </c>
      <c r="AA16" s="23"/>
      <c r="AB16" s="23"/>
      <c r="AC16" s="23"/>
      <c r="AD16" s="23"/>
      <c r="AE16" s="23"/>
      <c r="AF16" s="23"/>
      <c r="AG16" s="23"/>
      <c r="AH16" s="23"/>
      <c r="AI16" s="23"/>
      <c r="AJ16" s="23"/>
      <c r="AK16" s="23"/>
      <c r="AL16" s="23"/>
      <c r="AM16" s="23"/>
      <c r="AN16" s="23"/>
      <c r="AO16" s="23"/>
      <c r="AP16" s="23"/>
      <c r="AQ16" s="23"/>
      <c r="AR16" s="23"/>
      <c r="AS16" s="23"/>
      <c r="AT16" s="23"/>
      <c r="AU16" s="23"/>
      <c r="AV16" s="23"/>
      <c r="AW16" s="24"/>
    </row>
    <row r="17" spans="1:49" x14ac:dyDescent="0.25">
      <c r="A17" s="6">
        <v>3800</v>
      </c>
      <c r="B17" s="23"/>
      <c r="C17" s="23"/>
      <c r="D17" s="23"/>
      <c r="E17" s="23"/>
      <c r="F17" s="23"/>
      <c r="G17" s="23"/>
      <c r="H17" s="23"/>
      <c r="I17" s="23"/>
      <c r="J17" s="23"/>
      <c r="K17" s="23"/>
      <c r="L17" s="23"/>
      <c r="M17" s="23"/>
      <c r="N17" s="23"/>
      <c r="O17" s="23"/>
      <c r="P17" s="23"/>
      <c r="Q17" s="23"/>
      <c r="R17" s="23"/>
      <c r="S17" s="23"/>
      <c r="T17" s="23"/>
      <c r="U17" s="23"/>
      <c r="V17" s="23"/>
      <c r="W17" s="23"/>
      <c r="X17" s="24"/>
      <c r="Z17" s="6">
        <v>3800</v>
      </c>
      <c r="AA17" s="23"/>
      <c r="AB17" s="23"/>
      <c r="AC17" s="23"/>
      <c r="AD17" s="23"/>
      <c r="AE17" s="23"/>
      <c r="AF17" s="23"/>
      <c r="AG17" s="23"/>
      <c r="AH17" s="23"/>
      <c r="AI17" s="23"/>
      <c r="AJ17" s="23"/>
      <c r="AK17" s="23"/>
      <c r="AL17" s="23"/>
      <c r="AM17" s="23"/>
      <c r="AN17" s="23"/>
      <c r="AO17" s="23"/>
      <c r="AP17" s="23"/>
      <c r="AQ17" s="23"/>
      <c r="AR17" s="23"/>
      <c r="AS17" s="23"/>
      <c r="AT17" s="23"/>
      <c r="AU17" s="23"/>
      <c r="AV17" s="23"/>
      <c r="AW17" s="24"/>
    </row>
    <row r="18" spans="1:49" x14ac:dyDescent="0.25">
      <c r="A18" s="6">
        <v>4000</v>
      </c>
      <c r="B18" s="23"/>
      <c r="C18" s="23"/>
      <c r="D18" s="23"/>
      <c r="E18" s="23"/>
      <c r="F18" s="23"/>
      <c r="G18" s="23"/>
      <c r="H18" s="23"/>
      <c r="I18" s="23"/>
      <c r="J18" s="23"/>
      <c r="K18" s="23"/>
      <c r="L18" s="23"/>
      <c r="M18" s="23"/>
      <c r="N18" s="23"/>
      <c r="O18" s="23"/>
      <c r="P18" s="23"/>
      <c r="Q18" s="23"/>
      <c r="R18" s="23"/>
      <c r="S18" s="23"/>
      <c r="T18" s="23"/>
      <c r="U18" s="23"/>
      <c r="V18" s="23"/>
      <c r="W18" s="23"/>
      <c r="X18" s="24"/>
      <c r="Z18" s="6">
        <v>4000</v>
      </c>
      <c r="AA18" s="23"/>
      <c r="AB18" s="23"/>
      <c r="AC18" s="23"/>
      <c r="AD18" s="23"/>
      <c r="AE18" s="23"/>
      <c r="AF18" s="23"/>
      <c r="AG18" s="23"/>
      <c r="AH18" s="23"/>
      <c r="AI18" s="23"/>
      <c r="AJ18" s="23"/>
      <c r="AK18" s="23"/>
      <c r="AL18" s="23"/>
      <c r="AM18" s="23"/>
      <c r="AN18" s="23"/>
      <c r="AO18" s="23"/>
      <c r="AP18" s="23"/>
      <c r="AQ18" s="23"/>
      <c r="AR18" s="23"/>
      <c r="AS18" s="23"/>
      <c r="AT18" s="23"/>
      <c r="AU18" s="23"/>
      <c r="AV18" s="23"/>
      <c r="AW18" s="24"/>
    </row>
    <row r="19" spans="1:49" x14ac:dyDescent="0.25">
      <c r="A19" s="6">
        <v>4200</v>
      </c>
      <c r="B19" s="23"/>
      <c r="C19" s="23"/>
      <c r="D19" s="23"/>
      <c r="E19" s="23"/>
      <c r="F19" s="23"/>
      <c r="G19" s="23"/>
      <c r="H19" s="23"/>
      <c r="I19" s="23"/>
      <c r="J19" s="23"/>
      <c r="K19" s="23"/>
      <c r="L19" s="23"/>
      <c r="M19" s="23"/>
      <c r="N19" s="23"/>
      <c r="O19" s="23"/>
      <c r="P19" s="23"/>
      <c r="Q19" s="23"/>
      <c r="R19" s="23"/>
      <c r="S19" s="23"/>
      <c r="T19" s="23"/>
      <c r="U19" s="23"/>
      <c r="V19" s="23"/>
      <c r="W19" s="23"/>
      <c r="X19" s="24"/>
      <c r="Z19" s="6">
        <v>4200</v>
      </c>
      <c r="AA19" s="23"/>
      <c r="AB19" s="23"/>
      <c r="AC19" s="23"/>
      <c r="AD19" s="23"/>
      <c r="AE19" s="23"/>
      <c r="AF19" s="23"/>
      <c r="AG19" s="23"/>
      <c r="AH19" s="23"/>
      <c r="AI19" s="23"/>
      <c r="AJ19" s="23"/>
      <c r="AK19" s="23"/>
      <c r="AL19" s="23"/>
      <c r="AM19" s="23"/>
      <c r="AN19" s="23"/>
      <c r="AO19" s="23"/>
      <c r="AP19" s="23"/>
      <c r="AQ19" s="23"/>
      <c r="AR19" s="23"/>
      <c r="AS19" s="23"/>
      <c r="AT19" s="23"/>
      <c r="AU19" s="23"/>
      <c r="AV19" s="23"/>
      <c r="AW19" s="24"/>
    </row>
    <row r="20" spans="1:49" x14ac:dyDescent="0.25">
      <c r="A20" s="6">
        <v>4400</v>
      </c>
      <c r="B20" s="23"/>
      <c r="C20" s="23"/>
      <c r="D20" s="23"/>
      <c r="E20" s="23"/>
      <c r="F20" s="23"/>
      <c r="G20" s="23"/>
      <c r="H20" s="23"/>
      <c r="I20" s="23"/>
      <c r="J20" s="23"/>
      <c r="K20" s="23"/>
      <c r="L20" s="23"/>
      <c r="M20" s="23"/>
      <c r="N20" s="23"/>
      <c r="O20" s="23"/>
      <c r="P20" s="23"/>
      <c r="Q20" s="23"/>
      <c r="R20" s="23"/>
      <c r="S20" s="23"/>
      <c r="T20" s="23"/>
      <c r="U20" s="23"/>
      <c r="V20" s="23"/>
      <c r="W20" s="23"/>
      <c r="X20" s="24"/>
      <c r="Z20" s="6">
        <v>4400</v>
      </c>
      <c r="AA20" s="23"/>
      <c r="AB20" s="23"/>
      <c r="AC20" s="23"/>
      <c r="AD20" s="23"/>
      <c r="AE20" s="23"/>
      <c r="AF20" s="23"/>
      <c r="AG20" s="23"/>
      <c r="AH20" s="23"/>
      <c r="AI20" s="23"/>
      <c r="AJ20" s="23"/>
      <c r="AK20" s="23"/>
      <c r="AL20" s="23"/>
      <c r="AM20" s="23"/>
      <c r="AN20" s="23"/>
      <c r="AO20" s="23"/>
      <c r="AP20" s="23"/>
      <c r="AQ20" s="23"/>
      <c r="AR20" s="23"/>
      <c r="AS20" s="23"/>
      <c r="AT20" s="23"/>
      <c r="AU20" s="23"/>
      <c r="AV20" s="23"/>
      <c r="AW20" s="24"/>
    </row>
    <row r="21" spans="1:49" x14ac:dyDescent="0.25">
      <c r="A21" s="6">
        <v>4600</v>
      </c>
      <c r="B21" s="23"/>
      <c r="C21" s="23"/>
      <c r="D21" s="23"/>
      <c r="E21" s="23"/>
      <c r="F21" s="23"/>
      <c r="G21" s="23"/>
      <c r="H21" s="23"/>
      <c r="I21" s="23"/>
      <c r="J21" s="23"/>
      <c r="K21" s="23"/>
      <c r="L21" s="23"/>
      <c r="M21" s="23"/>
      <c r="N21" s="23"/>
      <c r="O21" s="23"/>
      <c r="P21" s="23"/>
      <c r="Q21" s="23"/>
      <c r="R21" s="23"/>
      <c r="S21" s="23"/>
      <c r="T21" s="23"/>
      <c r="U21" s="23"/>
      <c r="V21" s="23"/>
      <c r="W21" s="23"/>
      <c r="X21" s="24"/>
      <c r="Z21" s="6">
        <v>4600</v>
      </c>
      <c r="AA21" s="23"/>
      <c r="AB21" s="23"/>
      <c r="AC21" s="23"/>
      <c r="AD21" s="23"/>
      <c r="AE21" s="23"/>
      <c r="AF21" s="23"/>
      <c r="AG21" s="23"/>
      <c r="AH21" s="23"/>
      <c r="AI21" s="23"/>
      <c r="AJ21" s="23"/>
      <c r="AK21" s="23"/>
      <c r="AL21" s="23"/>
      <c r="AM21" s="23"/>
      <c r="AN21" s="23"/>
      <c r="AO21" s="23"/>
      <c r="AP21" s="23"/>
      <c r="AQ21" s="23"/>
      <c r="AR21" s="23"/>
      <c r="AS21" s="23"/>
      <c r="AT21" s="23"/>
      <c r="AU21" s="23"/>
      <c r="AV21" s="23"/>
      <c r="AW21" s="24"/>
    </row>
    <row r="22" spans="1:49" x14ac:dyDescent="0.25">
      <c r="A22" s="6">
        <v>4800</v>
      </c>
      <c r="B22" s="23"/>
      <c r="C22" s="23"/>
      <c r="D22" s="23"/>
      <c r="E22" s="23"/>
      <c r="F22" s="23"/>
      <c r="G22" s="23"/>
      <c r="H22" s="23"/>
      <c r="I22" s="23"/>
      <c r="J22" s="23"/>
      <c r="K22" s="23"/>
      <c r="L22" s="23"/>
      <c r="M22" s="23"/>
      <c r="N22" s="23"/>
      <c r="O22" s="23"/>
      <c r="P22" s="23"/>
      <c r="Q22" s="23"/>
      <c r="R22" s="23"/>
      <c r="S22" s="23"/>
      <c r="T22" s="23"/>
      <c r="U22" s="23"/>
      <c r="V22" s="23"/>
      <c r="W22" s="23"/>
      <c r="X22" s="24"/>
      <c r="Z22" s="6">
        <v>4800</v>
      </c>
      <c r="AA22" s="23"/>
      <c r="AB22" s="23"/>
      <c r="AC22" s="23"/>
      <c r="AD22" s="23"/>
      <c r="AE22" s="23"/>
      <c r="AF22" s="23"/>
      <c r="AG22" s="23"/>
      <c r="AH22" s="23"/>
      <c r="AI22" s="23"/>
      <c r="AJ22" s="23"/>
      <c r="AK22" s="23"/>
      <c r="AL22" s="23"/>
      <c r="AM22" s="23"/>
      <c r="AN22" s="23"/>
      <c r="AO22" s="23"/>
      <c r="AP22" s="23"/>
      <c r="AQ22" s="23"/>
      <c r="AR22" s="23"/>
      <c r="AS22" s="23"/>
      <c r="AT22" s="23"/>
      <c r="AU22" s="23"/>
      <c r="AV22" s="23"/>
      <c r="AW22" s="24"/>
    </row>
    <row r="23" spans="1:49" x14ac:dyDescent="0.25">
      <c r="A23" s="6">
        <v>5000</v>
      </c>
      <c r="B23" s="23"/>
      <c r="C23" s="23"/>
      <c r="D23" s="23"/>
      <c r="E23" s="23"/>
      <c r="F23" s="23"/>
      <c r="G23" s="23"/>
      <c r="H23" s="23"/>
      <c r="I23" s="23"/>
      <c r="J23" s="23"/>
      <c r="K23" s="23"/>
      <c r="L23" s="23"/>
      <c r="M23" s="23"/>
      <c r="N23" s="23"/>
      <c r="O23" s="23"/>
      <c r="P23" s="23"/>
      <c r="Q23" s="23"/>
      <c r="R23" s="23"/>
      <c r="S23" s="23"/>
      <c r="T23" s="23"/>
      <c r="U23" s="23"/>
      <c r="V23" s="23"/>
      <c r="W23" s="23"/>
      <c r="X23" s="24"/>
      <c r="Z23" s="6">
        <v>5000</v>
      </c>
      <c r="AA23" s="23"/>
      <c r="AB23" s="23"/>
      <c r="AC23" s="23"/>
      <c r="AD23" s="23"/>
      <c r="AE23" s="23"/>
      <c r="AF23" s="23"/>
      <c r="AG23" s="23"/>
      <c r="AH23" s="23"/>
      <c r="AI23" s="23"/>
      <c r="AJ23" s="23"/>
      <c r="AK23" s="23"/>
      <c r="AL23" s="23"/>
      <c r="AM23" s="23"/>
      <c r="AN23" s="23"/>
      <c r="AO23" s="23"/>
      <c r="AP23" s="23"/>
      <c r="AQ23" s="23"/>
      <c r="AR23" s="23"/>
      <c r="AS23" s="23"/>
      <c r="AT23" s="23"/>
      <c r="AU23" s="23"/>
      <c r="AV23" s="23"/>
      <c r="AW23" s="24"/>
    </row>
    <row r="24" spans="1:49" x14ac:dyDescent="0.25">
      <c r="A24" s="6">
        <v>5200</v>
      </c>
      <c r="B24" s="23"/>
      <c r="C24" s="23"/>
      <c r="D24" s="23"/>
      <c r="E24" s="23"/>
      <c r="F24" s="23"/>
      <c r="G24" s="23"/>
      <c r="H24" s="23"/>
      <c r="I24" s="23"/>
      <c r="J24" s="23"/>
      <c r="K24" s="23"/>
      <c r="L24" s="23"/>
      <c r="M24" s="23"/>
      <c r="N24" s="23"/>
      <c r="O24" s="23"/>
      <c r="P24" s="23"/>
      <c r="Q24" s="23"/>
      <c r="R24" s="23"/>
      <c r="S24" s="23"/>
      <c r="T24" s="23"/>
      <c r="U24" s="23"/>
      <c r="V24" s="23"/>
      <c r="W24" s="23"/>
      <c r="X24" s="24"/>
      <c r="Z24" s="6">
        <v>5200</v>
      </c>
      <c r="AA24" s="23"/>
      <c r="AB24" s="23"/>
      <c r="AC24" s="23"/>
      <c r="AD24" s="23"/>
      <c r="AE24" s="23"/>
      <c r="AF24" s="23"/>
      <c r="AG24" s="23"/>
      <c r="AH24" s="23"/>
      <c r="AI24" s="23"/>
      <c r="AJ24" s="23"/>
      <c r="AK24" s="23"/>
      <c r="AL24" s="23"/>
      <c r="AM24" s="23"/>
      <c r="AN24" s="23"/>
      <c r="AO24" s="23"/>
      <c r="AP24" s="23"/>
      <c r="AQ24" s="23"/>
      <c r="AR24" s="23"/>
      <c r="AS24" s="23"/>
      <c r="AT24" s="23"/>
      <c r="AU24" s="23"/>
      <c r="AV24" s="23"/>
      <c r="AW24" s="24"/>
    </row>
    <row r="25" spans="1:49" x14ac:dyDescent="0.25">
      <c r="A25" s="6">
        <v>5600</v>
      </c>
      <c r="B25" s="23"/>
      <c r="C25" s="23"/>
      <c r="D25" s="23"/>
      <c r="E25" s="23"/>
      <c r="F25" s="23"/>
      <c r="G25" s="23"/>
      <c r="H25" s="23"/>
      <c r="I25" s="23"/>
      <c r="J25" s="23"/>
      <c r="K25" s="23"/>
      <c r="L25" s="23"/>
      <c r="M25" s="23"/>
      <c r="N25" s="23"/>
      <c r="O25" s="23"/>
      <c r="P25" s="23"/>
      <c r="Q25" s="23"/>
      <c r="R25" s="23"/>
      <c r="S25" s="23"/>
      <c r="T25" s="23"/>
      <c r="U25" s="23"/>
      <c r="V25" s="23"/>
      <c r="W25" s="23"/>
      <c r="X25" s="24"/>
      <c r="Z25" s="6">
        <v>5600</v>
      </c>
      <c r="AA25" s="23"/>
      <c r="AB25" s="23"/>
      <c r="AC25" s="23"/>
      <c r="AD25" s="23"/>
      <c r="AE25" s="23"/>
      <c r="AF25" s="23"/>
      <c r="AG25" s="23"/>
      <c r="AH25" s="23"/>
      <c r="AI25" s="23"/>
      <c r="AJ25" s="23"/>
      <c r="AK25" s="23"/>
      <c r="AL25" s="23"/>
      <c r="AM25" s="23"/>
      <c r="AN25" s="23"/>
      <c r="AO25" s="23"/>
      <c r="AP25" s="23"/>
      <c r="AQ25" s="23"/>
      <c r="AR25" s="23"/>
      <c r="AS25" s="23"/>
      <c r="AT25" s="23"/>
      <c r="AU25" s="23"/>
      <c r="AV25" s="23"/>
      <c r="AW25" s="24"/>
    </row>
    <row r="26" spans="1:49" x14ac:dyDescent="0.25">
      <c r="A26" s="6">
        <v>6000</v>
      </c>
      <c r="B26" s="23"/>
      <c r="C26" s="23"/>
      <c r="D26" s="23"/>
      <c r="E26" s="23"/>
      <c r="F26" s="23"/>
      <c r="G26" s="23"/>
      <c r="H26" s="23"/>
      <c r="I26" s="23"/>
      <c r="J26" s="23"/>
      <c r="K26" s="23"/>
      <c r="L26" s="23"/>
      <c r="M26" s="23"/>
      <c r="N26" s="23"/>
      <c r="O26" s="23"/>
      <c r="P26" s="23"/>
      <c r="Q26" s="23"/>
      <c r="R26" s="23"/>
      <c r="S26" s="23"/>
      <c r="T26" s="23"/>
      <c r="U26" s="23"/>
      <c r="V26" s="23"/>
      <c r="W26" s="23"/>
      <c r="X26" s="24"/>
      <c r="Z26" s="6">
        <v>6000</v>
      </c>
      <c r="AA26" s="23"/>
      <c r="AB26" s="23"/>
      <c r="AC26" s="23"/>
      <c r="AD26" s="23"/>
      <c r="AE26" s="23"/>
      <c r="AF26" s="23"/>
      <c r="AG26" s="23"/>
      <c r="AH26" s="23"/>
      <c r="AI26" s="23"/>
      <c r="AJ26" s="23"/>
      <c r="AK26" s="23"/>
      <c r="AL26" s="23"/>
      <c r="AM26" s="23"/>
      <c r="AN26" s="23"/>
      <c r="AO26" s="23"/>
      <c r="AP26" s="23"/>
      <c r="AQ26" s="23"/>
      <c r="AR26" s="23"/>
      <c r="AS26" s="23"/>
      <c r="AT26" s="23"/>
      <c r="AU26" s="23"/>
      <c r="AV26" s="23"/>
      <c r="AW26" s="24"/>
    </row>
    <row r="27" spans="1:49" x14ac:dyDescent="0.25">
      <c r="A27" s="6">
        <v>6400</v>
      </c>
      <c r="B27" s="23"/>
      <c r="C27" s="23"/>
      <c r="D27" s="23"/>
      <c r="E27" s="23"/>
      <c r="F27" s="23"/>
      <c r="G27" s="23"/>
      <c r="H27" s="23"/>
      <c r="I27" s="23"/>
      <c r="J27" s="23"/>
      <c r="K27" s="23"/>
      <c r="L27" s="23"/>
      <c r="M27" s="23"/>
      <c r="N27" s="23"/>
      <c r="O27" s="23"/>
      <c r="P27" s="23"/>
      <c r="Q27" s="23"/>
      <c r="R27" s="23"/>
      <c r="S27" s="23"/>
      <c r="T27" s="23"/>
      <c r="U27" s="23"/>
      <c r="V27" s="23"/>
      <c r="W27" s="23"/>
      <c r="X27" s="24"/>
      <c r="Z27" s="6">
        <v>6400</v>
      </c>
      <c r="AA27" s="23"/>
      <c r="AB27" s="23"/>
      <c r="AC27" s="23"/>
      <c r="AD27" s="23"/>
      <c r="AE27" s="23"/>
      <c r="AF27" s="23"/>
      <c r="AG27" s="23"/>
      <c r="AH27" s="23"/>
      <c r="AI27" s="23"/>
      <c r="AJ27" s="23"/>
      <c r="AK27" s="23"/>
      <c r="AL27" s="23"/>
      <c r="AM27" s="23"/>
      <c r="AN27" s="23"/>
      <c r="AO27" s="23"/>
      <c r="AP27" s="23"/>
      <c r="AQ27" s="23"/>
      <c r="AR27" s="23"/>
      <c r="AS27" s="23"/>
      <c r="AT27" s="23"/>
      <c r="AU27" s="23"/>
      <c r="AV27" s="23"/>
      <c r="AW27" s="24"/>
    </row>
    <row r="28" spans="1:49" x14ac:dyDescent="0.25">
      <c r="A28" s="6">
        <v>6800</v>
      </c>
      <c r="B28" s="23"/>
      <c r="C28" s="23"/>
      <c r="D28" s="23"/>
      <c r="E28" s="23"/>
      <c r="F28" s="23"/>
      <c r="G28" s="23"/>
      <c r="H28" s="23"/>
      <c r="I28" s="23"/>
      <c r="J28" s="23"/>
      <c r="K28" s="23"/>
      <c r="L28" s="23"/>
      <c r="M28" s="23"/>
      <c r="N28" s="23"/>
      <c r="O28" s="23"/>
      <c r="P28" s="23"/>
      <c r="Q28" s="23"/>
      <c r="R28" s="23"/>
      <c r="S28" s="23"/>
      <c r="T28" s="23"/>
      <c r="U28" s="23"/>
      <c r="V28" s="23"/>
      <c r="W28" s="23"/>
      <c r="X28" s="24"/>
      <c r="Z28" s="6">
        <v>6800</v>
      </c>
      <c r="AA28" s="23"/>
      <c r="AB28" s="23"/>
      <c r="AC28" s="23"/>
      <c r="AD28" s="23"/>
      <c r="AE28" s="23"/>
      <c r="AF28" s="23"/>
      <c r="AG28" s="23"/>
      <c r="AH28" s="23"/>
      <c r="AI28" s="23"/>
      <c r="AJ28" s="23"/>
      <c r="AK28" s="23"/>
      <c r="AL28" s="23"/>
      <c r="AM28" s="23"/>
      <c r="AN28" s="23"/>
      <c r="AO28" s="23"/>
      <c r="AP28" s="23"/>
      <c r="AQ28" s="23"/>
      <c r="AR28" s="23"/>
      <c r="AS28" s="23"/>
      <c r="AT28" s="23"/>
      <c r="AU28" s="23"/>
      <c r="AV28" s="23"/>
      <c r="AW28" s="24"/>
    </row>
    <row r="29" spans="1:49" x14ac:dyDescent="0.25">
      <c r="A29" s="6">
        <v>7200</v>
      </c>
      <c r="B29" s="23"/>
      <c r="C29" s="23"/>
      <c r="D29" s="23"/>
      <c r="E29" s="23"/>
      <c r="F29" s="23"/>
      <c r="G29" s="23"/>
      <c r="H29" s="23"/>
      <c r="I29" s="23"/>
      <c r="J29" s="23"/>
      <c r="K29" s="23"/>
      <c r="L29" s="23"/>
      <c r="M29" s="23"/>
      <c r="N29" s="23"/>
      <c r="O29" s="23"/>
      <c r="P29" s="23"/>
      <c r="Q29" s="23"/>
      <c r="R29" s="23"/>
      <c r="S29" s="23"/>
      <c r="T29" s="23"/>
      <c r="U29" s="23"/>
      <c r="V29" s="23"/>
      <c r="W29" s="23"/>
      <c r="X29" s="24"/>
      <c r="Z29" s="6">
        <v>7200</v>
      </c>
      <c r="AA29" s="23"/>
      <c r="AB29" s="23"/>
      <c r="AC29" s="23"/>
      <c r="AD29" s="23"/>
      <c r="AE29" s="23"/>
      <c r="AF29" s="23"/>
      <c r="AG29" s="23"/>
      <c r="AH29" s="23"/>
      <c r="AI29" s="23"/>
      <c r="AJ29" s="23"/>
      <c r="AK29" s="23"/>
      <c r="AL29" s="23"/>
      <c r="AM29" s="23"/>
      <c r="AN29" s="23"/>
      <c r="AO29" s="23"/>
      <c r="AP29" s="23"/>
      <c r="AQ29" s="23"/>
      <c r="AR29" s="23"/>
      <c r="AS29" s="23"/>
      <c r="AT29" s="23"/>
      <c r="AU29" s="23"/>
      <c r="AV29" s="23"/>
      <c r="AW29" s="24"/>
    </row>
    <row r="30" spans="1:49" x14ac:dyDescent="0.25">
      <c r="A30" s="6">
        <v>7600</v>
      </c>
      <c r="B30" s="23"/>
      <c r="C30" s="23"/>
      <c r="D30" s="23"/>
      <c r="E30" s="23"/>
      <c r="F30" s="23"/>
      <c r="G30" s="23"/>
      <c r="H30" s="23"/>
      <c r="I30" s="23"/>
      <c r="J30" s="23"/>
      <c r="K30" s="23"/>
      <c r="L30" s="23"/>
      <c r="M30" s="23"/>
      <c r="N30" s="23"/>
      <c r="O30" s="23"/>
      <c r="P30" s="23"/>
      <c r="Q30" s="23"/>
      <c r="R30" s="23"/>
      <c r="S30" s="23"/>
      <c r="T30" s="23"/>
      <c r="U30" s="23"/>
      <c r="V30" s="23"/>
      <c r="W30" s="23"/>
      <c r="X30" s="24"/>
      <c r="Z30" s="6">
        <v>7600</v>
      </c>
      <c r="AA30" s="23"/>
      <c r="AB30" s="23"/>
      <c r="AC30" s="23"/>
      <c r="AD30" s="23"/>
      <c r="AE30" s="23"/>
      <c r="AF30" s="23"/>
      <c r="AG30" s="23"/>
      <c r="AH30" s="23"/>
      <c r="AI30" s="23"/>
      <c r="AJ30" s="23"/>
      <c r="AK30" s="23"/>
      <c r="AL30" s="23"/>
      <c r="AM30" s="23"/>
      <c r="AN30" s="23"/>
      <c r="AO30" s="23"/>
      <c r="AP30" s="23"/>
      <c r="AQ30" s="23"/>
      <c r="AR30" s="23"/>
      <c r="AS30" s="23"/>
      <c r="AT30" s="23"/>
      <c r="AU30" s="23"/>
      <c r="AV30" s="23"/>
      <c r="AW30" s="24"/>
    </row>
    <row r="31" spans="1:49" x14ac:dyDescent="0.25">
      <c r="A31" s="6">
        <v>8000</v>
      </c>
      <c r="B31" s="23"/>
      <c r="C31" s="23"/>
      <c r="D31" s="23"/>
      <c r="E31" s="23"/>
      <c r="F31" s="23"/>
      <c r="G31" s="23"/>
      <c r="H31" s="23"/>
      <c r="I31" s="23"/>
      <c r="J31" s="23"/>
      <c r="K31" s="23"/>
      <c r="L31" s="23"/>
      <c r="M31" s="23"/>
      <c r="N31" s="23"/>
      <c r="O31" s="23"/>
      <c r="P31" s="23"/>
      <c r="Q31" s="23"/>
      <c r="R31" s="23"/>
      <c r="S31" s="23"/>
      <c r="T31" s="23"/>
      <c r="U31" s="23"/>
      <c r="V31" s="23"/>
      <c r="W31" s="23"/>
      <c r="X31" s="24"/>
      <c r="Z31" s="6">
        <v>8000</v>
      </c>
      <c r="AA31" s="23"/>
      <c r="AB31" s="23"/>
      <c r="AC31" s="23"/>
      <c r="AD31" s="23"/>
      <c r="AE31" s="23"/>
      <c r="AF31" s="23"/>
      <c r="AG31" s="23"/>
      <c r="AH31" s="23"/>
      <c r="AI31" s="23"/>
      <c r="AJ31" s="23"/>
      <c r="AK31" s="23"/>
      <c r="AL31" s="23"/>
      <c r="AM31" s="23"/>
      <c r="AN31" s="23"/>
      <c r="AO31" s="23"/>
      <c r="AP31" s="23"/>
      <c r="AQ31" s="23"/>
      <c r="AR31" s="23"/>
      <c r="AS31" s="23"/>
      <c r="AT31" s="23"/>
      <c r="AU31" s="23"/>
      <c r="AV31" s="23"/>
      <c r="AW31" s="24"/>
    </row>
    <row r="32" spans="1:49" x14ac:dyDescent="0.25">
      <c r="A32" s="6">
        <v>8400</v>
      </c>
      <c r="B32" s="23"/>
      <c r="C32" s="23"/>
      <c r="D32" s="23"/>
      <c r="E32" s="23"/>
      <c r="F32" s="23"/>
      <c r="G32" s="23"/>
      <c r="H32" s="23"/>
      <c r="I32" s="23"/>
      <c r="J32" s="23"/>
      <c r="K32" s="23"/>
      <c r="L32" s="23"/>
      <c r="M32" s="23"/>
      <c r="N32" s="23"/>
      <c r="O32" s="23"/>
      <c r="P32" s="23"/>
      <c r="Q32" s="23"/>
      <c r="R32" s="23"/>
      <c r="S32" s="23"/>
      <c r="T32" s="23"/>
      <c r="U32" s="23"/>
      <c r="V32" s="23"/>
      <c r="W32" s="23"/>
      <c r="X32" s="24"/>
      <c r="Z32" s="6">
        <v>8400</v>
      </c>
      <c r="AA32" s="23"/>
      <c r="AB32" s="23"/>
      <c r="AC32" s="23"/>
      <c r="AD32" s="23"/>
      <c r="AE32" s="23"/>
      <c r="AF32" s="23"/>
      <c r="AG32" s="23"/>
      <c r="AH32" s="23"/>
      <c r="AI32" s="23"/>
      <c r="AJ32" s="23"/>
      <c r="AK32" s="23"/>
      <c r="AL32" s="23"/>
      <c r="AM32" s="23"/>
      <c r="AN32" s="23"/>
      <c r="AO32" s="23"/>
      <c r="AP32" s="23"/>
      <c r="AQ32" s="23"/>
      <c r="AR32" s="23"/>
      <c r="AS32" s="23"/>
      <c r="AT32" s="23"/>
      <c r="AU32" s="23"/>
      <c r="AV32" s="23"/>
      <c r="AW32" s="24"/>
    </row>
    <row r="33" spans="1:49" x14ac:dyDescent="0.25">
      <c r="A33" s="6">
        <v>8800</v>
      </c>
      <c r="B33" s="23"/>
      <c r="C33" s="23"/>
      <c r="D33" s="23"/>
      <c r="E33" s="23"/>
      <c r="F33" s="23"/>
      <c r="G33" s="23"/>
      <c r="H33" s="23"/>
      <c r="I33" s="23"/>
      <c r="J33" s="23"/>
      <c r="K33" s="23"/>
      <c r="L33" s="23"/>
      <c r="M33" s="23"/>
      <c r="N33" s="23"/>
      <c r="O33" s="23"/>
      <c r="P33" s="23"/>
      <c r="Q33" s="23"/>
      <c r="R33" s="23"/>
      <c r="S33" s="23"/>
      <c r="T33" s="23"/>
      <c r="U33" s="23"/>
      <c r="V33" s="23"/>
      <c r="W33" s="23"/>
      <c r="X33" s="24"/>
      <c r="Z33" s="6">
        <v>8800</v>
      </c>
      <c r="AA33" s="23"/>
      <c r="AB33" s="23"/>
      <c r="AC33" s="23"/>
      <c r="AD33" s="23"/>
      <c r="AE33" s="23"/>
      <c r="AF33" s="23"/>
      <c r="AG33" s="23"/>
      <c r="AH33" s="23"/>
      <c r="AI33" s="23"/>
      <c r="AJ33" s="23"/>
      <c r="AK33" s="23"/>
      <c r="AL33" s="23"/>
      <c r="AM33" s="23"/>
      <c r="AN33" s="23"/>
      <c r="AO33" s="23"/>
      <c r="AP33" s="23"/>
      <c r="AQ33" s="23"/>
      <c r="AR33" s="23"/>
      <c r="AS33" s="23"/>
      <c r="AT33" s="23"/>
      <c r="AU33" s="23"/>
      <c r="AV33" s="23"/>
      <c r="AW33" s="24"/>
    </row>
    <row r="34" spans="1:49" x14ac:dyDescent="0.25">
      <c r="A34" s="6">
        <v>9200</v>
      </c>
      <c r="B34" s="23"/>
      <c r="C34" s="23"/>
      <c r="D34" s="23"/>
      <c r="E34" s="23"/>
      <c r="F34" s="23"/>
      <c r="G34" s="23"/>
      <c r="H34" s="23"/>
      <c r="I34" s="23"/>
      <c r="J34" s="23"/>
      <c r="K34" s="23"/>
      <c r="L34" s="23"/>
      <c r="M34" s="23"/>
      <c r="N34" s="23"/>
      <c r="O34" s="23"/>
      <c r="P34" s="23"/>
      <c r="Q34" s="23"/>
      <c r="R34" s="23"/>
      <c r="S34" s="23"/>
      <c r="T34" s="23"/>
      <c r="U34" s="23"/>
      <c r="V34" s="23"/>
      <c r="W34" s="23"/>
      <c r="X34" s="24"/>
      <c r="Z34" s="6">
        <v>9200</v>
      </c>
      <c r="AA34" s="23"/>
      <c r="AB34" s="23"/>
      <c r="AC34" s="23"/>
      <c r="AD34" s="23"/>
      <c r="AE34" s="23"/>
      <c r="AF34" s="23"/>
      <c r="AG34" s="23"/>
      <c r="AH34" s="23"/>
      <c r="AI34" s="23"/>
      <c r="AJ34" s="23"/>
      <c r="AK34" s="23"/>
      <c r="AL34" s="23"/>
      <c r="AM34" s="23"/>
      <c r="AN34" s="23"/>
      <c r="AO34" s="23"/>
      <c r="AP34" s="23"/>
      <c r="AQ34" s="23"/>
      <c r="AR34" s="23"/>
      <c r="AS34" s="23"/>
      <c r="AT34" s="23"/>
      <c r="AU34" s="23"/>
      <c r="AV34" s="23"/>
      <c r="AW34" s="24"/>
    </row>
    <row r="35" spans="1:49" x14ac:dyDescent="0.25">
      <c r="A35" s="6">
        <v>9600</v>
      </c>
      <c r="B35" s="23"/>
      <c r="C35" s="23"/>
      <c r="D35" s="23"/>
      <c r="E35" s="23"/>
      <c r="F35" s="23"/>
      <c r="G35" s="23"/>
      <c r="H35" s="23"/>
      <c r="I35" s="23"/>
      <c r="J35" s="23"/>
      <c r="K35" s="23"/>
      <c r="L35" s="23"/>
      <c r="M35" s="23"/>
      <c r="N35" s="23"/>
      <c r="O35" s="23"/>
      <c r="P35" s="23"/>
      <c r="Q35" s="23"/>
      <c r="R35" s="23"/>
      <c r="S35" s="23"/>
      <c r="T35" s="23"/>
      <c r="U35" s="23"/>
      <c r="V35" s="23"/>
      <c r="W35" s="23"/>
      <c r="X35" s="24"/>
      <c r="Z35" s="6">
        <v>9600</v>
      </c>
      <c r="AA35" s="23"/>
      <c r="AB35" s="23"/>
      <c r="AC35" s="23"/>
      <c r="AD35" s="23"/>
      <c r="AE35" s="23"/>
      <c r="AF35" s="23"/>
      <c r="AG35" s="23"/>
      <c r="AH35" s="23"/>
      <c r="AI35" s="23"/>
      <c r="AJ35" s="23"/>
      <c r="AK35" s="23"/>
      <c r="AL35" s="23"/>
      <c r="AM35" s="23"/>
      <c r="AN35" s="23"/>
      <c r="AO35" s="23"/>
      <c r="AP35" s="23"/>
      <c r="AQ35" s="23"/>
      <c r="AR35" s="23"/>
      <c r="AS35" s="23"/>
      <c r="AT35" s="23"/>
      <c r="AU35" s="23"/>
      <c r="AV35" s="23"/>
      <c r="AW35" s="24"/>
    </row>
    <row r="36" spans="1:49" x14ac:dyDescent="0.25">
      <c r="A36" s="6">
        <v>10000</v>
      </c>
      <c r="B36" s="23"/>
      <c r="C36" s="23"/>
      <c r="D36" s="23"/>
      <c r="E36" s="23"/>
      <c r="F36" s="23"/>
      <c r="G36" s="23"/>
      <c r="H36" s="23"/>
      <c r="I36" s="23"/>
      <c r="J36" s="23"/>
      <c r="K36" s="23"/>
      <c r="L36" s="23"/>
      <c r="M36" s="23"/>
      <c r="N36" s="23"/>
      <c r="O36" s="23"/>
      <c r="P36" s="23"/>
      <c r="Q36" s="23"/>
      <c r="R36" s="23"/>
      <c r="S36" s="23"/>
      <c r="T36" s="23"/>
      <c r="U36" s="23"/>
      <c r="V36" s="23"/>
      <c r="W36" s="23"/>
      <c r="X36" s="24"/>
      <c r="Z36" s="6">
        <v>10000</v>
      </c>
      <c r="AA36" s="23"/>
      <c r="AB36" s="23"/>
      <c r="AC36" s="23"/>
      <c r="AD36" s="23"/>
      <c r="AE36" s="23"/>
      <c r="AF36" s="23"/>
      <c r="AG36" s="23"/>
      <c r="AH36" s="23"/>
      <c r="AI36" s="23"/>
      <c r="AJ36" s="23"/>
      <c r="AK36" s="23"/>
      <c r="AL36" s="23"/>
      <c r="AM36" s="23"/>
      <c r="AN36" s="23"/>
      <c r="AO36" s="23"/>
      <c r="AP36" s="23"/>
      <c r="AQ36" s="23"/>
      <c r="AR36" s="23"/>
      <c r="AS36" s="23"/>
      <c r="AT36" s="23"/>
      <c r="AU36" s="23"/>
      <c r="AV36" s="23"/>
      <c r="AW36" s="24"/>
    </row>
    <row r="37" spans="1:49" x14ac:dyDescent="0.25">
      <c r="A37" s="6">
        <v>10400</v>
      </c>
      <c r="B37" s="23"/>
      <c r="C37" s="23"/>
      <c r="D37" s="23"/>
      <c r="E37" s="23"/>
      <c r="F37" s="23"/>
      <c r="G37" s="23"/>
      <c r="H37" s="23"/>
      <c r="I37" s="23"/>
      <c r="J37" s="23"/>
      <c r="K37" s="23"/>
      <c r="L37" s="23"/>
      <c r="M37" s="23"/>
      <c r="N37" s="23"/>
      <c r="O37" s="23"/>
      <c r="P37" s="23"/>
      <c r="Q37" s="23"/>
      <c r="R37" s="23"/>
      <c r="S37" s="23"/>
      <c r="T37" s="23"/>
      <c r="U37" s="23"/>
      <c r="V37" s="23"/>
      <c r="W37" s="23"/>
      <c r="X37" s="24"/>
      <c r="Z37" s="6">
        <v>10400</v>
      </c>
      <c r="AA37" s="23"/>
      <c r="AB37" s="23"/>
      <c r="AC37" s="23"/>
      <c r="AD37" s="23"/>
      <c r="AE37" s="23"/>
      <c r="AF37" s="23"/>
      <c r="AG37" s="23"/>
      <c r="AH37" s="23"/>
      <c r="AI37" s="23"/>
      <c r="AJ37" s="23"/>
      <c r="AK37" s="23"/>
      <c r="AL37" s="23"/>
      <c r="AM37" s="23"/>
      <c r="AN37" s="23"/>
      <c r="AO37" s="23"/>
      <c r="AP37" s="23"/>
      <c r="AQ37" s="23"/>
      <c r="AR37" s="23"/>
      <c r="AS37" s="23"/>
      <c r="AT37" s="23"/>
      <c r="AU37" s="23"/>
      <c r="AV37" s="23"/>
      <c r="AW37" s="24"/>
    </row>
    <row r="38" spans="1:49" x14ac:dyDescent="0.25">
      <c r="A38" s="6">
        <v>10800</v>
      </c>
      <c r="B38" s="23"/>
      <c r="C38" s="23"/>
      <c r="D38" s="23"/>
      <c r="E38" s="23"/>
      <c r="F38" s="23"/>
      <c r="G38" s="23"/>
      <c r="H38" s="23"/>
      <c r="I38" s="23"/>
      <c r="J38" s="23"/>
      <c r="K38" s="23"/>
      <c r="L38" s="23"/>
      <c r="M38" s="23"/>
      <c r="N38" s="23"/>
      <c r="O38" s="23"/>
      <c r="P38" s="23"/>
      <c r="Q38" s="23"/>
      <c r="R38" s="23"/>
      <c r="S38" s="23"/>
      <c r="T38" s="23"/>
      <c r="U38" s="23"/>
      <c r="V38" s="23"/>
      <c r="W38" s="23"/>
      <c r="X38" s="24"/>
      <c r="Z38" s="6">
        <v>10800</v>
      </c>
      <c r="AA38" s="23"/>
      <c r="AB38" s="23"/>
      <c r="AC38" s="23"/>
      <c r="AD38" s="23"/>
      <c r="AE38" s="23"/>
      <c r="AF38" s="23"/>
      <c r="AG38" s="23"/>
      <c r="AH38" s="23"/>
      <c r="AI38" s="23"/>
      <c r="AJ38" s="23"/>
      <c r="AK38" s="23"/>
      <c r="AL38" s="23"/>
      <c r="AM38" s="23"/>
      <c r="AN38" s="23"/>
      <c r="AO38" s="23"/>
      <c r="AP38" s="23"/>
      <c r="AQ38" s="23"/>
      <c r="AR38" s="23"/>
      <c r="AS38" s="23"/>
      <c r="AT38" s="23"/>
      <c r="AU38" s="23"/>
      <c r="AV38" s="23"/>
      <c r="AW38" s="24"/>
    </row>
    <row r="39" spans="1:49" x14ac:dyDescent="0.25">
      <c r="A39" s="6">
        <v>11200</v>
      </c>
      <c r="B39" s="23"/>
      <c r="C39" s="23"/>
      <c r="D39" s="23"/>
      <c r="E39" s="23"/>
      <c r="F39" s="23"/>
      <c r="G39" s="23"/>
      <c r="H39" s="23"/>
      <c r="I39" s="23"/>
      <c r="J39" s="23"/>
      <c r="K39" s="23"/>
      <c r="L39" s="23"/>
      <c r="M39" s="23"/>
      <c r="N39" s="23"/>
      <c r="O39" s="23"/>
      <c r="P39" s="23"/>
      <c r="Q39" s="23"/>
      <c r="R39" s="23"/>
      <c r="S39" s="23"/>
      <c r="T39" s="23"/>
      <c r="U39" s="23"/>
      <c r="V39" s="23"/>
      <c r="W39" s="23"/>
      <c r="X39" s="24"/>
      <c r="Z39" s="6">
        <v>11200</v>
      </c>
      <c r="AA39" s="23"/>
      <c r="AB39" s="23"/>
      <c r="AC39" s="23"/>
      <c r="AD39" s="23"/>
      <c r="AE39" s="23"/>
      <c r="AF39" s="23"/>
      <c r="AG39" s="23"/>
      <c r="AH39" s="23"/>
      <c r="AI39" s="23"/>
      <c r="AJ39" s="23"/>
      <c r="AK39" s="23"/>
      <c r="AL39" s="23"/>
      <c r="AM39" s="23"/>
      <c r="AN39" s="23"/>
      <c r="AO39" s="23"/>
      <c r="AP39" s="23"/>
      <c r="AQ39" s="23"/>
      <c r="AR39" s="23"/>
      <c r="AS39" s="23"/>
      <c r="AT39" s="23"/>
      <c r="AU39" s="23"/>
      <c r="AV39" s="23"/>
      <c r="AW39" s="24"/>
    </row>
    <row r="40" spans="1:49" x14ac:dyDescent="0.25">
      <c r="A40" s="6">
        <v>11600</v>
      </c>
      <c r="B40" s="23"/>
      <c r="C40" s="23"/>
      <c r="D40" s="23"/>
      <c r="E40" s="23"/>
      <c r="F40" s="23"/>
      <c r="G40" s="23"/>
      <c r="H40" s="23"/>
      <c r="I40" s="23"/>
      <c r="J40" s="23"/>
      <c r="K40" s="23"/>
      <c r="L40" s="23"/>
      <c r="M40" s="23"/>
      <c r="N40" s="23"/>
      <c r="O40" s="23"/>
      <c r="P40" s="23"/>
      <c r="Q40" s="23"/>
      <c r="R40" s="23"/>
      <c r="S40" s="23"/>
      <c r="T40" s="23"/>
      <c r="U40" s="23"/>
      <c r="V40" s="23"/>
      <c r="W40" s="23"/>
      <c r="X40" s="24"/>
      <c r="Z40" s="6">
        <v>11600</v>
      </c>
      <c r="AA40" s="23"/>
      <c r="AB40" s="23"/>
      <c r="AC40" s="23"/>
      <c r="AD40" s="23"/>
      <c r="AE40" s="23"/>
      <c r="AF40" s="23"/>
      <c r="AG40" s="23"/>
      <c r="AH40" s="23"/>
      <c r="AI40" s="23"/>
      <c r="AJ40" s="23"/>
      <c r="AK40" s="23"/>
      <c r="AL40" s="23"/>
      <c r="AM40" s="23"/>
      <c r="AN40" s="23"/>
      <c r="AO40" s="23"/>
      <c r="AP40" s="23"/>
      <c r="AQ40" s="23"/>
      <c r="AR40" s="23"/>
      <c r="AS40" s="23"/>
      <c r="AT40" s="23"/>
      <c r="AU40" s="23"/>
      <c r="AV40" s="23"/>
      <c r="AW40" s="24"/>
    </row>
    <row r="41" spans="1:49" x14ac:dyDescent="0.25">
      <c r="A41" s="6">
        <v>12000</v>
      </c>
      <c r="B41" s="23"/>
      <c r="C41" s="23"/>
      <c r="D41" s="23"/>
      <c r="E41" s="23"/>
      <c r="F41" s="23"/>
      <c r="G41" s="23"/>
      <c r="H41" s="23"/>
      <c r="I41" s="23"/>
      <c r="J41" s="23"/>
      <c r="K41" s="23"/>
      <c r="L41" s="23"/>
      <c r="M41" s="23"/>
      <c r="N41" s="23"/>
      <c r="O41" s="23"/>
      <c r="P41" s="23"/>
      <c r="Q41" s="23"/>
      <c r="R41" s="23"/>
      <c r="S41" s="23"/>
      <c r="T41" s="23"/>
      <c r="U41" s="23"/>
      <c r="V41" s="23"/>
      <c r="W41" s="23"/>
      <c r="X41" s="24"/>
      <c r="Z41" s="6">
        <v>12000</v>
      </c>
      <c r="AA41" s="23"/>
      <c r="AB41" s="23"/>
      <c r="AC41" s="23"/>
      <c r="AD41" s="23"/>
      <c r="AE41" s="23"/>
      <c r="AF41" s="23"/>
      <c r="AG41" s="23"/>
      <c r="AH41" s="23"/>
      <c r="AI41" s="23"/>
      <c r="AJ41" s="23"/>
      <c r="AK41" s="23"/>
      <c r="AL41" s="23"/>
      <c r="AM41" s="23"/>
      <c r="AN41" s="23"/>
      <c r="AO41" s="23"/>
      <c r="AP41" s="23"/>
      <c r="AQ41" s="23"/>
      <c r="AR41" s="23"/>
      <c r="AS41" s="23"/>
      <c r="AT41" s="23"/>
      <c r="AU41" s="23"/>
      <c r="AV41" s="23"/>
      <c r="AW41" s="24"/>
    </row>
    <row r="42" spans="1:49" x14ac:dyDescent="0.25">
      <c r="A42" s="6">
        <v>12400</v>
      </c>
      <c r="B42" s="23"/>
      <c r="C42" s="23"/>
      <c r="D42" s="23"/>
      <c r="E42" s="23"/>
      <c r="F42" s="23"/>
      <c r="G42" s="23"/>
      <c r="H42" s="23"/>
      <c r="I42" s="23"/>
      <c r="J42" s="23"/>
      <c r="K42" s="23"/>
      <c r="L42" s="23"/>
      <c r="M42" s="23"/>
      <c r="N42" s="23"/>
      <c r="O42" s="23"/>
      <c r="P42" s="23"/>
      <c r="Q42" s="23"/>
      <c r="R42" s="23"/>
      <c r="S42" s="23"/>
      <c r="T42" s="23"/>
      <c r="U42" s="23"/>
      <c r="V42" s="23"/>
      <c r="W42" s="23"/>
      <c r="X42" s="24"/>
      <c r="Z42" s="6">
        <v>12400</v>
      </c>
      <c r="AA42" s="23"/>
      <c r="AB42" s="23"/>
      <c r="AC42" s="23"/>
      <c r="AD42" s="23"/>
      <c r="AE42" s="23"/>
      <c r="AF42" s="23"/>
      <c r="AG42" s="23"/>
      <c r="AH42" s="23"/>
      <c r="AI42" s="23"/>
      <c r="AJ42" s="23"/>
      <c r="AK42" s="23"/>
      <c r="AL42" s="23"/>
      <c r="AM42" s="23"/>
      <c r="AN42" s="23"/>
      <c r="AO42" s="23"/>
      <c r="AP42" s="23"/>
      <c r="AQ42" s="23"/>
      <c r="AR42" s="23"/>
      <c r="AS42" s="23"/>
      <c r="AT42" s="23"/>
      <c r="AU42" s="23"/>
      <c r="AV42" s="23"/>
      <c r="AW42" s="24"/>
    </row>
    <row r="43" spans="1:49" ht="13.8" thickBot="1" x14ac:dyDescent="0.3">
      <c r="A43" s="7">
        <v>12800</v>
      </c>
      <c r="B43" s="25"/>
      <c r="C43" s="25"/>
      <c r="D43" s="25"/>
      <c r="E43" s="25"/>
      <c r="F43" s="25"/>
      <c r="G43" s="25"/>
      <c r="H43" s="25"/>
      <c r="I43" s="25"/>
      <c r="J43" s="25"/>
      <c r="K43" s="25"/>
      <c r="L43" s="25"/>
      <c r="M43" s="25"/>
      <c r="N43" s="25"/>
      <c r="O43" s="25"/>
      <c r="P43" s="25"/>
      <c r="Q43" s="25"/>
      <c r="R43" s="25">
        <v>18.5</v>
      </c>
      <c r="S43" s="25">
        <v>16.427272727272726</v>
      </c>
      <c r="T43" s="25"/>
      <c r="U43" s="25"/>
      <c r="V43" s="25"/>
      <c r="W43" s="25"/>
      <c r="X43" s="26"/>
      <c r="Z43" s="7">
        <v>12800</v>
      </c>
      <c r="AA43" s="25"/>
      <c r="AB43" s="25"/>
      <c r="AC43" s="25"/>
      <c r="AD43" s="25"/>
      <c r="AE43" s="25"/>
      <c r="AF43" s="25"/>
      <c r="AG43" s="25"/>
      <c r="AH43" s="25"/>
      <c r="AI43" s="25"/>
      <c r="AJ43" s="25"/>
      <c r="AK43" s="25"/>
      <c r="AL43" s="25"/>
      <c r="AM43" s="25"/>
      <c r="AN43" s="25"/>
      <c r="AO43" s="25"/>
      <c r="AP43" s="25"/>
      <c r="AQ43" s="25">
        <v>19</v>
      </c>
      <c r="AR43" s="25">
        <v>11</v>
      </c>
      <c r="AS43" s="25"/>
      <c r="AT43" s="25"/>
      <c r="AU43" s="25"/>
      <c r="AV43" s="25"/>
      <c r="AW43" s="26"/>
    </row>
    <row r="44" spans="1:49" x14ac:dyDescent="0.25">
      <c r="A44" s="1"/>
    </row>
    <row r="45" spans="1:49" x14ac:dyDescent="0.25">
      <c r="A45" s="1"/>
    </row>
    <row r="46" spans="1:49" x14ac:dyDescent="0.25">
      <c r="A46" s="1"/>
    </row>
    <row r="47" spans="1:49" x14ac:dyDescent="0.25">
      <c r="A47" s="1"/>
    </row>
    <row r="48" spans="1:49"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PteSTgjq9VBcfVSgEvnKCPGQZyG0qVXRynRaiQyri9JTcMeKGThhI3fXpfhv5WP3Dl2G4zmxAtaP4G5YBRqj9g==" saltValue="edBYanY8thT8R0/cb9+1kQ==" spinCount="100000" sheet="1" objects="1" scenarios="1"/>
  <conditionalFormatting sqref="B2:X43">
    <cfRule type="colorScale" priority="2">
      <colorScale>
        <cfvo type="min"/>
        <cfvo type="percentile" val="50"/>
        <cfvo type="max"/>
        <color rgb="FF5A8AC6"/>
        <color rgb="FFFCFCFF"/>
        <color rgb="FFF8696B"/>
      </colorScale>
    </cfRule>
  </conditionalFormatting>
  <conditionalFormatting sqref="AA2:AW43">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S1000"/>
  <sheetViews>
    <sheetView zoomScale="70" zoomScaleNormal="70" workbookViewId="0">
      <selection activeCell="X1" sqref="X1"/>
    </sheetView>
  </sheetViews>
  <sheetFormatPr defaultColWidth="12.5546875" defaultRowHeight="13.2" x14ac:dyDescent="0.25"/>
  <cols>
    <col min="1" max="1" width="6.6640625" style="2" bestFit="1" customWidth="1"/>
    <col min="2" max="22" width="4.77734375" style="2" customWidth="1"/>
    <col min="23" max="23" width="3.5546875" style="2" customWidth="1"/>
    <col min="24" max="24" width="6.6640625" style="2" bestFit="1" customWidth="1"/>
    <col min="25" max="45" width="4.77734375" style="2" customWidth="1"/>
    <col min="46" max="16384" width="12.5546875" style="2"/>
  </cols>
  <sheetData>
    <row r="1" spans="1:45" x14ac:dyDescent="0.25">
      <c r="A1" s="3" t="s">
        <v>2</v>
      </c>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5">
        <v>0</v>
      </c>
      <c r="X1" s="3" t="s">
        <v>4</v>
      </c>
      <c r="Y1" s="4">
        <v>120</v>
      </c>
      <c r="Z1" s="4">
        <v>104</v>
      </c>
      <c r="AA1" s="4">
        <v>88</v>
      </c>
      <c r="AB1" s="4">
        <v>72</v>
      </c>
      <c r="AC1" s="4">
        <v>68</v>
      </c>
      <c r="AD1" s="4">
        <v>64</v>
      </c>
      <c r="AE1" s="4">
        <v>60</v>
      </c>
      <c r="AF1" s="4">
        <v>56</v>
      </c>
      <c r="AG1" s="4">
        <v>52</v>
      </c>
      <c r="AH1" s="4">
        <v>48</v>
      </c>
      <c r="AI1" s="4">
        <v>44</v>
      </c>
      <c r="AJ1" s="4">
        <v>40</v>
      </c>
      <c r="AK1" s="4">
        <v>36</v>
      </c>
      <c r="AL1" s="4">
        <v>32</v>
      </c>
      <c r="AM1" s="4">
        <v>24</v>
      </c>
      <c r="AN1" s="4">
        <v>20</v>
      </c>
      <c r="AO1" s="4">
        <v>16</v>
      </c>
      <c r="AP1" s="4">
        <v>12</v>
      </c>
      <c r="AQ1" s="4">
        <v>8</v>
      </c>
      <c r="AR1" s="4">
        <v>4</v>
      </c>
      <c r="AS1" s="5">
        <v>0</v>
      </c>
    </row>
    <row r="2" spans="1:45" x14ac:dyDescent="0.25">
      <c r="A2" s="6">
        <v>800</v>
      </c>
      <c r="B2" s="23"/>
      <c r="C2" s="23"/>
      <c r="D2" s="23"/>
      <c r="E2" s="23"/>
      <c r="F2" s="23"/>
      <c r="G2" s="23"/>
      <c r="H2" s="23"/>
      <c r="I2" s="23"/>
      <c r="J2" s="23"/>
      <c r="K2" s="23"/>
      <c r="L2" s="23"/>
      <c r="M2" s="23"/>
      <c r="N2" s="23"/>
      <c r="O2" s="23"/>
      <c r="P2" s="23"/>
      <c r="Q2" s="23"/>
      <c r="R2" s="23"/>
      <c r="S2" s="23"/>
      <c r="T2" s="23"/>
      <c r="U2" s="23"/>
      <c r="V2" s="24"/>
      <c r="X2" s="6">
        <v>800</v>
      </c>
      <c r="Y2" s="23"/>
      <c r="Z2" s="23"/>
      <c r="AA2" s="23"/>
      <c r="AB2" s="23"/>
      <c r="AC2" s="23"/>
      <c r="AD2" s="23"/>
      <c r="AE2" s="23"/>
      <c r="AF2" s="23"/>
      <c r="AG2" s="23"/>
      <c r="AH2" s="23"/>
      <c r="AI2" s="23"/>
      <c r="AJ2" s="23"/>
      <c r="AK2" s="23"/>
      <c r="AL2" s="23"/>
      <c r="AM2" s="23"/>
      <c r="AN2" s="23"/>
      <c r="AO2" s="23"/>
      <c r="AP2" s="23"/>
      <c r="AQ2" s="23"/>
      <c r="AR2" s="23"/>
      <c r="AS2" s="24"/>
    </row>
    <row r="3" spans="1:45" x14ac:dyDescent="0.25">
      <c r="A3" s="6">
        <v>1000</v>
      </c>
      <c r="B3" s="23"/>
      <c r="C3" s="23"/>
      <c r="D3" s="23">
        <v>16.836842105263155</v>
      </c>
      <c r="E3" s="23"/>
      <c r="F3" s="23"/>
      <c r="G3" s="23"/>
      <c r="H3" s="23"/>
      <c r="I3" s="23">
        <v>16.827272727272728</v>
      </c>
      <c r="J3" s="23">
        <v>16.727272727272727</v>
      </c>
      <c r="K3" s="23"/>
      <c r="L3" s="23"/>
      <c r="M3" s="23">
        <v>17.074999999999999</v>
      </c>
      <c r="N3" s="23"/>
      <c r="O3" s="23">
        <v>17.185714285714287</v>
      </c>
      <c r="P3" s="23"/>
      <c r="Q3" s="23"/>
      <c r="R3" s="23"/>
      <c r="S3" s="23"/>
      <c r="T3" s="23"/>
      <c r="U3" s="23"/>
      <c r="V3" s="24"/>
      <c r="X3" s="6">
        <v>1000</v>
      </c>
      <c r="Y3" s="23"/>
      <c r="Z3" s="23"/>
      <c r="AA3" s="23">
        <v>19</v>
      </c>
      <c r="AB3" s="23"/>
      <c r="AC3" s="23"/>
      <c r="AD3" s="23"/>
      <c r="AE3" s="23"/>
      <c r="AF3" s="23">
        <v>11</v>
      </c>
      <c r="AG3" s="23">
        <v>11</v>
      </c>
      <c r="AH3" s="23"/>
      <c r="AI3" s="23"/>
      <c r="AJ3" s="23">
        <v>12</v>
      </c>
      <c r="AK3" s="23"/>
      <c r="AL3" s="23">
        <v>28</v>
      </c>
      <c r="AM3" s="23"/>
      <c r="AN3" s="23"/>
      <c r="AO3" s="23"/>
      <c r="AP3" s="23"/>
      <c r="AQ3" s="23"/>
      <c r="AR3" s="23"/>
      <c r="AS3" s="24"/>
    </row>
    <row r="4" spans="1:45" x14ac:dyDescent="0.25">
      <c r="A4" s="6">
        <v>1200</v>
      </c>
      <c r="B4" s="23"/>
      <c r="C4" s="23">
        <v>16.981250000000003</v>
      </c>
      <c r="D4" s="23">
        <v>16.681081081081082</v>
      </c>
      <c r="E4" s="23"/>
      <c r="F4" s="23">
        <v>16.839999999999996</v>
      </c>
      <c r="G4" s="23"/>
      <c r="H4" s="23"/>
      <c r="I4" s="23">
        <v>17.127272727272729</v>
      </c>
      <c r="J4" s="23"/>
      <c r="K4" s="23">
        <v>16.930000000000003</v>
      </c>
      <c r="L4" s="23"/>
      <c r="M4" s="23"/>
      <c r="N4" s="23"/>
      <c r="O4" s="23">
        <v>17.412499999999998</v>
      </c>
      <c r="P4" s="23"/>
      <c r="Q4" s="23"/>
      <c r="R4" s="23"/>
      <c r="S4" s="23"/>
      <c r="T4" s="23"/>
      <c r="U4" s="23"/>
      <c r="V4" s="24"/>
      <c r="X4" s="6">
        <v>1200</v>
      </c>
      <c r="Y4" s="23"/>
      <c r="Z4" s="23">
        <v>16</v>
      </c>
      <c r="AA4" s="23">
        <v>37</v>
      </c>
      <c r="AB4" s="23"/>
      <c r="AC4" s="23">
        <v>10</v>
      </c>
      <c r="AD4" s="23"/>
      <c r="AE4" s="23"/>
      <c r="AF4" s="23">
        <v>11</v>
      </c>
      <c r="AG4" s="23"/>
      <c r="AH4" s="23">
        <v>10</v>
      </c>
      <c r="AI4" s="23"/>
      <c r="AJ4" s="23"/>
      <c r="AK4" s="23"/>
      <c r="AL4" s="23">
        <v>16</v>
      </c>
      <c r="AM4" s="23"/>
      <c r="AN4" s="23"/>
      <c r="AO4" s="23"/>
      <c r="AP4" s="23"/>
      <c r="AQ4" s="23"/>
      <c r="AR4" s="23"/>
      <c r="AS4" s="24"/>
    </row>
    <row r="5" spans="1:45" x14ac:dyDescent="0.25">
      <c r="A5" s="6">
        <v>1400</v>
      </c>
      <c r="B5" s="23"/>
      <c r="C5" s="23"/>
      <c r="D5" s="23"/>
      <c r="E5" s="23"/>
      <c r="F5" s="23"/>
      <c r="G5" s="23"/>
      <c r="H5" s="23"/>
      <c r="I5" s="23"/>
      <c r="J5" s="23"/>
      <c r="K5" s="23"/>
      <c r="L5" s="23"/>
      <c r="M5" s="23"/>
      <c r="N5" s="23"/>
      <c r="O5" s="23"/>
      <c r="P5" s="23"/>
      <c r="Q5" s="23"/>
      <c r="R5" s="23"/>
      <c r="S5" s="23"/>
      <c r="T5" s="23"/>
      <c r="U5" s="23"/>
      <c r="V5" s="24"/>
      <c r="X5" s="6">
        <v>1400</v>
      </c>
      <c r="Y5" s="23"/>
      <c r="Z5" s="23"/>
      <c r="AA5" s="23"/>
      <c r="AB5" s="23"/>
      <c r="AC5" s="23"/>
      <c r="AD5" s="23"/>
      <c r="AE5" s="23"/>
      <c r="AF5" s="23"/>
      <c r="AG5" s="23"/>
      <c r="AH5" s="23"/>
      <c r="AI5" s="23"/>
      <c r="AJ5" s="23"/>
      <c r="AK5" s="23"/>
      <c r="AL5" s="23"/>
      <c r="AM5" s="23"/>
      <c r="AN5" s="23"/>
      <c r="AO5" s="23"/>
      <c r="AP5" s="23"/>
      <c r="AQ5" s="23"/>
      <c r="AR5" s="23"/>
      <c r="AS5" s="24"/>
    </row>
    <row r="6" spans="1:45" x14ac:dyDescent="0.25">
      <c r="A6" s="6">
        <v>1600</v>
      </c>
      <c r="B6" s="23"/>
      <c r="C6" s="23"/>
      <c r="D6" s="23"/>
      <c r="E6" s="23"/>
      <c r="F6" s="23"/>
      <c r="G6" s="23"/>
      <c r="H6" s="23"/>
      <c r="I6" s="23"/>
      <c r="J6" s="23"/>
      <c r="K6" s="23"/>
      <c r="L6" s="23"/>
      <c r="M6" s="23"/>
      <c r="N6" s="23"/>
      <c r="O6" s="23"/>
      <c r="P6" s="23"/>
      <c r="Q6" s="23"/>
      <c r="R6" s="23"/>
      <c r="S6" s="23"/>
      <c r="T6" s="23"/>
      <c r="U6" s="23"/>
      <c r="V6" s="24"/>
      <c r="X6" s="6">
        <v>1600</v>
      </c>
      <c r="Y6" s="23"/>
      <c r="Z6" s="23"/>
      <c r="AA6" s="23"/>
      <c r="AB6" s="23"/>
      <c r="AC6" s="23"/>
      <c r="AD6" s="23"/>
      <c r="AE6" s="23"/>
      <c r="AF6" s="23"/>
      <c r="AG6" s="23"/>
      <c r="AH6" s="23"/>
      <c r="AI6" s="23"/>
      <c r="AJ6" s="23"/>
      <c r="AK6" s="23"/>
      <c r="AL6" s="23"/>
      <c r="AM6" s="23"/>
      <c r="AN6" s="23"/>
      <c r="AO6" s="23"/>
      <c r="AP6" s="23"/>
      <c r="AQ6" s="23"/>
      <c r="AR6" s="23"/>
      <c r="AS6" s="24"/>
    </row>
    <row r="7" spans="1:45" x14ac:dyDescent="0.25">
      <c r="A7" s="6">
        <v>1800</v>
      </c>
      <c r="B7" s="23"/>
      <c r="C7" s="23"/>
      <c r="D7" s="23"/>
      <c r="E7" s="23"/>
      <c r="F7" s="23"/>
      <c r="G7" s="23"/>
      <c r="H7" s="23"/>
      <c r="I7" s="23"/>
      <c r="J7" s="23"/>
      <c r="K7" s="23"/>
      <c r="L7" s="23"/>
      <c r="M7" s="23"/>
      <c r="N7" s="23"/>
      <c r="O7" s="23"/>
      <c r="P7" s="23"/>
      <c r="Q7" s="23"/>
      <c r="R7" s="23"/>
      <c r="S7" s="23"/>
      <c r="T7" s="23"/>
      <c r="U7" s="23"/>
      <c r="V7" s="24"/>
      <c r="X7" s="6">
        <v>1800</v>
      </c>
      <c r="Y7" s="23"/>
      <c r="Z7" s="23"/>
      <c r="AA7" s="23"/>
      <c r="AB7" s="23"/>
      <c r="AC7" s="23"/>
      <c r="AD7" s="23"/>
      <c r="AE7" s="23"/>
      <c r="AF7" s="23"/>
      <c r="AG7" s="23"/>
      <c r="AH7" s="23"/>
      <c r="AI7" s="23"/>
      <c r="AJ7" s="23"/>
      <c r="AK7" s="23"/>
      <c r="AL7" s="23"/>
      <c r="AM7" s="23"/>
      <c r="AN7" s="23"/>
      <c r="AO7" s="23"/>
      <c r="AP7" s="23"/>
      <c r="AQ7" s="23"/>
      <c r="AR7" s="23"/>
      <c r="AS7" s="24"/>
    </row>
    <row r="8" spans="1:45" x14ac:dyDescent="0.25">
      <c r="A8" s="6">
        <v>2000</v>
      </c>
      <c r="B8" s="23"/>
      <c r="C8" s="23"/>
      <c r="D8" s="23"/>
      <c r="E8" s="23"/>
      <c r="F8" s="23"/>
      <c r="G8" s="23"/>
      <c r="H8" s="23"/>
      <c r="I8" s="23"/>
      <c r="J8" s="23"/>
      <c r="K8" s="23"/>
      <c r="L8" s="23"/>
      <c r="M8" s="23"/>
      <c r="N8" s="23"/>
      <c r="O8" s="23"/>
      <c r="P8" s="23"/>
      <c r="Q8" s="23"/>
      <c r="R8" s="23"/>
      <c r="S8" s="23"/>
      <c r="T8" s="23"/>
      <c r="U8" s="23"/>
      <c r="V8" s="24"/>
      <c r="X8" s="6">
        <v>2000</v>
      </c>
      <c r="Y8" s="23"/>
      <c r="Z8" s="23"/>
      <c r="AA8" s="23"/>
      <c r="AB8" s="23"/>
      <c r="AC8" s="23"/>
      <c r="AD8" s="23"/>
      <c r="AE8" s="23"/>
      <c r="AF8" s="23"/>
      <c r="AG8" s="23"/>
      <c r="AH8" s="23"/>
      <c r="AI8" s="23"/>
      <c r="AJ8" s="23"/>
      <c r="AK8" s="23"/>
      <c r="AL8" s="23"/>
      <c r="AM8" s="23"/>
      <c r="AN8" s="23"/>
      <c r="AO8" s="23"/>
      <c r="AP8" s="23"/>
      <c r="AQ8" s="23"/>
      <c r="AR8" s="23"/>
      <c r="AS8" s="24"/>
    </row>
    <row r="9" spans="1:45" x14ac:dyDescent="0.25">
      <c r="A9" s="6">
        <v>2200</v>
      </c>
      <c r="B9" s="23"/>
      <c r="C9" s="23"/>
      <c r="D9" s="23"/>
      <c r="E9" s="23"/>
      <c r="F9" s="23"/>
      <c r="G9" s="23"/>
      <c r="H9" s="23"/>
      <c r="I9" s="23"/>
      <c r="J9" s="23"/>
      <c r="K9" s="23"/>
      <c r="L9" s="23"/>
      <c r="M9" s="23"/>
      <c r="N9" s="23"/>
      <c r="O9" s="23"/>
      <c r="P9" s="23"/>
      <c r="Q9" s="23"/>
      <c r="R9" s="23"/>
      <c r="S9" s="23"/>
      <c r="T9" s="23"/>
      <c r="U9" s="23"/>
      <c r="V9" s="24"/>
      <c r="X9" s="6">
        <v>2200</v>
      </c>
      <c r="Y9" s="23"/>
      <c r="Z9" s="23"/>
      <c r="AA9" s="23"/>
      <c r="AB9" s="23"/>
      <c r="AC9" s="23"/>
      <c r="AD9" s="23"/>
      <c r="AE9" s="23"/>
      <c r="AF9" s="23"/>
      <c r="AG9" s="23"/>
      <c r="AH9" s="23"/>
      <c r="AI9" s="23"/>
      <c r="AJ9" s="23"/>
      <c r="AK9" s="23"/>
      <c r="AL9" s="23"/>
      <c r="AM9" s="23"/>
      <c r="AN9" s="23"/>
      <c r="AO9" s="23"/>
      <c r="AP9" s="23"/>
      <c r="AQ9" s="23"/>
      <c r="AR9" s="23"/>
      <c r="AS9" s="24"/>
    </row>
    <row r="10" spans="1:45" x14ac:dyDescent="0.25">
      <c r="A10" s="6">
        <v>2400</v>
      </c>
      <c r="B10" s="23"/>
      <c r="C10" s="23"/>
      <c r="D10" s="23"/>
      <c r="E10" s="23"/>
      <c r="F10" s="23"/>
      <c r="G10" s="23"/>
      <c r="H10" s="23"/>
      <c r="I10" s="23"/>
      <c r="J10" s="23"/>
      <c r="K10" s="23"/>
      <c r="L10" s="23"/>
      <c r="M10" s="23"/>
      <c r="N10" s="23"/>
      <c r="O10" s="23"/>
      <c r="P10" s="23"/>
      <c r="Q10" s="23"/>
      <c r="R10" s="23"/>
      <c r="S10" s="23"/>
      <c r="T10" s="23"/>
      <c r="U10" s="23"/>
      <c r="V10" s="24"/>
      <c r="X10" s="6">
        <v>2400</v>
      </c>
      <c r="Y10" s="23"/>
      <c r="Z10" s="23"/>
      <c r="AA10" s="23"/>
      <c r="AB10" s="23"/>
      <c r="AC10" s="23"/>
      <c r="AD10" s="23"/>
      <c r="AE10" s="23"/>
      <c r="AF10" s="23"/>
      <c r="AG10" s="23"/>
      <c r="AH10" s="23"/>
      <c r="AI10" s="23"/>
      <c r="AJ10" s="23"/>
      <c r="AK10" s="23"/>
      <c r="AL10" s="23"/>
      <c r="AM10" s="23"/>
      <c r="AN10" s="23"/>
      <c r="AO10" s="23"/>
      <c r="AP10" s="23"/>
      <c r="AQ10" s="23"/>
      <c r="AR10" s="23"/>
      <c r="AS10" s="24"/>
    </row>
    <row r="11" spans="1:45" x14ac:dyDescent="0.25">
      <c r="A11" s="6">
        <v>2600</v>
      </c>
      <c r="B11" s="23"/>
      <c r="C11" s="23"/>
      <c r="D11" s="23"/>
      <c r="E11" s="23"/>
      <c r="F11" s="23"/>
      <c r="G11" s="23"/>
      <c r="H11" s="23"/>
      <c r="I11" s="23"/>
      <c r="J11" s="23"/>
      <c r="K11" s="23"/>
      <c r="L11" s="23"/>
      <c r="M11" s="23"/>
      <c r="N11" s="23"/>
      <c r="O11" s="23"/>
      <c r="P11" s="23"/>
      <c r="Q11" s="23"/>
      <c r="R11" s="23"/>
      <c r="S11" s="23"/>
      <c r="T11" s="23"/>
      <c r="U11" s="23"/>
      <c r="V11" s="24"/>
      <c r="X11" s="6">
        <v>2600</v>
      </c>
      <c r="Y11" s="23"/>
      <c r="Z11" s="23"/>
      <c r="AA11" s="23"/>
      <c r="AB11" s="23"/>
      <c r="AC11" s="23"/>
      <c r="AD11" s="23"/>
      <c r="AE11" s="23"/>
      <c r="AF11" s="23"/>
      <c r="AG11" s="23"/>
      <c r="AH11" s="23"/>
      <c r="AI11" s="23"/>
      <c r="AJ11" s="23"/>
      <c r="AK11" s="23"/>
      <c r="AL11" s="23"/>
      <c r="AM11" s="23"/>
      <c r="AN11" s="23"/>
      <c r="AO11" s="23"/>
      <c r="AP11" s="23"/>
      <c r="AQ11" s="23"/>
      <c r="AR11" s="23"/>
      <c r="AS11" s="24"/>
    </row>
    <row r="12" spans="1:45" x14ac:dyDescent="0.25">
      <c r="A12" s="6">
        <v>2800</v>
      </c>
      <c r="B12" s="23"/>
      <c r="C12" s="23"/>
      <c r="D12" s="23"/>
      <c r="E12" s="23"/>
      <c r="F12" s="23"/>
      <c r="G12" s="23"/>
      <c r="H12" s="23"/>
      <c r="I12" s="23"/>
      <c r="J12" s="23"/>
      <c r="K12" s="23"/>
      <c r="L12" s="23"/>
      <c r="M12" s="23"/>
      <c r="N12" s="23"/>
      <c r="O12" s="23"/>
      <c r="P12" s="23"/>
      <c r="Q12" s="23"/>
      <c r="R12" s="23"/>
      <c r="S12" s="23"/>
      <c r="T12" s="23"/>
      <c r="U12" s="23"/>
      <c r="V12" s="24"/>
      <c r="X12" s="6">
        <v>2800</v>
      </c>
      <c r="Y12" s="23"/>
      <c r="Z12" s="23"/>
      <c r="AA12" s="23"/>
      <c r="AB12" s="23"/>
      <c r="AC12" s="23"/>
      <c r="AD12" s="23"/>
      <c r="AE12" s="23"/>
      <c r="AF12" s="23"/>
      <c r="AG12" s="23"/>
      <c r="AH12" s="23"/>
      <c r="AI12" s="23"/>
      <c r="AJ12" s="23"/>
      <c r="AK12" s="23"/>
      <c r="AL12" s="23"/>
      <c r="AM12" s="23"/>
      <c r="AN12" s="23"/>
      <c r="AO12" s="23"/>
      <c r="AP12" s="23"/>
      <c r="AQ12" s="23"/>
      <c r="AR12" s="23"/>
      <c r="AS12" s="24"/>
    </row>
    <row r="13" spans="1:45" x14ac:dyDescent="0.25">
      <c r="A13" s="6">
        <v>3000</v>
      </c>
      <c r="B13" s="23"/>
      <c r="C13" s="23"/>
      <c r="D13" s="23"/>
      <c r="E13" s="23"/>
      <c r="F13" s="23"/>
      <c r="G13" s="23"/>
      <c r="H13" s="23"/>
      <c r="I13" s="23"/>
      <c r="J13" s="23"/>
      <c r="K13" s="23"/>
      <c r="L13" s="23"/>
      <c r="M13" s="23"/>
      <c r="N13" s="23"/>
      <c r="O13" s="23"/>
      <c r="P13" s="23"/>
      <c r="Q13" s="23"/>
      <c r="R13" s="23"/>
      <c r="S13" s="23"/>
      <c r="T13" s="23"/>
      <c r="U13" s="23"/>
      <c r="V13" s="24"/>
      <c r="X13" s="6">
        <v>3000</v>
      </c>
      <c r="Y13" s="23"/>
      <c r="Z13" s="23"/>
      <c r="AA13" s="23"/>
      <c r="AB13" s="23"/>
      <c r="AC13" s="23"/>
      <c r="AD13" s="23"/>
      <c r="AE13" s="23"/>
      <c r="AF13" s="23"/>
      <c r="AG13" s="23"/>
      <c r="AH13" s="23"/>
      <c r="AI13" s="23"/>
      <c r="AJ13" s="23"/>
      <c r="AK13" s="23"/>
      <c r="AL13" s="23"/>
      <c r="AM13" s="23"/>
      <c r="AN13" s="23"/>
      <c r="AO13" s="23"/>
      <c r="AP13" s="23"/>
      <c r="AQ13" s="23"/>
      <c r="AR13" s="23"/>
      <c r="AS13" s="24"/>
    </row>
    <row r="14" spans="1:45" x14ac:dyDescent="0.25">
      <c r="A14" s="6">
        <v>3200</v>
      </c>
      <c r="B14" s="23"/>
      <c r="C14" s="23"/>
      <c r="D14" s="23"/>
      <c r="E14" s="23"/>
      <c r="F14" s="23"/>
      <c r="G14" s="23"/>
      <c r="H14" s="23"/>
      <c r="I14" s="23"/>
      <c r="J14" s="23"/>
      <c r="K14" s="23"/>
      <c r="L14" s="23"/>
      <c r="M14" s="23"/>
      <c r="N14" s="23"/>
      <c r="O14" s="23"/>
      <c r="P14" s="23"/>
      <c r="Q14" s="23"/>
      <c r="R14" s="23"/>
      <c r="S14" s="23"/>
      <c r="T14" s="23"/>
      <c r="U14" s="23"/>
      <c r="V14" s="24"/>
      <c r="X14" s="6">
        <v>3200</v>
      </c>
      <c r="Y14" s="23"/>
      <c r="Z14" s="23"/>
      <c r="AA14" s="23"/>
      <c r="AB14" s="23"/>
      <c r="AC14" s="23"/>
      <c r="AD14" s="23"/>
      <c r="AE14" s="23"/>
      <c r="AF14" s="23"/>
      <c r="AG14" s="23"/>
      <c r="AH14" s="23"/>
      <c r="AI14" s="23"/>
      <c r="AJ14" s="23"/>
      <c r="AK14" s="23"/>
      <c r="AL14" s="23"/>
      <c r="AM14" s="23"/>
      <c r="AN14" s="23"/>
      <c r="AO14" s="23"/>
      <c r="AP14" s="23"/>
      <c r="AQ14" s="23"/>
      <c r="AR14" s="23"/>
      <c r="AS14" s="24"/>
    </row>
    <row r="15" spans="1:45" x14ac:dyDescent="0.25">
      <c r="A15" s="6">
        <v>3400</v>
      </c>
      <c r="B15" s="23"/>
      <c r="C15" s="23"/>
      <c r="D15" s="23"/>
      <c r="E15" s="23"/>
      <c r="F15" s="23"/>
      <c r="G15" s="23"/>
      <c r="H15" s="23"/>
      <c r="I15" s="23"/>
      <c r="J15" s="23"/>
      <c r="K15" s="23"/>
      <c r="L15" s="23"/>
      <c r="M15" s="23"/>
      <c r="N15" s="23"/>
      <c r="O15" s="23"/>
      <c r="P15" s="23"/>
      <c r="Q15" s="23"/>
      <c r="R15" s="23"/>
      <c r="S15" s="23"/>
      <c r="T15" s="23"/>
      <c r="U15" s="23"/>
      <c r="V15" s="24"/>
      <c r="X15" s="6">
        <v>3400</v>
      </c>
      <c r="Y15" s="23"/>
      <c r="Z15" s="23"/>
      <c r="AA15" s="23"/>
      <c r="AB15" s="23"/>
      <c r="AC15" s="23"/>
      <c r="AD15" s="23"/>
      <c r="AE15" s="23"/>
      <c r="AF15" s="23"/>
      <c r="AG15" s="23"/>
      <c r="AH15" s="23"/>
      <c r="AI15" s="23"/>
      <c r="AJ15" s="23"/>
      <c r="AK15" s="23"/>
      <c r="AL15" s="23"/>
      <c r="AM15" s="23"/>
      <c r="AN15" s="23"/>
      <c r="AO15" s="23"/>
      <c r="AP15" s="23"/>
      <c r="AQ15" s="23"/>
      <c r="AR15" s="23"/>
      <c r="AS15" s="24"/>
    </row>
    <row r="16" spans="1:45" x14ac:dyDescent="0.25">
      <c r="A16" s="6">
        <v>3600</v>
      </c>
      <c r="B16" s="23"/>
      <c r="C16" s="23"/>
      <c r="D16" s="23"/>
      <c r="E16" s="23"/>
      <c r="F16" s="23"/>
      <c r="G16" s="23"/>
      <c r="H16" s="23"/>
      <c r="I16" s="23"/>
      <c r="J16" s="23"/>
      <c r="K16" s="23"/>
      <c r="L16" s="23"/>
      <c r="M16" s="23"/>
      <c r="N16" s="23"/>
      <c r="O16" s="23"/>
      <c r="P16" s="23"/>
      <c r="Q16" s="23"/>
      <c r="R16" s="23"/>
      <c r="S16" s="23"/>
      <c r="T16" s="23"/>
      <c r="U16" s="23"/>
      <c r="V16" s="24"/>
      <c r="X16" s="6">
        <v>3600</v>
      </c>
      <c r="Y16" s="23"/>
      <c r="Z16" s="23"/>
      <c r="AA16" s="23"/>
      <c r="AB16" s="23"/>
      <c r="AC16" s="23"/>
      <c r="AD16" s="23"/>
      <c r="AE16" s="23"/>
      <c r="AF16" s="23"/>
      <c r="AG16" s="23"/>
      <c r="AH16" s="23"/>
      <c r="AI16" s="23"/>
      <c r="AJ16" s="23"/>
      <c r="AK16" s="23"/>
      <c r="AL16" s="23"/>
      <c r="AM16" s="23"/>
      <c r="AN16" s="23"/>
      <c r="AO16" s="23"/>
      <c r="AP16" s="23"/>
      <c r="AQ16" s="23"/>
      <c r="AR16" s="23"/>
      <c r="AS16" s="24"/>
    </row>
    <row r="17" spans="1:45" x14ac:dyDescent="0.25">
      <c r="A17" s="6">
        <v>3800</v>
      </c>
      <c r="B17" s="23"/>
      <c r="C17" s="23"/>
      <c r="D17" s="23"/>
      <c r="E17" s="23"/>
      <c r="F17" s="23"/>
      <c r="G17" s="23"/>
      <c r="H17" s="23"/>
      <c r="I17" s="23"/>
      <c r="J17" s="23"/>
      <c r="K17" s="23"/>
      <c r="L17" s="23"/>
      <c r="M17" s="23"/>
      <c r="N17" s="23"/>
      <c r="O17" s="23"/>
      <c r="P17" s="23"/>
      <c r="Q17" s="23"/>
      <c r="R17" s="23"/>
      <c r="S17" s="23"/>
      <c r="T17" s="23"/>
      <c r="U17" s="23"/>
      <c r="V17" s="24"/>
      <c r="X17" s="6">
        <v>3800</v>
      </c>
      <c r="Y17" s="23"/>
      <c r="Z17" s="23"/>
      <c r="AA17" s="23"/>
      <c r="AB17" s="23"/>
      <c r="AC17" s="23"/>
      <c r="AD17" s="23"/>
      <c r="AE17" s="23"/>
      <c r="AF17" s="23"/>
      <c r="AG17" s="23"/>
      <c r="AH17" s="23"/>
      <c r="AI17" s="23"/>
      <c r="AJ17" s="23"/>
      <c r="AK17" s="23"/>
      <c r="AL17" s="23"/>
      <c r="AM17" s="23"/>
      <c r="AN17" s="23"/>
      <c r="AO17" s="23"/>
      <c r="AP17" s="23"/>
      <c r="AQ17" s="23"/>
      <c r="AR17" s="23"/>
      <c r="AS17" s="24"/>
    </row>
    <row r="18" spans="1:45" x14ac:dyDescent="0.25">
      <c r="A18" s="6">
        <v>4000</v>
      </c>
      <c r="B18" s="23"/>
      <c r="C18" s="23"/>
      <c r="D18" s="23"/>
      <c r="E18" s="23"/>
      <c r="F18" s="23"/>
      <c r="G18" s="23"/>
      <c r="H18" s="23"/>
      <c r="I18" s="23"/>
      <c r="J18" s="23"/>
      <c r="K18" s="23"/>
      <c r="L18" s="23"/>
      <c r="M18" s="23"/>
      <c r="N18" s="23"/>
      <c r="O18" s="23"/>
      <c r="P18" s="23"/>
      <c r="Q18" s="23"/>
      <c r="R18" s="23"/>
      <c r="S18" s="23"/>
      <c r="T18" s="23"/>
      <c r="U18" s="23"/>
      <c r="V18" s="24"/>
      <c r="X18" s="6">
        <v>4000</v>
      </c>
      <c r="Y18" s="23"/>
      <c r="Z18" s="23"/>
      <c r="AA18" s="23"/>
      <c r="AB18" s="23"/>
      <c r="AC18" s="23"/>
      <c r="AD18" s="23"/>
      <c r="AE18" s="23"/>
      <c r="AF18" s="23"/>
      <c r="AG18" s="23"/>
      <c r="AH18" s="23"/>
      <c r="AI18" s="23"/>
      <c r="AJ18" s="23"/>
      <c r="AK18" s="23"/>
      <c r="AL18" s="23"/>
      <c r="AM18" s="23"/>
      <c r="AN18" s="23"/>
      <c r="AO18" s="23"/>
      <c r="AP18" s="23"/>
      <c r="AQ18" s="23"/>
      <c r="AR18" s="23"/>
      <c r="AS18" s="24"/>
    </row>
    <row r="19" spans="1:45" x14ac:dyDescent="0.25">
      <c r="A19" s="6">
        <v>4200</v>
      </c>
      <c r="B19" s="23"/>
      <c r="C19" s="23"/>
      <c r="D19" s="23"/>
      <c r="E19" s="23"/>
      <c r="F19" s="23"/>
      <c r="G19" s="23"/>
      <c r="H19" s="23"/>
      <c r="I19" s="23"/>
      <c r="J19" s="23"/>
      <c r="K19" s="23"/>
      <c r="L19" s="23"/>
      <c r="M19" s="23"/>
      <c r="N19" s="23"/>
      <c r="O19" s="23"/>
      <c r="P19" s="23"/>
      <c r="Q19" s="23"/>
      <c r="R19" s="23"/>
      <c r="S19" s="23"/>
      <c r="T19" s="23"/>
      <c r="U19" s="23"/>
      <c r="V19" s="24"/>
      <c r="X19" s="6">
        <v>4200</v>
      </c>
      <c r="Y19" s="23"/>
      <c r="Z19" s="23"/>
      <c r="AA19" s="23"/>
      <c r="AB19" s="23"/>
      <c r="AC19" s="23"/>
      <c r="AD19" s="23"/>
      <c r="AE19" s="23"/>
      <c r="AF19" s="23"/>
      <c r="AG19" s="23"/>
      <c r="AH19" s="23"/>
      <c r="AI19" s="23"/>
      <c r="AJ19" s="23"/>
      <c r="AK19" s="23"/>
      <c r="AL19" s="23"/>
      <c r="AM19" s="23"/>
      <c r="AN19" s="23"/>
      <c r="AO19" s="23"/>
      <c r="AP19" s="23"/>
      <c r="AQ19" s="23"/>
      <c r="AR19" s="23"/>
      <c r="AS19" s="24"/>
    </row>
    <row r="20" spans="1:45" x14ac:dyDescent="0.25">
      <c r="A20" s="6">
        <v>4400</v>
      </c>
      <c r="B20" s="23"/>
      <c r="C20" s="23"/>
      <c r="D20" s="23"/>
      <c r="E20" s="23"/>
      <c r="F20" s="23"/>
      <c r="G20" s="23"/>
      <c r="H20" s="23"/>
      <c r="I20" s="23"/>
      <c r="J20" s="23"/>
      <c r="K20" s="23"/>
      <c r="L20" s="23"/>
      <c r="M20" s="23"/>
      <c r="N20" s="23"/>
      <c r="O20" s="23"/>
      <c r="P20" s="23"/>
      <c r="Q20" s="23"/>
      <c r="R20" s="23"/>
      <c r="S20" s="23"/>
      <c r="T20" s="23"/>
      <c r="U20" s="23"/>
      <c r="V20" s="24"/>
      <c r="X20" s="6">
        <v>4400</v>
      </c>
      <c r="Y20" s="23"/>
      <c r="Z20" s="23"/>
      <c r="AA20" s="23"/>
      <c r="AB20" s="23"/>
      <c r="AC20" s="23"/>
      <c r="AD20" s="23"/>
      <c r="AE20" s="23"/>
      <c r="AF20" s="23"/>
      <c r="AG20" s="23"/>
      <c r="AH20" s="23"/>
      <c r="AI20" s="23"/>
      <c r="AJ20" s="23"/>
      <c r="AK20" s="23"/>
      <c r="AL20" s="23"/>
      <c r="AM20" s="23"/>
      <c r="AN20" s="23"/>
      <c r="AO20" s="23"/>
      <c r="AP20" s="23"/>
      <c r="AQ20" s="23"/>
      <c r="AR20" s="23"/>
      <c r="AS20" s="24"/>
    </row>
    <row r="21" spans="1:45" x14ac:dyDescent="0.25">
      <c r="A21" s="6">
        <v>4600</v>
      </c>
      <c r="B21" s="23"/>
      <c r="C21" s="23"/>
      <c r="D21" s="23"/>
      <c r="E21" s="23"/>
      <c r="F21" s="23"/>
      <c r="G21" s="23"/>
      <c r="H21" s="23"/>
      <c r="I21" s="23"/>
      <c r="J21" s="23"/>
      <c r="K21" s="23"/>
      <c r="L21" s="23"/>
      <c r="M21" s="23"/>
      <c r="N21" s="23"/>
      <c r="O21" s="23"/>
      <c r="P21" s="23"/>
      <c r="Q21" s="23"/>
      <c r="R21" s="23"/>
      <c r="S21" s="23"/>
      <c r="T21" s="23"/>
      <c r="U21" s="23"/>
      <c r="V21" s="24"/>
      <c r="X21" s="6">
        <v>4600</v>
      </c>
      <c r="Y21" s="23"/>
      <c r="Z21" s="23"/>
      <c r="AA21" s="23"/>
      <c r="AB21" s="23"/>
      <c r="AC21" s="23"/>
      <c r="AD21" s="23"/>
      <c r="AE21" s="23"/>
      <c r="AF21" s="23"/>
      <c r="AG21" s="23"/>
      <c r="AH21" s="23"/>
      <c r="AI21" s="23"/>
      <c r="AJ21" s="23"/>
      <c r="AK21" s="23"/>
      <c r="AL21" s="23"/>
      <c r="AM21" s="23"/>
      <c r="AN21" s="23"/>
      <c r="AO21" s="23"/>
      <c r="AP21" s="23"/>
      <c r="AQ21" s="23"/>
      <c r="AR21" s="23"/>
      <c r="AS21" s="24"/>
    </row>
    <row r="22" spans="1:45" x14ac:dyDescent="0.25">
      <c r="A22" s="6">
        <v>4800</v>
      </c>
      <c r="B22" s="23"/>
      <c r="C22" s="23"/>
      <c r="D22" s="23"/>
      <c r="E22" s="23"/>
      <c r="F22" s="23"/>
      <c r="G22" s="23"/>
      <c r="H22" s="23"/>
      <c r="I22" s="23"/>
      <c r="J22" s="23"/>
      <c r="K22" s="23"/>
      <c r="L22" s="23"/>
      <c r="M22" s="23"/>
      <c r="N22" s="23"/>
      <c r="O22" s="23"/>
      <c r="P22" s="23"/>
      <c r="Q22" s="23"/>
      <c r="R22" s="23"/>
      <c r="S22" s="23"/>
      <c r="T22" s="23"/>
      <c r="U22" s="23"/>
      <c r="V22" s="24"/>
      <c r="X22" s="6">
        <v>4800</v>
      </c>
      <c r="Y22" s="23"/>
      <c r="Z22" s="23"/>
      <c r="AA22" s="23"/>
      <c r="AB22" s="23"/>
      <c r="AC22" s="23"/>
      <c r="AD22" s="23"/>
      <c r="AE22" s="23"/>
      <c r="AF22" s="23"/>
      <c r="AG22" s="23"/>
      <c r="AH22" s="23"/>
      <c r="AI22" s="23"/>
      <c r="AJ22" s="23"/>
      <c r="AK22" s="23"/>
      <c r="AL22" s="23"/>
      <c r="AM22" s="23"/>
      <c r="AN22" s="23"/>
      <c r="AO22" s="23"/>
      <c r="AP22" s="23"/>
      <c r="AQ22" s="23"/>
      <c r="AR22" s="23"/>
      <c r="AS22" s="24"/>
    </row>
    <row r="23" spans="1:45" x14ac:dyDescent="0.25">
      <c r="A23" s="6">
        <v>5000</v>
      </c>
      <c r="B23" s="23"/>
      <c r="C23" s="23"/>
      <c r="D23" s="23"/>
      <c r="E23" s="23"/>
      <c r="F23" s="23"/>
      <c r="G23" s="23"/>
      <c r="H23" s="23"/>
      <c r="I23" s="23"/>
      <c r="J23" s="23"/>
      <c r="K23" s="23"/>
      <c r="L23" s="23"/>
      <c r="M23" s="23"/>
      <c r="N23" s="23"/>
      <c r="O23" s="23"/>
      <c r="P23" s="23"/>
      <c r="Q23" s="23"/>
      <c r="R23" s="23"/>
      <c r="S23" s="23"/>
      <c r="T23" s="23"/>
      <c r="U23" s="23"/>
      <c r="V23" s="24"/>
      <c r="X23" s="6">
        <v>5000</v>
      </c>
      <c r="Y23" s="23"/>
      <c r="Z23" s="23"/>
      <c r="AA23" s="23"/>
      <c r="AB23" s="23"/>
      <c r="AC23" s="23"/>
      <c r="AD23" s="23"/>
      <c r="AE23" s="23"/>
      <c r="AF23" s="23"/>
      <c r="AG23" s="23"/>
      <c r="AH23" s="23"/>
      <c r="AI23" s="23"/>
      <c r="AJ23" s="23"/>
      <c r="AK23" s="23"/>
      <c r="AL23" s="23"/>
      <c r="AM23" s="23"/>
      <c r="AN23" s="23"/>
      <c r="AO23" s="23"/>
      <c r="AP23" s="23"/>
      <c r="AQ23" s="23"/>
      <c r="AR23" s="23"/>
      <c r="AS23" s="24"/>
    </row>
    <row r="24" spans="1:45" x14ac:dyDescent="0.25">
      <c r="A24" s="6">
        <v>5200</v>
      </c>
      <c r="B24" s="23"/>
      <c r="C24" s="23"/>
      <c r="D24" s="23"/>
      <c r="E24" s="23"/>
      <c r="F24" s="23"/>
      <c r="G24" s="23"/>
      <c r="H24" s="23"/>
      <c r="I24" s="23"/>
      <c r="J24" s="23"/>
      <c r="K24" s="23"/>
      <c r="L24" s="23"/>
      <c r="M24" s="23"/>
      <c r="N24" s="23"/>
      <c r="O24" s="23"/>
      <c r="P24" s="23"/>
      <c r="Q24" s="23"/>
      <c r="R24" s="23"/>
      <c r="S24" s="23"/>
      <c r="T24" s="23"/>
      <c r="U24" s="23"/>
      <c r="V24" s="24"/>
      <c r="X24" s="6">
        <v>5200</v>
      </c>
      <c r="Y24" s="23"/>
      <c r="Z24" s="23"/>
      <c r="AA24" s="23"/>
      <c r="AB24" s="23"/>
      <c r="AC24" s="23"/>
      <c r="AD24" s="23"/>
      <c r="AE24" s="23"/>
      <c r="AF24" s="23"/>
      <c r="AG24" s="23"/>
      <c r="AH24" s="23"/>
      <c r="AI24" s="23"/>
      <c r="AJ24" s="23"/>
      <c r="AK24" s="23"/>
      <c r="AL24" s="23"/>
      <c r="AM24" s="23"/>
      <c r="AN24" s="23"/>
      <c r="AO24" s="23"/>
      <c r="AP24" s="23"/>
      <c r="AQ24" s="23"/>
      <c r="AR24" s="23"/>
      <c r="AS24" s="24"/>
    </row>
    <row r="25" spans="1:45" x14ac:dyDescent="0.25">
      <c r="A25" s="6">
        <v>5600</v>
      </c>
      <c r="B25" s="23"/>
      <c r="C25" s="23"/>
      <c r="D25" s="23"/>
      <c r="E25" s="23"/>
      <c r="F25" s="23"/>
      <c r="G25" s="23"/>
      <c r="H25" s="23"/>
      <c r="I25" s="23"/>
      <c r="J25" s="23"/>
      <c r="K25" s="23"/>
      <c r="L25" s="23"/>
      <c r="M25" s="23"/>
      <c r="N25" s="23"/>
      <c r="O25" s="23"/>
      <c r="P25" s="23"/>
      <c r="Q25" s="23"/>
      <c r="R25" s="23"/>
      <c r="S25" s="23"/>
      <c r="T25" s="23"/>
      <c r="U25" s="23"/>
      <c r="V25" s="24"/>
      <c r="X25" s="6">
        <v>5600</v>
      </c>
      <c r="Y25" s="23"/>
      <c r="Z25" s="23"/>
      <c r="AA25" s="23"/>
      <c r="AB25" s="23"/>
      <c r="AC25" s="23"/>
      <c r="AD25" s="23"/>
      <c r="AE25" s="23"/>
      <c r="AF25" s="23"/>
      <c r="AG25" s="23"/>
      <c r="AH25" s="23"/>
      <c r="AI25" s="23"/>
      <c r="AJ25" s="23"/>
      <c r="AK25" s="23"/>
      <c r="AL25" s="23"/>
      <c r="AM25" s="23"/>
      <c r="AN25" s="23"/>
      <c r="AO25" s="23"/>
      <c r="AP25" s="23"/>
      <c r="AQ25" s="23"/>
      <c r="AR25" s="23"/>
      <c r="AS25" s="24"/>
    </row>
    <row r="26" spans="1:45" x14ac:dyDescent="0.25">
      <c r="A26" s="6">
        <v>6000</v>
      </c>
      <c r="B26" s="23"/>
      <c r="C26" s="23"/>
      <c r="D26" s="23"/>
      <c r="E26" s="23"/>
      <c r="F26" s="23"/>
      <c r="G26" s="23"/>
      <c r="H26" s="23"/>
      <c r="I26" s="23"/>
      <c r="J26" s="23"/>
      <c r="K26" s="23"/>
      <c r="L26" s="23"/>
      <c r="M26" s="23"/>
      <c r="N26" s="23"/>
      <c r="O26" s="23"/>
      <c r="P26" s="23"/>
      <c r="Q26" s="23"/>
      <c r="R26" s="23"/>
      <c r="S26" s="23"/>
      <c r="T26" s="23"/>
      <c r="U26" s="23"/>
      <c r="V26" s="24"/>
      <c r="X26" s="6">
        <v>6000</v>
      </c>
      <c r="Y26" s="23"/>
      <c r="Z26" s="23"/>
      <c r="AA26" s="23"/>
      <c r="AB26" s="23"/>
      <c r="AC26" s="23"/>
      <c r="AD26" s="23"/>
      <c r="AE26" s="23"/>
      <c r="AF26" s="23"/>
      <c r="AG26" s="23"/>
      <c r="AH26" s="23"/>
      <c r="AI26" s="23"/>
      <c r="AJ26" s="23"/>
      <c r="AK26" s="23"/>
      <c r="AL26" s="23"/>
      <c r="AM26" s="23"/>
      <c r="AN26" s="23"/>
      <c r="AO26" s="23"/>
      <c r="AP26" s="23"/>
      <c r="AQ26" s="23"/>
      <c r="AR26" s="23"/>
      <c r="AS26" s="24"/>
    </row>
    <row r="27" spans="1:45" x14ac:dyDescent="0.25">
      <c r="A27" s="6">
        <v>6400</v>
      </c>
      <c r="B27" s="23"/>
      <c r="C27" s="23"/>
      <c r="D27" s="23"/>
      <c r="E27" s="23"/>
      <c r="F27" s="23"/>
      <c r="G27" s="23"/>
      <c r="H27" s="23"/>
      <c r="I27" s="23"/>
      <c r="J27" s="23"/>
      <c r="K27" s="23"/>
      <c r="L27" s="23"/>
      <c r="M27" s="23"/>
      <c r="N27" s="23"/>
      <c r="O27" s="23"/>
      <c r="P27" s="23"/>
      <c r="Q27" s="23"/>
      <c r="R27" s="23"/>
      <c r="S27" s="23"/>
      <c r="T27" s="23"/>
      <c r="U27" s="23"/>
      <c r="V27" s="24"/>
      <c r="X27" s="6">
        <v>6400</v>
      </c>
      <c r="Y27" s="23"/>
      <c r="Z27" s="23"/>
      <c r="AA27" s="23"/>
      <c r="AB27" s="23"/>
      <c r="AC27" s="23"/>
      <c r="AD27" s="23"/>
      <c r="AE27" s="23"/>
      <c r="AF27" s="23"/>
      <c r="AG27" s="23"/>
      <c r="AH27" s="23"/>
      <c r="AI27" s="23"/>
      <c r="AJ27" s="23"/>
      <c r="AK27" s="23"/>
      <c r="AL27" s="23"/>
      <c r="AM27" s="23"/>
      <c r="AN27" s="23"/>
      <c r="AO27" s="23"/>
      <c r="AP27" s="23"/>
      <c r="AQ27" s="23"/>
      <c r="AR27" s="23"/>
      <c r="AS27" s="24"/>
    </row>
    <row r="28" spans="1:45" x14ac:dyDescent="0.25">
      <c r="A28" s="6">
        <v>6800</v>
      </c>
      <c r="B28" s="23"/>
      <c r="C28" s="23"/>
      <c r="D28" s="23"/>
      <c r="E28" s="23"/>
      <c r="F28" s="23"/>
      <c r="G28" s="23"/>
      <c r="H28" s="23"/>
      <c r="I28" s="23"/>
      <c r="J28" s="23"/>
      <c r="K28" s="23"/>
      <c r="L28" s="23"/>
      <c r="M28" s="23"/>
      <c r="N28" s="23"/>
      <c r="O28" s="23"/>
      <c r="P28" s="23"/>
      <c r="Q28" s="23"/>
      <c r="R28" s="23"/>
      <c r="S28" s="23"/>
      <c r="T28" s="23"/>
      <c r="U28" s="23"/>
      <c r="V28" s="24"/>
      <c r="X28" s="6">
        <v>6800</v>
      </c>
      <c r="Y28" s="23"/>
      <c r="Z28" s="23"/>
      <c r="AA28" s="23"/>
      <c r="AB28" s="23"/>
      <c r="AC28" s="23"/>
      <c r="AD28" s="23"/>
      <c r="AE28" s="23"/>
      <c r="AF28" s="23"/>
      <c r="AG28" s="23"/>
      <c r="AH28" s="23"/>
      <c r="AI28" s="23"/>
      <c r="AJ28" s="23"/>
      <c r="AK28" s="23"/>
      <c r="AL28" s="23"/>
      <c r="AM28" s="23"/>
      <c r="AN28" s="23"/>
      <c r="AO28" s="23"/>
      <c r="AP28" s="23"/>
      <c r="AQ28" s="23"/>
      <c r="AR28" s="23"/>
      <c r="AS28" s="24"/>
    </row>
    <row r="29" spans="1:45" x14ac:dyDescent="0.25">
      <c r="A29" s="6">
        <v>7200</v>
      </c>
      <c r="B29" s="23"/>
      <c r="C29" s="23"/>
      <c r="D29" s="23"/>
      <c r="E29" s="23"/>
      <c r="F29" s="23"/>
      <c r="G29" s="23"/>
      <c r="H29" s="23"/>
      <c r="I29" s="23"/>
      <c r="J29" s="23"/>
      <c r="K29" s="23"/>
      <c r="L29" s="23"/>
      <c r="M29" s="23"/>
      <c r="N29" s="23"/>
      <c r="O29" s="23"/>
      <c r="P29" s="23"/>
      <c r="Q29" s="23"/>
      <c r="R29" s="23"/>
      <c r="S29" s="23"/>
      <c r="T29" s="23"/>
      <c r="U29" s="23"/>
      <c r="V29" s="24"/>
      <c r="X29" s="6">
        <v>7200</v>
      </c>
      <c r="Y29" s="23"/>
      <c r="Z29" s="23"/>
      <c r="AA29" s="23"/>
      <c r="AB29" s="23"/>
      <c r="AC29" s="23"/>
      <c r="AD29" s="23"/>
      <c r="AE29" s="23"/>
      <c r="AF29" s="23"/>
      <c r="AG29" s="23"/>
      <c r="AH29" s="23"/>
      <c r="AI29" s="23"/>
      <c r="AJ29" s="23"/>
      <c r="AK29" s="23"/>
      <c r="AL29" s="23"/>
      <c r="AM29" s="23"/>
      <c r="AN29" s="23"/>
      <c r="AO29" s="23"/>
      <c r="AP29" s="23"/>
      <c r="AQ29" s="23"/>
      <c r="AR29" s="23"/>
      <c r="AS29" s="24"/>
    </row>
    <row r="30" spans="1:45" x14ac:dyDescent="0.25">
      <c r="A30" s="6">
        <v>7600</v>
      </c>
      <c r="B30" s="23"/>
      <c r="C30" s="23"/>
      <c r="D30" s="23"/>
      <c r="E30" s="23"/>
      <c r="F30" s="23"/>
      <c r="G30" s="23"/>
      <c r="H30" s="23"/>
      <c r="I30" s="23"/>
      <c r="J30" s="23"/>
      <c r="K30" s="23"/>
      <c r="L30" s="23"/>
      <c r="M30" s="23"/>
      <c r="N30" s="23"/>
      <c r="O30" s="23"/>
      <c r="P30" s="23"/>
      <c r="Q30" s="23"/>
      <c r="R30" s="23"/>
      <c r="S30" s="23"/>
      <c r="T30" s="23"/>
      <c r="U30" s="23"/>
      <c r="V30" s="24"/>
      <c r="X30" s="6">
        <v>7600</v>
      </c>
      <c r="Y30" s="23"/>
      <c r="Z30" s="23"/>
      <c r="AA30" s="23"/>
      <c r="AB30" s="23"/>
      <c r="AC30" s="23"/>
      <c r="AD30" s="23"/>
      <c r="AE30" s="23"/>
      <c r="AF30" s="23"/>
      <c r="AG30" s="23"/>
      <c r="AH30" s="23"/>
      <c r="AI30" s="23"/>
      <c r="AJ30" s="23"/>
      <c r="AK30" s="23"/>
      <c r="AL30" s="23"/>
      <c r="AM30" s="23"/>
      <c r="AN30" s="23"/>
      <c r="AO30" s="23"/>
      <c r="AP30" s="23"/>
      <c r="AQ30" s="23"/>
      <c r="AR30" s="23"/>
      <c r="AS30" s="24"/>
    </row>
    <row r="31" spans="1:45" x14ac:dyDescent="0.25">
      <c r="A31" s="6">
        <v>8000</v>
      </c>
      <c r="B31" s="23"/>
      <c r="C31" s="23"/>
      <c r="D31" s="23"/>
      <c r="E31" s="23"/>
      <c r="F31" s="23"/>
      <c r="G31" s="23"/>
      <c r="H31" s="23"/>
      <c r="I31" s="23"/>
      <c r="J31" s="23"/>
      <c r="K31" s="23"/>
      <c r="L31" s="23"/>
      <c r="M31" s="23"/>
      <c r="N31" s="23"/>
      <c r="O31" s="23"/>
      <c r="P31" s="23"/>
      <c r="Q31" s="23"/>
      <c r="R31" s="23"/>
      <c r="S31" s="23"/>
      <c r="T31" s="23"/>
      <c r="U31" s="23"/>
      <c r="V31" s="24"/>
      <c r="X31" s="6">
        <v>8000</v>
      </c>
      <c r="Y31" s="23"/>
      <c r="Z31" s="23"/>
      <c r="AA31" s="23"/>
      <c r="AB31" s="23"/>
      <c r="AC31" s="23"/>
      <c r="AD31" s="23"/>
      <c r="AE31" s="23"/>
      <c r="AF31" s="23"/>
      <c r="AG31" s="23"/>
      <c r="AH31" s="23"/>
      <c r="AI31" s="23"/>
      <c r="AJ31" s="23"/>
      <c r="AK31" s="23"/>
      <c r="AL31" s="23"/>
      <c r="AM31" s="23"/>
      <c r="AN31" s="23"/>
      <c r="AO31" s="23"/>
      <c r="AP31" s="23"/>
      <c r="AQ31" s="23"/>
      <c r="AR31" s="23"/>
      <c r="AS31" s="24"/>
    </row>
    <row r="32" spans="1:45" x14ac:dyDescent="0.25">
      <c r="A32" s="6">
        <v>8400</v>
      </c>
      <c r="B32" s="23"/>
      <c r="C32" s="23"/>
      <c r="D32" s="23"/>
      <c r="E32" s="23"/>
      <c r="F32" s="23"/>
      <c r="G32" s="23"/>
      <c r="H32" s="23"/>
      <c r="I32" s="23"/>
      <c r="J32" s="23"/>
      <c r="K32" s="23"/>
      <c r="L32" s="23"/>
      <c r="M32" s="23"/>
      <c r="N32" s="23"/>
      <c r="O32" s="23"/>
      <c r="P32" s="23"/>
      <c r="Q32" s="23"/>
      <c r="R32" s="23"/>
      <c r="S32" s="23"/>
      <c r="T32" s="23"/>
      <c r="U32" s="23"/>
      <c r="V32" s="24"/>
      <c r="X32" s="6">
        <v>8400</v>
      </c>
      <c r="Y32" s="23"/>
      <c r="Z32" s="23"/>
      <c r="AA32" s="23"/>
      <c r="AB32" s="23"/>
      <c r="AC32" s="23"/>
      <c r="AD32" s="23"/>
      <c r="AE32" s="23"/>
      <c r="AF32" s="23"/>
      <c r="AG32" s="23"/>
      <c r="AH32" s="23"/>
      <c r="AI32" s="23"/>
      <c r="AJ32" s="23"/>
      <c r="AK32" s="23"/>
      <c r="AL32" s="23"/>
      <c r="AM32" s="23"/>
      <c r="AN32" s="23"/>
      <c r="AO32" s="23"/>
      <c r="AP32" s="23"/>
      <c r="AQ32" s="23"/>
      <c r="AR32" s="23"/>
      <c r="AS32" s="24"/>
    </row>
    <row r="33" spans="1:45" x14ac:dyDescent="0.25">
      <c r="A33" s="6">
        <v>8800</v>
      </c>
      <c r="B33" s="23"/>
      <c r="C33" s="23"/>
      <c r="D33" s="23"/>
      <c r="E33" s="23"/>
      <c r="F33" s="23"/>
      <c r="G33" s="23"/>
      <c r="H33" s="23"/>
      <c r="I33" s="23"/>
      <c r="J33" s="23"/>
      <c r="K33" s="23"/>
      <c r="L33" s="23"/>
      <c r="M33" s="23"/>
      <c r="N33" s="23"/>
      <c r="O33" s="23"/>
      <c r="P33" s="23"/>
      <c r="Q33" s="23"/>
      <c r="R33" s="23"/>
      <c r="S33" s="23"/>
      <c r="T33" s="23"/>
      <c r="U33" s="23"/>
      <c r="V33" s="24"/>
      <c r="X33" s="6">
        <v>8800</v>
      </c>
      <c r="Y33" s="23"/>
      <c r="Z33" s="23"/>
      <c r="AA33" s="23"/>
      <c r="AB33" s="23"/>
      <c r="AC33" s="23"/>
      <c r="AD33" s="23"/>
      <c r="AE33" s="23"/>
      <c r="AF33" s="23"/>
      <c r="AG33" s="23"/>
      <c r="AH33" s="23"/>
      <c r="AI33" s="23"/>
      <c r="AJ33" s="23"/>
      <c r="AK33" s="23"/>
      <c r="AL33" s="23"/>
      <c r="AM33" s="23"/>
      <c r="AN33" s="23"/>
      <c r="AO33" s="23"/>
      <c r="AP33" s="23"/>
      <c r="AQ33" s="23"/>
      <c r="AR33" s="23"/>
      <c r="AS33" s="24"/>
    </row>
    <row r="34" spans="1:45" x14ac:dyDescent="0.25">
      <c r="A34" s="6">
        <v>9200</v>
      </c>
      <c r="B34" s="23"/>
      <c r="C34" s="23"/>
      <c r="D34" s="23"/>
      <c r="E34" s="23"/>
      <c r="F34" s="23"/>
      <c r="G34" s="23"/>
      <c r="H34" s="23"/>
      <c r="I34" s="23"/>
      <c r="J34" s="23"/>
      <c r="K34" s="23"/>
      <c r="L34" s="23"/>
      <c r="M34" s="23"/>
      <c r="N34" s="23"/>
      <c r="O34" s="23"/>
      <c r="P34" s="23"/>
      <c r="Q34" s="23"/>
      <c r="R34" s="23"/>
      <c r="S34" s="23"/>
      <c r="T34" s="23"/>
      <c r="U34" s="23"/>
      <c r="V34" s="24"/>
      <c r="X34" s="6">
        <v>9200</v>
      </c>
      <c r="Y34" s="23"/>
      <c r="Z34" s="23"/>
      <c r="AA34" s="23"/>
      <c r="AB34" s="23"/>
      <c r="AC34" s="23"/>
      <c r="AD34" s="23"/>
      <c r="AE34" s="23"/>
      <c r="AF34" s="23"/>
      <c r="AG34" s="23"/>
      <c r="AH34" s="23"/>
      <c r="AI34" s="23"/>
      <c r="AJ34" s="23"/>
      <c r="AK34" s="23"/>
      <c r="AL34" s="23"/>
      <c r="AM34" s="23"/>
      <c r="AN34" s="23"/>
      <c r="AO34" s="23"/>
      <c r="AP34" s="23"/>
      <c r="AQ34" s="23"/>
      <c r="AR34" s="23"/>
      <c r="AS34" s="24"/>
    </row>
    <row r="35" spans="1:45" x14ac:dyDescent="0.25">
      <c r="A35" s="6">
        <v>9600</v>
      </c>
      <c r="B35" s="23"/>
      <c r="C35" s="23"/>
      <c r="D35" s="23"/>
      <c r="E35" s="23"/>
      <c r="F35" s="23"/>
      <c r="G35" s="23"/>
      <c r="H35" s="23"/>
      <c r="I35" s="23"/>
      <c r="J35" s="23"/>
      <c r="K35" s="23"/>
      <c r="L35" s="23"/>
      <c r="M35" s="23"/>
      <c r="N35" s="23"/>
      <c r="O35" s="23"/>
      <c r="P35" s="23"/>
      <c r="Q35" s="23"/>
      <c r="R35" s="23"/>
      <c r="S35" s="23"/>
      <c r="T35" s="23"/>
      <c r="U35" s="23"/>
      <c r="V35" s="24"/>
      <c r="X35" s="6">
        <v>9600</v>
      </c>
      <c r="Y35" s="23"/>
      <c r="Z35" s="23"/>
      <c r="AA35" s="23"/>
      <c r="AB35" s="23"/>
      <c r="AC35" s="23"/>
      <c r="AD35" s="23"/>
      <c r="AE35" s="23"/>
      <c r="AF35" s="23"/>
      <c r="AG35" s="23"/>
      <c r="AH35" s="23"/>
      <c r="AI35" s="23"/>
      <c r="AJ35" s="23"/>
      <c r="AK35" s="23"/>
      <c r="AL35" s="23"/>
      <c r="AM35" s="23"/>
      <c r="AN35" s="23"/>
      <c r="AO35" s="23"/>
      <c r="AP35" s="23"/>
      <c r="AQ35" s="23"/>
      <c r="AR35" s="23"/>
      <c r="AS35" s="24"/>
    </row>
    <row r="36" spans="1:45" x14ac:dyDescent="0.25">
      <c r="A36" s="6">
        <v>10000</v>
      </c>
      <c r="B36" s="23"/>
      <c r="C36" s="23"/>
      <c r="D36" s="23"/>
      <c r="E36" s="23"/>
      <c r="F36" s="23"/>
      <c r="G36" s="23"/>
      <c r="H36" s="23"/>
      <c r="I36" s="23"/>
      <c r="J36" s="23"/>
      <c r="K36" s="23"/>
      <c r="L36" s="23"/>
      <c r="M36" s="23"/>
      <c r="N36" s="23"/>
      <c r="O36" s="23"/>
      <c r="P36" s="23"/>
      <c r="Q36" s="23"/>
      <c r="R36" s="23"/>
      <c r="S36" s="23"/>
      <c r="T36" s="23"/>
      <c r="U36" s="23"/>
      <c r="V36" s="24"/>
      <c r="X36" s="6">
        <v>10000</v>
      </c>
      <c r="Y36" s="23"/>
      <c r="Z36" s="23"/>
      <c r="AA36" s="23"/>
      <c r="AB36" s="23"/>
      <c r="AC36" s="23"/>
      <c r="AD36" s="23"/>
      <c r="AE36" s="23"/>
      <c r="AF36" s="23"/>
      <c r="AG36" s="23"/>
      <c r="AH36" s="23"/>
      <c r="AI36" s="23"/>
      <c r="AJ36" s="23"/>
      <c r="AK36" s="23"/>
      <c r="AL36" s="23"/>
      <c r="AM36" s="23"/>
      <c r="AN36" s="23"/>
      <c r="AO36" s="23"/>
      <c r="AP36" s="23"/>
      <c r="AQ36" s="23"/>
      <c r="AR36" s="23"/>
      <c r="AS36" s="24"/>
    </row>
    <row r="37" spans="1:45" x14ac:dyDescent="0.25">
      <c r="A37" s="6">
        <v>10400</v>
      </c>
      <c r="B37" s="23"/>
      <c r="C37" s="23"/>
      <c r="D37" s="23"/>
      <c r="E37" s="23"/>
      <c r="F37" s="23"/>
      <c r="G37" s="23"/>
      <c r="H37" s="23"/>
      <c r="I37" s="23"/>
      <c r="J37" s="23"/>
      <c r="K37" s="23"/>
      <c r="L37" s="23"/>
      <c r="M37" s="23"/>
      <c r="N37" s="23"/>
      <c r="O37" s="23"/>
      <c r="P37" s="23"/>
      <c r="Q37" s="23"/>
      <c r="R37" s="23"/>
      <c r="S37" s="23"/>
      <c r="T37" s="23"/>
      <c r="U37" s="23"/>
      <c r="V37" s="24"/>
      <c r="X37" s="6">
        <v>10400</v>
      </c>
      <c r="Y37" s="23"/>
      <c r="Z37" s="23"/>
      <c r="AA37" s="23"/>
      <c r="AB37" s="23"/>
      <c r="AC37" s="23"/>
      <c r="AD37" s="23"/>
      <c r="AE37" s="23"/>
      <c r="AF37" s="23"/>
      <c r="AG37" s="23"/>
      <c r="AH37" s="23"/>
      <c r="AI37" s="23"/>
      <c r="AJ37" s="23"/>
      <c r="AK37" s="23"/>
      <c r="AL37" s="23"/>
      <c r="AM37" s="23"/>
      <c r="AN37" s="23"/>
      <c r="AO37" s="23"/>
      <c r="AP37" s="23"/>
      <c r="AQ37" s="23"/>
      <c r="AR37" s="23"/>
      <c r="AS37" s="24"/>
    </row>
    <row r="38" spans="1:45" x14ac:dyDescent="0.25">
      <c r="A38" s="6">
        <v>10800</v>
      </c>
      <c r="B38" s="23"/>
      <c r="C38" s="23"/>
      <c r="D38" s="23"/>
      <c r="E38" s="23"/>
      <c r="F38" s="23"/>
      <c r="G38" s="23"/>
      <c r="H38" s="23"/>
      <c r="I38" s="23"/>
      <c r="J38" s="23"/>
      <c r="K38" s="23"/>
      <c r="L38" s="23"/>
      <c r="M38" s="23"/>
      <c r="N38" s="23"/>
      <c r="O38" s="23"/>
      <c r="P38" s="23"/>
      <c r="Q38" s="23"/>
      <c r="R38" s="23"/>
      <c r="S38" s="23"/>
      <c r="T38" s="23"/>
      <c r="U38" s="23"/>
      <c r="V38" s="24"/>
      <c r="X38" s="6">
        <v>10800</v>
      </c>
      <c r="Y38" s="23"/>
      <c r="Z38" s="23"/>
      <c r="AA38" s="23"/>
      <c r="AB38" s="23"/>
      <c r="AC38" s="23"/>
      <c r="AD38" s="23"/>
      <c r="AE38" s="23"/>
      <c r="AF38" s="23"/>
      <c r="AG38" s="23"/>
      <c r="AH38" s="23"/>
      <c r="AI38" s="23"/>
      <c r="AJ38" s="23"/>
      <c r="AK38" s="23"/>
      <c r="AL38" s="23"/>
      <c r="AM38" s="23"/>
      <c r="AN38" s="23"/>
      <c r="AO38" s="23"/>
      <c r="AP38" s="23"/>
      <c r="AQ38" s="23"/>
      <c r="AR38" s="23"/>
      <c r="AS38" s="24"/>
    </row>
    <row r="39" spans="1:45" x14ac:dyDescent="0.25">
      <c r="A39" s="6">
        <v>11200</v>
      </c>
      <c r="B39" s="23"/>
      <c r="C39" s="23"/>
      <c r="D39" s="23"/>
      <c r="E39" s="23"/>
      <c r="F39" s="23"/>
      <c r="G39" s="23"/>
      <c r="H39" s="23"/>
      <c r="I39" s="23"/>
      <c r="J39" s="23"/>
      <c r="K39" s="23"/>
      <c r="L39" s="23"/>
      <c r="M39" s="23"/>
      <c r="N39" s="23"/>
      <c r="O39" s="23"/>
      <c r="P39" s="23"/>
      <c r="Q39" s="23"/>
      <c r="R39" s="23"/>
      <c r="S39" s="23"/>
      <c r="T39" s="23"/>
      <c r="U39" s="23"/>
      <c r="V39" s="24"/>
      <c r="X39" s="6">
        <v>11200</v>
      </c>
      <c r="Y39" s="23"/>
      <c r="Z39" s="23"/>
      <c r="AA39" s="23"/>
      <c r="AB39" s="23"/>
      <c r="AC39" s="23"/>
      <c r="AD39" s="23"/>
      <c r="AE39" s="23"/>
      <c r="AF39" s="23"/>
      <c r="AG39" s="23"/>
      <c r="AH39" s="23"/>
      <c r="AI39" s="23"/>
      <c r="AJ39" s="23"/>
      <c r="AK39" s="23"/>
      <c r="AL39" s="23"/>
      <c r="AM39" s="23"/>
      <c r="AN39" s="23"/>
      <c r="AO39" s="23"/>
      <c r="AP39" s="23"/>
      <c r="AQ39" s="23"/>
      <c r="AR39" s="23"/>
      <c r="AS39" s="24"/>
    </row>
    <row r="40" spans="1:45" x14ac:dyDescent="0.25">
      <c r="A40" s="6">
        <v>11600</v>
      </c>
      <c r="B40" s="23"/>
      <c r="C40" s="23"/>
      <c r="D40" s="23"/>
      <c r="E40" s="23"/>
      <c r="F40" s="23"/>
      <c r="G40" s="23"/>
      <c r="H40" s="23"/>
      <c r="I40" s="23"/>
      <c r="J40" s="23"/>
      <c r="K40" s="23"/>
      <c r="L40" s="23"/>
      <c r="M40" s="23"/>
      <c r="N40" s="23"/>
      <c r="O40" s="23"/>
      <c r="P40" s="23"/>
      <c r="Q40" s="23"/>
      <c r="R40" s="23"/>
      <c r="S40" s="23"/>
      <c r="T40" s="23"/>
      <c r="U40" s="23"/>
      <c r="V40" s="24"/>
      <c r="X40" s="6">
        <v>11600</v>
      </c>
      <c r="Y40" s="23"/>
      <c r="Z40" s="23"/>
      <c r="AA40" s="23"/>
      <c r="AB40" s="23"/>
      <c r="AC40" s="23"/>
      <c r="AD40" s="23"/>
      <c r="AE40" s="23"/>
      <c r="AF40" s="23"/>
      <c r="AG40" s="23"/>
      <c r="AH40" s="23"/>
      <c r="AI40" s="23"/>
      <c r="AJ40" s="23"/>
      <c r="AK40" s="23"/>
      <c r="AL40" s="23"/>
      <c r="AM40" s="23"/>
      <c r="AN40" s="23"/>
      <c r="AO40" s="23"/>
      <c r="AP40" s="23"/>
      <c r="AQ40" s="23"/>
      <c r="AR40" s="23"/>
      <c r="AS40" s="24"/>
    </row>
    <row r="41" spans="1:45" x14ac:dyDescent="0.25">
      <c r="A41" s="6">
        <v>12000</v>
      </c>
      <c r="B41" s="23"/>
      <c r="C41" s="23"/>
      <c r="D41" s="23"/>
      <c r="E41" s="23"/>
      <c r="F41" s="23"/>
      <c r="G41" s="23"/>
      <c r="H41" s="23"/>
      <c r="I41" s="23"/>
      <c r="J41" s="23"/>
      <c r="K41" s="23"/>
      <c r="L41" s="23"/>
      <c r="M41" s="23"/>
      <c r="N41" s="23"/>
      <c r="O41" s="23"/>
      <c r="P41" s="23"/>
      <c r="Q41" s="23"/>
      <c r="R41" s="23"/>
      <c r="S41" s="23"/>
      <c r="T41" s="23"/>
      <c r="U41" s="23"/>
      <c r="V41" s="24"/>
      <c r="X41" s="6">
        <v>12000</v>
      </c>
      <c r="Y41" s="23"/>
      <c r="Z41" s="23"/>
      <c r="AA41" s="23"/>
      <c r="AB41" s="23"/>
      <c r="AC41" s="23"/>
      <c r="AD41" s="23"/>
      <c r="AE41" s="23"/>
      <c r="AF41" s="23"/>
      <c r="AG41" s="23"/>
      <c r="AH41" s="23"/>
      <c r="AI41" s="23"/>
      <c r="AJ41" s="23"/>
      <c r="AK41" s="23"/>
      <c r="AL41" s="23"/>
      <c r="AM41" s="23"/>
      <c r="AN41" s="23"/>
      <c r="AO41" s="23"/>
      <c r="AP41" s="23"/>
      <c r="AQ41" s="23"/>
      <c r="AR41" s="23"/>
      <c r="AS41" s="24"/>
    </row>
    <row r="42" spans="1:45" x14ac:dyDescent="0.25">
      <c r="A42" s="6">
        <v>12400</v>
      </c>
      <c r="B42" s="23"/>
      <c r="C42" s="23"/>
      <c r="D42" s="23"/>
      <c r="E42" s="23"/>
      <c r="F42" s="23"/>
      <c r="G42" s="23"/>
      <c r="H42" s="23"/>
      <c r="I42" s="23"/>
      <c r="J42" s="23"/>
      <c r="K42" s="23"/>
      <c r="L42" s="23"/>
      <c r="M42" s="23"/>
      <c r="N42" s="23"/>
      <c r="O42" s="23"/>
      <c r="P42" s="23"/>
      <c r="Q42" s="23"/>
      <c r="R42" s="23"/>
      <c r="S42" s="23"/>
      <c r="T42" s="23"/>
      <c r="U42" s="23"/>
      <c r="V42" s="24"/>
      <c r="X42" s="6">
        <v>12400</v>
      </c>
      <c r="Y42" s="23"/>
      <c r="Z42" s="23"/>
      <c r="AA42" s="23"/>
      <c r="AB42" s="23"/>
      <c r="AC42" s="23"/>
      <c r="AD42" s="23"/>
      <c r="AE42" s="23"/>
      <c r="AF42" s="23"/>
      <c r="AG42" s="23"/>
      <c r="AH42" s="23"/>
      <c r="AI42" s="23"/>
      <c r="AJ42" s="23"/>
      <c r="AK42" s="23"/>
      <c r="AL42" s="23"/>
      <c r="AM42" s="23"/>
      <c r="AN42" s="23"/>
      <c r="AO42" s="23"/>
      <c r="AP42" s="23"/>
      <c r="AQ42" s="23"/>
      <c r="AR42" s="23"/>
      <c r="AS42" s="24"/>
    </row>
    <row r="43" spans="1:45" ht="13.8" thickBot="1" x14ac:dyDescent="0.3">
      <c r="A43" s="7">
        <v>12800</v>
      </c>
      <c r="B43" s="25"/>
      <c r="C43" s="25"/>
      <c r="D43" s="25"/>
      <c r="E43" s="25"/>
      <c r="F43" s="25"/>
      <c r="G43" s="25"/>
      <c r="H43" s="25"/>
      <c r="I43" s="25"/>
      <c r="J43" s="25"/>
      <c r="K43" s="25"/>
      <c r="L43" s="25"/>
      <c r="M43" s="25"/>
      <c r="N43" s="25"/>
      <c r="O43" s="25"/>
      <c r="P43" s="25"/>
      <c r="Q43" s="25"/>
      <c r="R43" s="25"/>
      <c r="S43" s="25"/>
      <c r="T43" s="25"/>
      <c r="U43" s="25">
        <v>17.732592592592592</v>
      </c>
      <c r="V43" s="26"/>
      <c r="X43" s="7">
        <v>12800</v>
      </c>
      <c r="Y43" s="25"/>
      <c r="Z43" s="25"/>
      <c r="AA43" s="25"/>
      <c r="AB43" s="25"/>
      <c r="AC43" s="25"/>
      <c r="AD43" s="25"/>
      <c r="AE43" s="25"/>
      <c r="AF43" s="25"/>
      <c r="AG43" s="25"/>
      <c r="AH43" s="25"/>
      <c r="AI43" s="25"/>
      <c r="AJ43" s="25"/>
      <c r="AK43" s="25"/>
      <c r="AL43" s="25"/>
      <c r="AM43" s="25"/>
      <c r="AN43" s="25"/>
      <c r="AO43" s="25"/>
      <c r="AP43" s="25"/>
      <c r="AQ43" s="25"/>
      <c r="AR43" s="25">
        <v>405</v>
      </c>
      <c r="AS43" s="26"/>
    </row>
    <row r="44" spans="1:45" x14ac:dyDescent="0.25">
      <c r="A44" s="1"/>
    </row>
    <row r="45" spans="1:45" x14ac:dyDescent="0.25">
      <c r="A45" s="1"/>
    </row>
    <row r="46" spans="1:45" x14ac:dyDescent="0.25">
      <c r="A46" s="1"/>
    </row>
    <row r="47" spans="1:45" x14ac:dyDescent="0.25">
      <c r="A47" s="1"/>
    </row>
    <row r="48" spans="1:45"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JTvzTFR1CYiBqRCI3eby3rHR+54+El7Q06HwEV3v16gKqWKbwljrs2qz9pmUcYwUZlZP/78LpXCrZEXIQ0TsZw==" saltValue="+ly8JBSvaNQQrGMysQl3eA==" spinCount="100000" sheet="1" objects="1" scenarios="1"/>
  <conditionalFormatting sqref="B2:V43">
    <cfRule type="colorScale" priority="2">
      <colorScale>
        <cfvo type="min"/>
        <cfvo type="percentile" val="50"/>
        <cfvo type="max"/>
        <color rgb="FF5A8AC6"/>
        <color rgb="FFFCFCFF"/>
        <color rgb="FFF8696B"/>
      </colorScale>
    </cfRule>
  </conditionalFormatting>
  <conditionalFormatting sqref="Y2:AS43">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outlinePr summaryBelow="0" summaryRight="0"/>
  </sheetPr>
  <dimension ref="A1:AB1000"/>
  <sheetViews>
    <sheetView zoomScale="70" zoomScaleNormal="70" workbookViewId="0">
      <selection activeCell="B2" sqref="B2"/>
    </sheetView>
  </sheetViews>
  <sheetFormatPr defaultColWidth="12.5546875" defaultRowHeight="13.2" x14ac:dyDescent="0.25"/>
  <cols>
    <col min="1" max="1" width="6.6640625" style="2" bestFit="1" customWidth="1"/>
    <col min="2" max="24" width="4.6640625" style="2" customWidth="1"/>
    <col min="25" max="16384" width="12.5546875" style="2"/>
  </cols>
  <sheetData>
    <row r="1" spans="1:28" x14ac:dyDescent="0.25">
      <c r="A1" s="3"/>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c r="Y1" s="1"/>
      <c r="Z1" s="68" t="s">
        <v>19</v>
      </c>
      <c r="AA1" s="69"/>
      <c r="AB1" s="70"/>
    </row>
    <row r="2" spans="1:28" x14ac:dyDescent="0.25">
      <c r="A2" s="6">
        <v>800</v>
      </c>
      <c r="B2" s="8">
        <v>48</v>
      </c>
      <c r="C2" s="8">
        <v>49</v>
      </c>
      <c r="D2" s="8">
        <v>75</v>
      </c>
      <c r="E2" s="8">
        <v>86</v>
      </c>
      <c r="F2" s="8">
        <v>97</v>
      </c>
      <c r="G2" s="8">
        <v>101</v>
      </c>
      <c r="H2" s="8">
        <v>109</v>
      </c>
      <c r="I2" s="8">
        <v>112</v>
      </c>
      <c r="J2" s="8">
        <v>123</v>
      </c>
      <c r="K2" s="8">
        <v>132</v>
      </c>
      <c r="L2" s="8">
        <v>135</v>
      </c>
      <c r="M2" s="8">
        <v>142</v>
      </c>
      <c r="N2" s="8">
        <v>142</v>
      </c>
      <c r="O2" s="8">
        <v>145</v>
      </c>
      <c r="P2" s="8">
        <v>149</v>
      </c>
      <c r="Q2" s="8">
        <v>154</v>
      </c>
      <c r="R2" s="8">
        <v>155</v>
      </c>
      <c r="S2" s="8">
        <v>159</v>
      </c>
      <c r="T2" s="8">
        <v>159</v>
      </c>
      <c r="U2" s="8">
        <v>160</v>
      </c>
      <c r="V2" s="8">
        <v>164</v>
      </c>
      <c r="W2" s="8">
        <v>167</v>
      </c>
      <c r="X2" s="9">
        <v>167</v>
      </c>
      <c r="Z2" s="71"/>
      <c r="AA2" s="72"/>
      <c r="AB2" s="73"/>
    </row>
    <row r="3" spans="1:28" ht="13.8" thickBot="1" x14ac:dyDescent="0.3">
      <c r="A3" s="6">
        <v>1000</v>
      </c>
      <c r="B3" s="8">
        <v>48</v>
      </c>
      <c r="C3" s="8">
        <v>49</v>
      </c>
      <c r="D3" s="8">
        <v>75</v>
      </c>
      <c r="E3" s="8">
        <v>86</v>
      </c>
      <c r="F3" s="8">
        <v>97</v>
      </c>
      <c r="G3" s="8">
        <v>101</v>
      </c>
      <c r="H3" s="8">
        <v>109</v>
      </c>
      <c r="I3" s="8">
        <v>112</v>
      </c>
      <c r="J3" s="8">
        <v>123</v>
      </c>
      <c r="K3" s="8">
        <v>132</v>
      </c>
      <c r="L3" s="8">
        <v>135</v>
      </c>
      <c r="M3" s="8">
        <v>142</v>
      </c>
      <c r="N3" s="8">
        <v>142</v>
      </c>
      <c r="O3" s="8">
        <v>145</v>
      </c>
      <c r="P3" s="8">
        <v>149</v>
      </c>
      <c r="Q3" s="8">
        <v>154</v>
      </c>
      <c r="R3" s="8">
        <v>155</v>
      </c>
      <c r="S3" s="8">
        <v>159</v>
      </c>
      <c r="T3" s="8">
        <v>159</v>
      </c>
      <c r="U3" s="8">
        <v>160</v>
      </c>
      <c r="V3" s="8">
        <v>164</v>
      </c>
      <c r="W3" s="8">
        <v>167</v>
      </c>
      <c r="X3" s="9">
        <v>167</v>
      </c>
      <c r="Z3" s="74"/>
      <c r="AA3" s="75"/>
      <c r="AB3" s="76"/>
    </row>
    <row r="4" spans="1:28" x14ac:dyDescent="0.25">
      <c r="A4" s="6">
        <v>1200</v>
      </c>
      <c r="B4" s="8">
        <v>44</v>
      </c>
      <c r="C4" s="8">
        <v>43</v>
      </c>
      <c r="D4" s="8">
        <v>67</v>
      </c>
      <c r="E4" s="8">
        <v>82</v>
      </c>
      <c r="F4" s="8">
        <v>88</v>
      </c>
      <c r="G4" s="8">
        <v>94</v>
      </c>
      <c r="H4" s="8">
        <v>99</v>
      </c>
      <c r="I4" s="8">
        <v>102</v>
      </c>
      <c r="J4" s="8">
        <v>112</v>
      </c>
      <c r="K4" s="8">
        <v>118</v>
      </c>
      <c r="L4" s="8">
        <v>125</v>
      </c>
      <c r="M4" s="8">
        <v>132</v>
      </c>
      <c r="N4" s="8">
        <v>138</v>
      </c>
      <c r="O4" s="8">
        <v>147</v>
      </c>
      <c r="P4" s="8">
        <v>147</v>
      </c>
      <c r="Q4" s="8">
        <v>147</v>
      </c>
      <c r="R4" s="8">
        <v>142</v>
      </c>
      <c r="S4" s="8">
        <v>141</v>
      </c>
      <c r="T4" s="8">
        <v>142</v>
      </c>
      <c r="U4" s="8">
        <v>143</v>
      </c>
      <c r="V4" s="8">
        <v>148</v>
      </c>
      <c r="W4" s="8">
        <v>149</v>
      </c>
      <c r="X4" s="9">
        <v>154</v>
      </c>
      <c r="Z4" s="22"/>
      <c r="AA4" s="22"/>
      <c r="AB4" s="22"/>
    </row>
    <row r="5" spans="1:28" x14ac:dyDescent="0.25">
      <c r="A5" s="6">
        <v>1400</v>
      </c>
      <c r="B5" s="8">
        <v>43</v>
      </c>
      <c r="C5" s="8">
        <v>41</v>
      </c>
      <c r="D5" s="8">
        <v>54</v>
      </c>
      <c r="E5" s="8">
        <v>76</v>
      </c>
      <c r="F5" s="8">
        <v>83</v>
      </c>
      <c r="G5" s="8">
        <v>88</v>
      </c>
      <c r="H5" s="8">
        <v>91</v>
      </c>
      <c r="I5" s="8">
        <v>96</v>
      </c>
      <c r="J5" s="8">
        <v>103</v>
      </c>
      <c r="K5" s="8">
        <v>109</v>
      </c>
      <c r="L5" s="8">
        <v>118</v>
      </c>
      <c r="M5" s="8">
        <v>122</v>
      </c>
      <c r="N5" s="8">
        <v>128</v>
      </c>
      <c r="O5" s="8">
        <v>141</v>
      </c>
      <c r="P5" s="8">
        <v>146</v>
      </c>
      <c r="Q5" s="8">
        <v>146</v>
      </c>
      <c r="R5" s="8">
        <v>146</v>
      </c>
      <c r="S5" s="8">
        <v>146</v>
      </c>
      <c r="T5" s="8">
        <v>146</v>
      </c>
      <c r="U5" s="8">
        <v>147</v>
      </c>
      <c r="V5" s="8">
        <v>147</v>
      </c>
      <c r="W5" s="8">
        <v>147</v>
      </c>
      <c r="X5" s="9">
        <v>147</v>
      </c>
      <c r="Z5" s="22"/>
      <c r="AA5" s="22"/>
      <c r="AB5" s="22"/>
    </row>
    <row r="6" spans="1:28" x14ac:dyDescent="0.25">
      <c r="A6" s="6">
        <v>1600</v>
      </c>
      <c r="B6" s="8">
        <v>43</v>
      </c>
      <c r="C6" s="8">
        <v>41</v>
      </c>
      <c r="D6" s="8">
        <v>51</v>
      </c>
      <c r="E6" s="8">
        <v>66</v>
      </c>
      <c r="F6" s="8">
        <v>75</v>
      </c>
      <c r="G6" s="8">
        <v>84</v>
      </c>
      <c r="H6" s="8">
        <v>88</v>
      </c>
      <c r="I6" s="8">
        <v>90</v>
      </c>
      <c r="J6" s="8">
        <v>97</v>
      </c>
      <c r="K6" s="8">
        <v>104</v>
      </c>
      <c r="L6" s="8">
        <v>109</v>
      </c>
      <c r="M6" s="8">
        <v>114</v>
      </c>
      <c r="N6" s="8">
        <v>122</v>
      </c>
      <c r="O6" s="8">
        <v>141</v>
      </c>
      <c r="P6" s="8">
        <v>145</v>
      </c>
      <c r="Q6" s="8">
        <v>147</v>
      </c>
      <c r="R6" s="8">
        <v>147</v>
      </c>
      <c r="S6" s="8">
        <v>147</v>
      </c>
      <c r="T6" s="8">
        <v>147</v>
      </c>
      <c r="U6" s="8">
        <v>147</v>
      </c>
      <c r="V6" s="8">
        <v>147</v>
      </c>
      <c r="W6" s="8">
        <v>149</v>
      </c>
      <c r="X6" s="9">
        <v>149</v>
      </c>
      <c r="Z6" s="22"/>
      <c r="AA6" s="22"/>
      <c r="AB6" s="22"/>
    </row>
    <row r="7" spans="1:28" x14ac:dyDescent="0.25">
      <c r="A7" s="6">
        <v>1800</v>
      </c>
      <c r="B7" s="8">
        <v>42</v>
      </c>
      <c r="C7" s="8">
        <v>39</v>
      </c>
      <c r="D7" s="8">
        <v>46</v>
      </c>
      <c r="E7" s="8">
        <v>62</v>
      </c>
      <c r="F7" s="8">
        <v>71</v>
      </c>
      <c r="G7" s="8">
        <v>80</v>
      </c>
      <c r="H7" s="8">
        <v>86</v>
      </c>
      <c r="I7" s="8">
        <v>89</v>
      </c>
      <c r="J7" s="8">
        <v>96</v>
      </c>
      <c r="K7" s="8">
        <v>102</v>
      </c>
      <c r="L7" s="8">
        <v>108</v>
      </c>
      <c r="M7" s="8">
        <v>113</v>
      </c>
      <c r="N7" s="8">
        <v>120</v>
      </c>
      <c r="O7" s="8">
        <v>140</v>
      </c>
      <c r="P7" s="8">
        <v>149</v>
      </c>
      <c r="Q7" s="8">
        <v>152</v>
      </c>
      <c r="R7" s="8">
        <v>153</v>
      </c>
      <c r="S7" s="8">
        <v>153</v>
      </c>
      <c r="T7" s="8">
        <v>153</v>
      </c>
      <c r="U7" s="8">
        <v>155</v>
      </c>
      <c r="V7" s="8">
        <v>155</v>
      </c>
      <c r="W7" s="8">
        <v>159</v>
      </c>
      <c r="X7" s="9">
        <v>167</v>
      </c>
    </row>
    <row r="8" spans="1:28" x14ac:dyDescent="0.25">
      <c r="A8" s="6">
        <v>2000</v>
      </c>
      <c r="B8" s="8">
        <v>38</v>
      </c>
      <c r="C8" s="8">
        <v>38</v>
      </c>
      <c r="D8" s="8">
        <v>43</v>
      </c>
      <c r="E8" s="8">
        <v>55</v>
      </c>
      <c r="F8" s="8">
        <v>67</v>
      </c>
      <c r="G8" s="8">
        <v>78</v>
      </c>
      <c r="H8" s="8">
        <v>85</v>
      </c>
      <c r="I8" s="8">
        <v>88</v>
      </c>
      <c r="J8" s="8">
        <v>96</v>
      </c>
      <c r="K8" s="8">
        <v>101</v>
      </c>
      <c r="L8" s="8">
        <v>107</v>
      </c>
      <c r="M8" s="8">
        <v>112</v>
      </c>
      <c r="N8" s="8">
        <v>119</v>
      </c>
      <c r="O8" s="8">
        <v>140</v>
      </c>
      <c r="P8" s="8">
        <v>150</v>
      </c>
      <c r="Q8" s="8">
        <v>158</v>
      </c>
      <c r="R8" s="8">
        <v>160</v>
      </c>
      <c r="S8" s="8">
        <v>160</v>
      </c>
      <c r="T8" s="8">
        <v>161</v>
      </c>
      <c r="U8" s="8">
        <v>161</v>
      </c>
      <c r="V8" s="8">
        <v>161</v>
      </c>
      <c r="W8" s="8">
        <v>162</v>
      </c>
      <c r="X8" s="9">
        <v>176</v>
      </c>
    </row>
    <row r="9" spans="1:28" x14ac:dyDescent="0.25">
      <c r="A9" s="6">
        <v>2200</v>
      </c>
      <c r="B9" s="8">
        <v>36</v>
      </c>
      <c r="C9" s="8">
        <v>36</v>
      </c>
      <c r="D9" s="8">
        <v>43</v>
      </c>
      <c r="E9" s="8">
        <v>49</v>
      </c>
      <c r="F9" s="8">
        <v>64</v>
      </c>
      <c r="G9" s="8">
        <v>72</v>
      </c>
      <c r="H9" s="8">
        <v>79</v>
      </c>
      <c r="I9" s="8">
        <v>83</v>
      </c>
      <c r="J9" s="8">
        <v>91</v>
      </c>
      <c r="K9" s="8">
        <v>96</v>
      </c>
      <c r="L9" s="8">
        <v>102</v>
      </c>
      <c r="M9" s="8">
        <v>107</v>
      </c>
      <c r="N9" s="8">
        <v>113</v>
      </c>
      <c r="O9" s="8">
        <v>129</v>
      </c>
      <c r="P9" s="8">
        <v>140</v>
      </c>
      <c r="Q9" s="8">
        <v>148</v>
      </c>
      <c r="R9" s="8">
        <v>152</v>
      </c>
      <c r="S9" s="8">
        <v>153</v>
      </c>
      <c r="T9" s="8">
        <v>153</v>
      </c>
      <c r="U9" s="8">
        <v>154</v>
      </c>
      <c r="V9" s="8">
        <v>155</v>
      </c>
      <c r="W9" s="8">
        <v>158</v>
      </c>
      <c r="X9" s="9">
        <v>167</v>
      </c>
    </row>
    <row r="10" spans="1:28" x14ac:dyDescent="0.25">
      <c r="A10" s="6">
        <v>2400</v>
      </c>
      <c r="B10" s="8">
        <v>34</v>
      </c>
      <c r="C10" s="8">
        <v>34</v>
      </c>
      <c r="D10" s="8">
        <v>42</v>
      </c>
      <c r="E10" s="8">
        <v>47</v>
      </c>
      <c r="F10" s="8">
        <v>61</v>
      </c>
      <c r="G10" s="8">
        <v>68</v>
      </c>
      <c r="H10" s="8">
        <v>74</v>
      </c>
      <c r="I10" s="8">
        <v>76</v>
      </c>
      <c r="J10" s="8">
        <v>86</v>
      </c>
      <c r="K10" s="8">
        <v>91</v>
      </c>
      <c r="L10" s="8">
        <v>96</v>
      </c>
      <c r="M10" s="8">
        <v>101</v>
      </c>
      <c r="N10" s="8">
        <v>104</v>
      </c>
      <c r="O10" s="8">
        <v>119</v>
      </c>
      <c r="P10" s="8">
        <v>130</v>
      </c>
      <c r="Q10" s="8">
        <v>141</v>
      </c>
      <c r="R10" s="8">
        <v>146</v>
      </c>
      <c r="S10" s="8">
        <v>147</v>
      </c>
      <c r="T10" s="8">
        <v>148</v>
      </c>
      <c r="U10" s="8">
        <v>149</v>
      </c>
      <c r="V10" s="8">
        <v>150</v>
      </c>
      <c r="W10" s="8">
        <v>153</v>
      </c>
      <c r="X10" s="9">
        <v>163</v>
      </c>
    </row>
    <row r="11" spans="1:28" x14ac:dyDescent="0.25">
      <c r="A11" s="6">
        <v>2600</v>
      </c>
      <c r="B11" s="8">
        <v>34</v>
      </c>
      <c r="C11" s="8">
        <v>34</v>
      </c>
      <c r="D11" s="8">
        <v>39</v>
      </c>
      <c r="E11" s="8">
        <v>44</v>
      </c>
      <c r="F11" s="8">
        <v>57</v>
      </c>
      <c r="G11" s="8">
        <v>63</v>
      </c>
      <c r="H11" s="8">
        <v>69</v>
      </c>
      <c r="I11" s="8">
        <v>74</v>
      </c>
      <c r="J11" s="8">
        <v>82</v>
      </c>
      <c r="K11" s="8">
        <v>86</v>
      </c>
      <c r="L11" s="8">
        <v>92</v>
      </c>
      <c r="M11" s="8">
        <v>97</v>
      </c>
      <c r="N11" s="8">
        <v>102</v>
      </c>
      <c r="O11" s="8">
        <v>114</v>
      </c>
      <c r="P11" s="8">
        <v>128</v>
      </c>
      <c r="Q11" s="8">
        <v>139</v>
      </c>
      <c r="R11" s="8">
        <v>145</v>
      </c>
      <c r="S11" s="8">
        <v>149</v>
      </c>
      <c r="T11" s="8">
        <v>150</v>
      </c>
      <c r="U11" s="8">
        <v>150</v>
      </c>
      <c r="V11" s="8">
        <v>154</v>
      </c>
      <c r="W11" s="8">
        <v>158</v>
      </c>
      <c r="X11" s="9">
        <v>166</v>
      </c>
    </row>
    <row r="12" spans="1:28" x14ac:dyDescent="0.25">
      <c r="A12" s="6">
        <v>2800</v>
      </c>
      <c r="B12" s="8">
        <v>34</v>
      </c>
      <c r="C12" s="8">
        <v>34</v>
      </c>
      <c r="D12" s="8">
        <v>34</v>
      </c>
      <c r="E12" s="8">
        <v>42</v>
      </c>
      <c r="F12" s="8">
        <v>54</v>
      </c>
      <c r="G12" s="8">
        <v>58</v>
      </c>
      <c r="H12" s="8">
        <v>66</v>
      </c>
      <c r="I12" s="8">
        <v>71</v>
      </c>
      <c r="J12" s="8">
        <v>79</v>
      </c>
      <c r="K12" s="8">
        <v>84</v>
      </c>
      <c r="L12" s="8">
        <v>90</v>
      </c>
      <c r="M12" s="8">
        <v>96</v>
      </c>
      <c r="N12" s="8">
        <v>99</v>
      </c>
      <c r="O12" s="8">
        <v>113</v>
      </c>
      <c r="P12" s="8">
        <v>126</v>
      </c>
      <c r="Q12" s="8">
        <v>136</v>
      </c>
      <c r="R12" s="8">
        <v>145</v>
      </c>
      <c r="S12" s="8">
        <v>152</v>
      </c>
      <c r="T12" s="8">
        <v>152</v>
      </c>
      <c r="U12" s="8">
        <v>154</v>
      </c>
      <c r="V12" s="8">
        <v>158</v>
      </c>
      <c r="W12" s="8">
        <v>162</v>
      </c>
      <c r="X12" s="9">
        <v>168</v>
      </c>
    </row>
    <row r="13" spans="1:28" x14ac:dyDescent="0.25">
      <c r="A13" s="6">
        <v>3000</v>
      </c>
      <c r="B13" s="8">
        <v>32</v>
      </c>
      <c r="C13" s="8">
        <v>32</v>
      </c>
      <c r="D13" s="8">
        <v>32</v>
      </c>
      <c r="E13" s="8">
        <v>40</v>
      </c>
      <c r="F13" s="8">
        <v>49</v>
      </c>
      <c r="G13" s="8">
        <v>55</v>
      </c>
      <c r="H13" s="8">
        <v>64</v>
      </c>
      <c r="I13" s="8">
        <v>69</v>
      </c>
      <c r="J13" s="8">
        <v>78</v>
      </c>
      <c r="K13" s="8">
        <v>84</v>
      </c>
      <c r="L13" s="8">
        <v>90</v>
      </c>
      <c r="M13" s="8">
        <v>96</v>
      </c>
      <c r="N13" s="8">
        <v>101</v>
      </c>
      <c r="O13" s="8">
        <v>118</v>
      </c>
      <c r="P13" s="8">
        <v>133</v>
      </c>
      <c r="Q13" s="8">
        <v>142</v>
      </c>
      <c r="R13" s="8">
        <v>153</v>
      </c>
      <c r="S13" s="8">
        <v>161</v>
      </c>
      <c r="T13" s="8">
        <v>161</v>
      </c>
      <c r="U13" s="8">
        <v>162</v>
      </c>
      <c r="V13" s="8">
        <v>167</v>
      </c>
      <c r="W13" s="8">
        <v>171</v>
      </c>
      <c r="X13" s="9">
        <v>175</v>
      </c>
    </row>
    <row r="14" spans="1:28" x14ac:dyDescent="0.25">
      <c r="A14" s="6">
        <v>3200</v>
      </c>
      <c r="B14" s="8">
        <v>32</v>
      </c>
      <c r="C14" s="8">
        <v>32</v>
      </c>
      <c r="D14" s="8">
        <v>32</v>
      </c>
      <c r="E14" s="8">
        <v>38</v>
      </c>
      <c r="F14" s="8">
        <v>45</v>
      </c>
      <c r="G14" s="8">
        <v>52</v>
      </c>
      <c r="H14" s="8">
        <v>63</v>
      </c>
      <c r="I14" s="8">
        <v>67</v>
      </c>
      <c r="J14" s="8">
        <v>78</v>
      </c>
      <c r="K14" s="8">
        <v>84</v>
      </c>
      <c r="L14" s="8">
        <v>89</v>
      </c>
      <c r="M14" s="8">
        <v>94</v>
      </c>
      <c r="N14" s="8">
        <v>102</v>
      </c>
      <c r="O14" s="8">
        <v>123</v>
      </c>
      <c r="P14" s="8">
        <v>139</v>
      </c>
      <c r="Q14" s="8">
        <v>148</v>
      </c>
      <c r="R14" s="8">
        <v>160</v>
      </c>
      <c r="S14" s="8">
        <v>169</v>
      </c>
      <c r="T14" s="8">
        <v>169</v>
      </c>
      <c r="U14" s="8">
        <v>170</v>
      </c>
      <c r="V14" s="8">
        <v>174</v>
      </c>
      <c r="W14" s="8">
        <v>180</v>
      </c>
      <c r="X14" s="9">
        <v>181</v>
      </c>
    </row>
    <row r="15" spans="1:28" x14ac:dyDescent="0.25">
      <c r="A15" s="6">
        <v>3400</v>
      </c>
      <c r="B15" s="8">
        <v>32</v>
      </c>
      <c r="C15" s="8">
        <v>32</v>
      </c>
      <c r="D15" s="8">
        <v>32</v>
      </c>
      <c r="E15" s="8">
        <v>36</v>
      </c>
      <c r="F15" s="8">
        <v>43</v>
      </c>
      <c r="G15" s="8">
        <v>49</v>
      </c>
      <c r="H15" s="8">
        <v>61</v>
      </c>
      <c r="I15" s="8">
        <v>66</v>
      </c>
      <c r="J15" s="8">
        <v>76</v>
      </c>
      <c r="K15" s="8">
        <v>84</v>
      </c>
      <c r="L15" s="8">
        <v>89</v>
      </c>
      <c r="M15" s="8">
        <v>96</v>
      </c>
      <c r="N15" s="8">
        <v>102</v>
      </c>
      <c r="O15" s="8">
        <v>122</v>
      </c>
      <c r="P15" s="8">
        <v>139</v>
      </c>
      <c r="Q15" s="8">
        <v>150</v>
      </c>
      <c r="R15" s="8">
        <v>163</v>
      </c>
      <c r="S15" s="8">
        <v>174</v>
      </c>
      <c r="T15" s="8">
        <v>177</v>
      </c>
      <c r="U15" s="8">
        <v>178</v>
      </c>
      <c r="V15" s="8">
        <v>182</v>
      </c>
      <c r="W15" s="8">
        <v>187</v>
      </c>
      <c r="X15" s="9">
        <v>195</v>
      </c>
    </row>
    <row r="16" spans="1:28" x14ac:dyDescent="0.25">
      <c r="A16" s="6">
        <v>3600</v>
      </c>
      <c r="B16" s="8">
        <v>32</v>
      </c>
      <c r="C16" s="8">
        <v>32</v>
      </c>
      <c r="D16" s="8">
        <v>32</v>
      </c>
      <c r="E16" s="8">
        <v>34</v>
      </c>
      <c r="F16" s="8">
        <v>41</v>
      </c>
      <c r="G16" s="8">
        <v>48</v>
      </c>
      <c r="H16" s="8">
        <v>57</v>
      </c>
      <c r="I16" s="8">
        <v>64</v>
      </c>
      <c r="J16" s="8">
        <v>75</v>
      </c>
      <c r="K16" s="8">
        <v>85</v>
      </c>
      <c r="L16" s="8">
        <v>90</v>
      </c>
      <c r="M16" s="8">
        <v>96</v>
      </c>
      <c r="N16" s="8">
        <v>103</v>
      </c>
      <c r="O16" s="8">
        <v>120</v>
      </c>
      <c r="P16" s="8">
        <v>134</v>
      </c>
      <c r="Q16" s="8">
        <v>150</v>
      </c>
      <c r="R16" s="8">
        <v>166</v>
      </c>
      <c r="S16" s="8">
        <v>181</v>
      </c>
      <c r="T16" s="8">
        <v>183</v>
      </c>
      <c r="U16" s="8">
        <v>183</v>
      </c>
      <c r="V16" s="8">
        <v>187</v>
      </c>
      <c r="W16" s="8">
        <v>194</v>
      </c>
      <c r="X16" s="9">
        <v>205</v>
      </c>
    </row>
    <row r="17" spans="1:24" x14ac:dyDescent="0.25">
      <c r="A17" s="6">
        <v>3800</v>
      </c>
      <c r="B17" s="8">
        <v>32</v>
      </c>
      <c r="C17" s="8">
        <v>32</v>
      </c>
      <c r="D17" s="8">
        <v>32</v>
      </c>
      <c r="E17" s="8">
        <v>34</v>
      </c>
      <c r="F17" s="8">
        <v>40</v>
      </c>
      <c r="G17" s="8">
        <v>48</v>
      </c>
      <c r="H17" s="8">
        <v>57</v>
      </c>
      <c r="I17" s="8">
        <v>63</v>
      </c>
      <c r="J17" s="8">
        <v>75</v>
      </c>
      <c r="K17" s="8">
        <v>86</v>
      </c>
      <c r="L17" s="8">
        <v>91</v>
      </c>
      <c r="M17" s="8">
        <v>97</v>
      </c>
      <c r="N17" s="8">
        <v>102</v>
      </c>
      <c r="O17" s="8">
        <v>118</v>
      </c>
      <c r="P17" s="8">
        <v>134</v>
      </c>
      <c r="Q17" s="8">
        <v>148</v>
      </c>
      <c r="R17" s="8">
        <v>163</v>
      </c>
      <c r="S17" s="8">
        <v>181</v>
      </c>
      <c r="T17" s="8">
        <v>185</v>
      </c>
      <c r="U17" s="8">
        <v>186</v>
      </c>
      <c r="V17" s="8">
        <v>191</v>
      </c>
      <c r="W17" s="8">
        <v>193</v>
      </c>
      <c r="X17" s="9">
        <v>208</v>
      </c>
    </row>
    <row r="18" spans="1:24" x14ac:dyDescent="0.25">
      <c r="A18" s="6">
        <v>4000</v>
      </c>
      <c r="B18" s="8">
        <v>32</v>
      </c>
      <c r="C18" s="8">
        <v>32</v>
      </c>
      <c r="D18" s="8">
        <v>32</v>
      </c>
      <c r="E18" s="8">
        <v>34</v>
      </c>
      <c r="F18" s="8">
        <v>40</v>
      </c>
      <c r="G18" s="8">
        <v>48</v>
      </c>
      <c r="H18" s="8">
        <v>57</v>
      </c>
      <c r="I18" s="8">
        <v>62</v>
      </c>
      <c r="J18" s="8">
        <v>78</v>
      </c>
      <c r="K18" s="8">
        <v>88</v>
      </c>
      <c r="L18" s="8">
        <v>93</v>
      </c>
      <c r="M18" s="8">
        <v>97</v>
      </c>
      <c r="N18" s="8">
        <v>102</v>
      </c>
      <c r="O18" s="8">
        <v>117</v>
      </c>
      <c r="P18" s="8">
        <v>132</v>
      </c>
      <c r="Q18" s="8">
        <v>146</v>
      </c>
      <c r="R18" s="8">
        <v>160</v>
      </c>
      <c r="S18" s="8">
        <v>181</v>
      </c>
      <c r="T18" s="8">
        <v>190</v>
      </c>
      <c r="U18" s="8">
        <v>187</v>
      </c>
      <c r="V18" s="8">
        <v>192</v>
      </c>
      <c r="W18" s="8">
        <v>193</v>
      </c>
      <c r="X18" s="9">
        <v>211</v>
      </c>
    </row>
    <row r="19" spans="1:24" x14ac:dyDescent="0.25">
      <c r="A19" s="6">
        <v>4200</v>
      </c>
      <c r="B19" s="8">
        <v>32</v>
      </c>
      <c r="C19" s="8">
        <v>32</v>
      </c>
      <c r="D19" s="8">
        <v>32</v>
      </c>
      <c r="E19" s="8">
        <v>34</v>
      </c>
      <c r="F19" s="8">
        <v>39</v>
      </c>
      <c r="G19" s="8">
        <v>47</v>
      </c>
      <c r="H19" s="8">
        <v>55</v>
      </c>
      <c r="I19" s="8">
        <v>61</v>
      </c>
      <c r="J19" s="8">
        <v>76</v>
      </c>
      <c r="K19" s="8">
        <v>88</v>
      </c>
      <c r="L19" s="8">
        <v>93</v>
      </c>
      <c r="M19" s="8">
        <v>98</v>
      </c>
      <c r="N19" s="8">
        <v>103</v>
      </c>
      <c r="O19" s="8">
        <v>116</v>
      </c>
      <c r="P19" s="8">
        <v>130</v>
      </c>
      <c r="Q19" s="8">
        <v>142</v>
      </c>
      <c r="R19" s="8">
        <v>155</v>
      </c>
      <c r="S19" s="8">
        <v>180</v>
      </c>
      <c r="T19" s="8">
        <v>190</v>
      </c>
      <c r="U19" s="8">
        <v>190</v>
      </c>
      <c r="V19" s="8">
        <v>192</v>
      </c>
      <c r="W19" s="8">
        <v>193</v>
      </c>
      <c r="X19" s="9">
        <v>210</v>
      </c>
    </row>
    <row r="20" spans="1:24" x14ac:dyDescent="0.25">
      <c r="A20" s="6">
        <v>4400</v>
      </c>
      <c r="B20" s="8">
        <v>32</v>
      </c>
      <c r="C20" s="8">
        <v>32</v>
      </c>
      <c r="D20" s="8">
        <v>32</v>
      </c>
      <c r="E20" s="8">
        <v>34</v>
      </c>
      <c r="F20" s="8">
        <v>37</v>
      </c>
      <c r="G20" s="8">
        <v>44</v>
      </c>
      <c r="H20" s="8">
        <v>55</v>
      </c>
      <c r="I20" s="8">
        <v>62</v>
      </c>
      <c r="J20" s="8">
        <v>76</v>
      </c>
      <c r="K20" s="8">
        <v>87</v>
      </c>
      <c r="L20" s="8">
        <v>93</v>
      </c>
      <c r="M20" s="8">
        <v>98</v>
      </c>
      <c r="N20" s="8">
        <v>102</v>
      </c>
      <c r="O20" s="8">
        <v>114</v>
      </c>
      <c r="P20" s="8">
        <v>128</v>
      </c>
      <c r="Q20" s="8">
        <v>139</v>
      </c>
      <c r="R20" s="8">
        <v>150</v>
      </c>
      <c r="S20" s="8">
        <v>178</v>
      </c>
      <c r="T20" s="8">
        <v>192</v>
      </c>
      <c r="U20" s="8">
        <v>193</v>
      </c>
      <c r="V20" s="8">
        <v>192</v>
      </c>
      <c r="W20" s="8">
        <v>195</v>
      </c>
      <c r="X20" s="9">
        <v>208</v>
      </c>
    </row>
    <row r="21" spans="1:24" x14ac:dyDescent="0.25">
      <c r="A21" s="6">
        <v>4600</v>
      </c>
      <c r="B21" s="8">
        <v>32</v>
      </c>
      <c r="C21" s="8">
        <v>32</v>
      </c>
      <c r="D21" s="8">
        <v>32</v>
      </c>
      <c r="E21" s="8">
        <v>32</v>
      </c>
      <c r="F21" s="8">
        <v>36</v>
      </c>
      <c r="G21" s="8">
        <v>43</v>
      </c>
      <c r="H21" s="8">
        <v>51</v>
      </c>
      <c r="I21" s="8">
        <v>60</v>
      </c>
      <c r="J21" s="8">
        <v>71</v>
      </c>
      <c r="K21" s="8">
        <v>83</v>
      </c>
      <c r="L21" s="8">
        <v>89</v>
      </c>
      <c r="M21" s="8">
        <v>93</v>
      </c>
      <c r="N21" s="8">
        <v>98</v>
      </c>
      <c r="O21" s="8">
        <v>110</v>
      </c>
      <c r="P21" s="8">
        <v>122</v>
      </c>
      <c r="Q21" s="8">
        <v>132</v>
      </c>
      <c r="R21" s="8">
        <v>147</v>
      </c>
      <c r="S21" s="8">
        <v>174</v>
      </c>
      <c r="T21" s="8">
        <v>190</v>
      </c>
      <c r="U21" s="8">
        <v>194</v>
      </c>
      <c r="V21" s="8">
        <v>196</v>
      </c>
      <c r="W21" s="8">
        <v>201</v>
      </c>
      <c r="X21" s="9">
        <v>211</v>
      </c>
    </row>
    <row r="22" spans="1:24" x14ac:dyDescent="0.25">
      <c r="A22" s="6">
        <v>4800</v>
      </c>
      <c r="B22" s="8">
        <v>29</v>
      </c>
      <c r="C22" s="8">
        <v>29</v>
      </c>
      <c r="D22" s="8">
        <v>29</v>
      </c>
      <c r="E22" s="8">
        <v>29</v>
      </c>
      <c r="F22" s="8">
        <v>34</v>
      </c>
      <c r="G22" s="8">
        <v>40</v>
      </c>
      <c r="H22" s="8">
        <v>49</v>
      </c>
      <c r="I22" s="8">
        <v>54</v>
      </c>
      <c r="J22" s="8">
        <v>66</v>
      </c>
      <c r="K22" s="8">
        <v>76</v>
      </c>
      <c r="L22" s="8">
        <v>85</v>
      </c>
      <c r="M22" s="8">
        <v>88</v>
      </c>
      <c r="N22" s="8">
        <v>92</v>
      </c>
      <c r="O22" s="8">
        <v>104</v>
      </c>
      <c r="P22" s="8">
        <v>117</v>
      </c>
      <c r="Q22" s="8">
        <v>126</v>
      </c>
      <c r="R22" s="8">
        <v>140</v>
      </c>
      <c r="S22" s="8">
        <v>169</v>
      </c>
      <c r="T22" s="8">
        <v>187</v>
      </c>
      <c r="U22" s="8">
        <v>195</v>
      </c>
      <c r="V22" s="8">
        <v>200</v>
      </c>
      <c r="W22" s="8">
        <v>205</v>
      </c>
      <c r="X22" s="9">
        <v>216</v>
      </c>
    </row>
    <row r="23" spans="1:24" x14ac:dyDescent="0.25">
      <c r="A23" s="6">
        <v>5000</v>
      </c>
      <c r="B23" s="8">
        <v>29</v>
      </c>
      <c r="C23" s="8">
        <v>29</v>
      </c>
      <c r="D23" s="8">
        <v>29</v>
      </c>
      <c r="E23" s="8">
        <v>34</v>
      </c>
      <c r="F23" s="8">
        <v>34</v>
      </c>
      <c r="G23" s="8">
        <v>38</v>
      </c>
      <c r="H23" s="8">
        <v>45</v>
      </c>
      <c r="I23" s="8">
        <v>50</v>
      </c>
      <c r="J23" s="8">
        <v>62</v>
      </c>
      <c r="K23" s="8">
        <v>71</v>
      </c>
      <c r="L23" s="8">
        <v>79</v>
      </c>
      <c r="M23" s="8">
        <v>84</v>
      </c>
      <c r="N23" s="8">
        <v>87</v>
      </c>
      <c r="O23" s="8">
        <v>98</v>
      </c>
      <c r="P23" s="8">
        <v>110</v>
      </c>
      <c r="Q23" s="8">
        <v>120</v>
      </c>
      <c r="R23" s="8">
        <v>134</v>
      </c>
      <c r="S23" s="8">
        <v>162</v>
      </c>
      <c r="T23" s="8">
        <v>184</v>
      </c>
      <c r="U23" s="8">
        <v>194</v>
      </c>
      <c r="V23" s="8">
        <v>198</v>
      </c>
      <c r="W23" s="8">
        <v>203</v>
      </c>
      <c r="X23" s="9">
        <v>213</v>
      </c>
    </row>
    <row r="24" spans="1:24" x14ac:dyDescent="0.25">
      <c r="A24" s="6">
        <v>5200</v>
      </c>
      <c r="B24" s="8">
        <v>29</v>
      </c>
      <c r="C24" s="8">
        <v>29</v>
      </c>
      <c r="D24" s="8">
        <v>29</v>
      </c>
      <c r="E24" s="8">
        <v>34</v>
      </c>
      <c r="F24" s="8">
        <v>34</v>
      </c>
      <c r="G24" s="8">
        <v>36</v>
      </c>
      <c r="H24" s="8">
        <v>41</v>
      </c>
      <c r="I24" s="8">
        <v>46</v>
      </c>
      <c r="J24" s="8">
        <v>60</v>
      </c>
      <c r="K24" s="8">
        <v>68</v>
      </c>
      <c r="L24" s="8">
        <v>75</v>
      </c>
      <c r="M24" s="8">
        <v>82</v>
      </c>
      <c r="N24" s="8">
        <v>85</v>
      </c>
      <c r="O24" s="8">
        <v>93</v>
      </c>
      <c r="P24" s="8">
        <v>106</v>
      </c>
      <c r="Q24" s="8">
        <v>117</v>
      </c>
      <c r="R24" s="8">
        <v>129</v>
      </c>
      <c r="S24" s="8">
        <v>159</v>
      </c>
      <c r="T24" s="8">
        <v>181</v>
      </c>
      <c r="U24" s="8">
        <v>192</v>
      </c>
      <c r="V24" s="8">
        <v>195</v>
      </c>
      <c r="W24" s="8">
        <v>200</v>
      </c>
      <c r="X24" s="9">
        <v>208</v>
      </c>
    </row>
    <row r="25" spans="1:24" x14ac:dyDescent="0.25">
      <c r="A25" s="6">
        <v>5600</v>
      </c>
      <c r="B25" s="8">
        <v>29</v>
      </c>
      <c r="C25" s="8">
        <v>29</v>
      </c>
      <c r="D25" s="8">
        <v>29</v>
      </c>
      <c r="E25" s="8">
        <v>34</v>
      </c>
      <c r="F25" s="8">
        <v>34</v>
      </c>
      <c r="G25" s="8">
        <v>34</v>
      </c>
      <c r="H25" s="8">
        <v>39</v>
      </c>
      <c r="I25" s="8">
        <v>44</v>
      </c>
      <c r="J25" s="8">
        <v>54</v>
      </c>
      <c r="K25" s="8">
        <v>65</v>
      </c>
      <c r="L25" s="8">
        <v>71</v>
      </c>
      <c r="M25" s="8">
        <v>79</v>
      </c>
      <c r="N25" s="8">
        <v>83</v>
      </c>
      <c r="O25" s="8">
        <v>92</v>
      </c>
      <c r="P25" s="8">
        <v>104</v>
      </c>
      <c r="Q25" s="8">
        <v>117</v>
      </c>
      <c r="R25" s="8">
        <v>129</v>
      </c>
      <c r="S25" s="8">
        <v>159</v>
      </c>
      <c r="T25" s="8">
        <v>183</v>
      </c>
      <c r="U25" s="8">
        <v>195</v>
      </c>
      <c r="V25" s="8">
        <v>201</v>
      </c>
      <c r="W25" s="8">
        <v>204</v>
      </c>
      <c r="X25" s="9">
        <v>212</v>
      </c>
    </row>
    <row r="26" spans="1:24" x14ac:dyDescent="0.25">
      <c r="A26" s="6">
        <v>6000</v>
      </c>
      <c r="B26" s="8">
        <v>29</v>
      </c>
      <c r="C26" s="8">
        <v>29</v>
      </c>
      <c r="D26" s="8">
        <v>29</v>
      </c>
      <c r="E26" s="8">
        <v>32</v>
      </c>
      <c r="F26" s="8">
        <v>32</v>
      </c>
      <c r="G26" s="8">
        <v>30</v>
      </c>
      <c r="H26" s="8">
        <v>37</v>
      </c>
      <c r="I26" s="8">
        <v>42</v>
      </c>
      <c r="J26" s="8">
        <v>50</v>
      </c>
      <c r="K26" s="8">
        <v>61</v>
      </c>
      <c r="L26" s="8">
        <v>68</v>
      </c>
      <c r="M26" s="8">
        <v>76</v>
      </c>
      <c r="N26" s="8">
        <v>79</v>
      </c>
      <c r="O26" s="8">
        <v>91</v>
      </c>
      <c r="P26" s="8">
        <v>103</v>
      </c>
      <c r="Q26" s="8">
        <v>114</v>
      </c>
      <c r="R26" s="8">
        <v>131</v>
      </c>
      <c r="S26" s="8">
        <v>160</v>
      </c>
      <c r="T26" s="8">
        <v>186</v>
      </c>
      <c r="U26" s="8">
        <v>203</v>
      </c>
      <c r="V26" s="8">
        <v>212</v>
      </c>
      <c r="W26" s="8">
        <v>216</v>
      </c>
      <c r="X26" s="9">
        <v>224</v>
      </c>
    </row>
    <row r="27" spans="1:24" x14ac:dyDescent="0.25">
      <c r="A27" s="6">
        <v>6400</v>
      </c>
      <c r="B27" s="8">
        <v>29</v>
      </c>
      <c r="C27" s="8">
        <v>29</v>
      </c>
      <c r="D27" s="8">
        <v>29</v>
      </c>
      <c r="E27" s="8">
        <v>29</v>
      </c>
      <c r="F27" s="8">
        <v>29</v>
      </c>
      <c r="G27" s="8">
        <v>34</v>
      </c>
      <c r="H27" s="8">
        <v>36</v>
      </c>
      <c r="I27" s="8">
        <v>39</v>
      </c>
      <c r="J27" s="8">
        <v>43</v>
      </c>
      <c r="K27" s="8">
        <v>48</v>
      </c>
      <c r="L27" s="8">
        <v>60</v>
      </c>
      <c r="M27" s="8">
        <v>67</v>
      </c>
      <c r="N27" s="8">
        <v>74</v>
      </c>
      <c r="O27" s="8">
        <v>88</v>
      </c>
      <c r="P27" s="8">
        <v>99</v>
      </c>
      <c r="Q27" s="8">
        <v>112</v>
      </c>
      <c r="R27" s="8">
        <v>131</v>
      </c>
      <c r="S27" s="8">
        <v>159</v>
      </c>
      <c r="T27" s="8">
        <v>185</v>
      </c>
      <c r="U27" s="8">
        <v>204</v>
      </c>
      <c r="V27" s="8">
        <v>212</v>
      </c>
      <c r="W27" s="8">
        <v>216</v>
      </c>
      <c r="X27" s="9">
        <v>223</v>
      </c>
    </row>
    <row r="28" spans="1:24" x14ac:dyDescent="0.25">
      <c r="A28" s="6">
        <v>6800</v>
      </c>
      <c r="B28" s="8">
        <v>28</v>
      </c>
      <c r="C28" s="8">
        <v>28</v>
      </c>
      <c r="D28" s="8">
        <v>28</v>
      </c>
      <c r="E28" s="8">
        <v>28</v>
      </c>
      <c r="F28" s="8">
        <v>28</v>
      </c>
      <c r="G28" s="8">
        <v>34</v>
      </c>
      <c r="H28" s="8">
        <v>34</v>
      </c>
      <c r="I28" s="8">
        <v>36</v>
      </c>
      <c r="J28" s="8">
        <v>39</v>
      </c>
      <c r="K28" s="8">
        <v>45</v>
      </c>
      <c r="L28" s="8">
        <v>52</v>
      </c>
      <c r="M28" s="8">
        <v>63</v>
      </c>
      <c r="N28" s="8">
        <v>71</v>
      </c>
      <c r="O28" s="8">
        <v>86</v>
      </c>
      <c r="P28" s="8">
        <v>97</v>
      </c>
      <c r="Q28" s="8">
        <v>111</v>
      </c>
      <c r="R28" s="8">
        <v>130</v>
      </c>
      <c r="S28" s="8">
        <v>156</v>
      </c>
      <c r="T28" s="8">
        <v>183</v>
      </c>
      <c r="U28" s="8">
        <v>205</v>
      </c>
      <c r="V28" s="8">
        <v>215</v>
      </c>
      <c r="W28" s="8">
        <v>270</v>
      </c>
      <c r="X28" s="9">
        <v>274</v>
      </c>
    </row>
    <row r="29" spans="1:24" x14ac:dyDescent="0.25">
      <c r="A29" s="6">
        <v>7200</v>
      </c>
      <c r="B29" s="8">
        <v>27</v>
      </c>
      <c r="C29" s="8">
        <v>27</v>
      </c>
      <c r="D29" s="8">
        <v>27</v>
      </c>
      <c r="E29" s="8">
        <v>27</v>
      </c>
      <c r="F29" s="8">
        <v>27</v>
      </c>
      <c r="G29" s="8">
        <v>32</v>
      </c>
      <c r="H29" s="8">
        <v>34</v>
      </c>
      <c r="I29" s="8">
        <v>34</v>
      </c>
      <c r="J29" s="8">
        <v>36</v>
      </c>
      <c r="K29" s="8">
        <v>42</v>
      </c>
      <c r="L29" s="8">
        <v>48</v>
      </c>
      <c r="M29" s="8">
        <v>61</v>
      </c>
      <c r="N29" s="8">
        <v>70</v>
      </c>
      <c r="O29" s="8">
        <v>84</v>
      </c>
      <c r="P29" s="8">
        <v>94</v>
      </c>
      <c r="Q29" s="8">
        <v>109</v>
      </c>
      <c r="R29" s="8">
        <v>126</v>
      </c>
      <c r="S29" s="8">
        <v>154</v>
      </c>
      <c r="T29" s="8">
        <v>182</v>
      </c>
      <c r="U29" s="8">
        <v>206</v>
      </c>
      <c r="V29" s="8">
        <v>220</v>
      </c>
      <c r="W29" s="8">
        <v>275</v>
      </c>
      <c r="X29" s="9">
        <v>281</v>
      </c>
    </row>
    <row r="30" spans="1:24" x14ac:dyDescent="0.25">
      <c r="A30" s="6">
        <v>7600</v>
      </c>
      <c r="B30" s="8">
        <v>27</v>
      </c>
      <c r="C30" s="8">
        <v>27</v>
      </c>
      <c r="D30" s="8">
        <v>27</v>
      </c>
      <c r="E30" s="8">
        <v>27</v>
      </c>
      <c r="F30" s="8">
        <v>27</v>
      </c>
      <c r="G30" s="8">
        <v>29</v>
      </c>
      <c r="H30" s="8">
        <v>32</v>
      </c>
      <c r="I30" s="8">
        <v>32</v>
      </c>
      <c r="J30" s="8">
        <v>36</v>
      </c>
      <c r="K30" s="8">
        <v>40</v>
      </c>
      <c r="L30" s="8">
        <v>47</v>
      </c>
      <c r="M30" s="8">
        <v>57</v>
      </c>
      <c r="N30" s="8">
        <v>69</v>
      </c>
      <c r="O30" s="8">
        <v>80</v>
      </c>
      <c r="P30" s="8">
        <v>93</v>
      </c>
      <c r="Q30" s="8">
        <v>108</v>
      </c>
      <c r="R30" s="8">
        <v>123</v>
      </c>
      <c r="S30" s="8">
        <v>150</v>
      </c>
      <c r="T30" s="8">
        <v>181</v>
      </c>
      <c r="U30" s="8">
        <v>206</v>
      </c>
      <c r="V30" s="8">
        <v>223</v>
      </c>
      <c r="W30" s="8">
        <v>281</v>
      </c>
      <c r="X30" s="9">
        <v>287</v>
      </c>
    </row>
    <row r="31" spans="1:24" x14ac:dyDescent="0.25">
      <c r="A31" s="6">
        <v>8000</v>
      </c>
      <c r="B31" s="8">
        <v>25</v>
      </c>
      <c r="C31" s="8">
        <v>25</v>
      </c>
      <c r="D31" s="8">
        <v>25</v>
      </c>
      <c r="E31" s="8">
        <v>25</v>
      </c>
      <c r="F31" s="8">
        <v>25</v>
      </c>
      <c r="G31" s="8">
        <v>29</v>
      </c>
      <c r="H31" s="8">
        <v>32</v>
      </c>
      <c r="I31" s="8">
        <v>32</v>
      </c>
      <c r="J31" s="8">
        <v>34</v>
      </c>
      <c r="K31" s="8">
        <v>39</v>
      </c>
      <c r="L31" s="8">
        <v>46</v>
      </c>
      <c r="M31" s="8">
        <v>55</v>
      </c>
      <c r="N31" s="8">
        <v>66</v>
      </c>
      <c r="O31" s="8">
        <v>79</v>
      </c>
      <c r="P31" s="8">
        <v>92</v>
      </c>
      <c r="Q31" s="8">
        <v>107</v>
      </c>
      <c r="R31" s="8">
        <v>122</v>
      </c>
      <c r="S31" s="8">
        <v>149</v>
      </c>
      <c r="T31" s="8">
        <v>178</v>
      </c>
      <c r="U31" s="8">
        <v>204</v>
      </c>
      <c r="V31" s="8">
        <v>220</v>
      </c>
      <c r="W31" s="8">
        <v>268</v>
      </c>
      <c r="X31" s="9">
        <v>273</v>
      </c>
    </row>
    <row r="32" spans="1:24" x14ac:dyDescent="0.25">
      <c r="A32" s="6">
        <v>8400</v>
      </c>
      <c r="B32" s="8">
        <v>24</v>
      </c>
      <c r="C32" s="8">
        <v>24</v>
      </c>
      <c r="D32" s="8">
        <v>24</v>
      </c>
      <c r="E32" s="8">
        <v>25</v>
      </c>
      <c r="F32" s="8">
        <v>25</v>
      </c>
      <c r="G32" s="8">
        <v>29</v>
      </c>
      <c r="H32" s="8">
        <v>32</v>
      </c>
      <c r="I32" s="8">
        <v>32</v>
      </c>
      <c r="J32" s="8">
        <v>34</v>
      </c>
      <c r="K32" s="8">
        <v>39</v>
      </c>
      <c r="L32" s="8">
        <v>46</v>
      </c>
      <c r="M32" s="8">
        <v>55</v>
      </c>
      <c r="N32" s="8">
        <v>65</v>
      </c>
      <c r="O32" s="8">
        <v>79</v>
      </c>
      <c r="P32" s="8">
        <v>92</v>
      </c>
      <c r="Q32" s="8">
        <v>103</v>
      </c>
      <c r="R32" s="8">
        <v>118</v>
      </c>
      <c r="S32" s="8">
        <v>146</v>
      </c>
      <c r="T32" s="8">
        <v>177</v>
      </c>
      <c r="U32" s="8">
        <v>201</v>
      </c>
      <c r="V32" s="8">
        <v>217</v>
      </c>
      <c r="W32" s="8">
        <v>265</v>
      </c>
      <c r="X32" s="9">
        <v>271</v>
      </c>
    </row>
    <row r="33" spans="1:24" x14ac:dyDescent="0.25">
      <c r="A33" s="6">
        <v>8800</v>
      </c>
      <c r="B33" s="8">
        <v>24</v>
      </c>
      <c r="C33" s="8">
        <v>24</v>
      </c>
      <c r="D33" s="8">
        <v>24</v>
      </c>
      <c r="E33" s="8">
        <v>25</v>
      </c>
      <c r="F33" s="8">
        <v>25</v>
      </c>
      <c r="G33" s="8">
        <v>29</v>
      </c>
      <c r="H33" s="8">
        <v>32</v>
      </c>
      <c r="I33" s="8">
        <v>32</v>
      </c>
      <c r="J33" s="8">
        <v>34</v>
      </c>
      <c r="K33" s="8">
        <v>38</v>
      </c>
      <c r="L33" s="8">
        <v>44</v>
      </c>
      <c r="M33" s="8">
        <v>51</v>
      </c>
      <c r="N33" s="8">
        <v>63</v>
      </c>
      <c r="O33" s="8">
        <v>79</v>
      </c>
      <c r="P33" s="8">
        <v>89</v>
      </c>
      <c r="Q33" s="8">
        <v>98</v>
      </c>
      <c r="R33" s="8">
        <v>117</v>
      </c>
      <c r="S33" s="8">
        <v>143</v>
      </c>
      <c r="T33" s="8">
        <v>174</v>
      </c>
      <c r="U33" s="8">
        <v>200</v>
      </c>
      <c r="V33" s="8">
        <v>217</v>
      </c>
      <c r="W33" s="8">
        <v>255</v>
      </c>
      <c r="X33" s="9">
        <v>261</v>
      </c>
    </row>
    <row r="34" spans="1:24" x14ac:dyDescent="0.25">
      <c r="A34" s="6">
        <v>9200</v>
      </c>
      <c r="B34" s="8">
        <v>21</v>
      </c>
      <c r="C34" s="8">
        <v>21</v>
      </c>
      <c r="D34" s="8">
        <v>21</v>
      </c>
      <c r="E34" s="8">
        <v>24</v>
      </c>
      <c r="F34" s="8">
        <v>25</v>
      </c>
      <c r="G34" s="8">
        <v>29</v>
      </c>
      <c r="H34" s="8">
        <v>32</v>
      </c>
      <c r="I34" s="8">
        <v>32</v>
      </c>
      <c r="J34" s="8">
        <v>34</v>
      </c>
      <c r="K34" s="8">
        <v>38</v>
      </c>
      <c r="L34" s="8">
        <v>43</v>
      </c>
      <c r="M34" s="8">
        <v>51</v>
      </c>
      <c r="N34" s="8">
        <v>62</v>
      </c>
      <c r="O34" s="8">
        <v>76</v>
      </c>
      <c r="P34" s="8">
        <v>88</v>
      </c>
      <c r="Q34" s="8">
        <v>97</v>
      </c>
      <c r="R34" s="8">
        <v>113</v>
      </c>
      <c r="S34" s="8">
        <v>140</v>
      </c>
      <c r="T34" s="8">
        <v>171</v>
      </c>
      <c r="U34" s="8">
        <v>194</v>
      </c>
      <c r="V34" s="8">
        <v>214</v>
      </c>
      <c r="W34" s="8">
        <v>252</v>
      </c>
      <c r="X34" s="9">
        <v>260</v>
      </c>
    </row>
    <row r="35" spans="1:24" x14ac:dyDescent="0.25">
      <c r="A35" s="6">
        <v>9600</v>
      </c>
      <c r="B35" s="8">
        <v>21</v>
      </c>
      <c r="C35" s="8">
        <v>21</v>
      </c>
      <c r="D35" s="8">
        <v>21</v>
      </c>
      <c r="E35" s="8">
        <v>23</v>
      </c>
      <c r="F35" s="8">
        <v>25</v>
      </c>
      <c r="G35" s="8">
        <v>29</v>
      </c>
      <c r="H35" s="8">
        <v>32</v>
      </c>
      <c r="I35" s="8">
        <v>32</v>
      </c>
      <c r="J35" s="8">
        <v>32</v>
      </c>
      <c r="K35" s="8">
        <v>36</v>
      </c>
      <c r="L35" s="8">
        <v>42</v>
      </c>
      <c r="M35" s="8">
        <v>50</v>
      </c>
      <c r="N35" s="8">
        <v>62</v>
      </c>
      <c r="O35" s="8">
        <v>75</v>
      </c>
      <c r="P35" s="8">
        <v>86</v>
      </c>
      <c r="Q35" s="8">
        <v>94</v>
      </c>
      <c r="R35" s="8">
        <v>111</v>
      </c>
      <c r="S35" s="8">
        <v>136</v>
      </c>
      <c r="T35" s="8">
        <v>167</v>
      </c>
      <c r="U35" s="8">
        <v>191</v>
      </c>
      <c r="V35" s="8">
        <v>211</v>
      </c>
      <c r="W35" s="8">
        <v>250</v>
      </c>
      <c r="X35" s="9">
        <v>260</v>
      </c>
    </row>
    <row r="36" spans="1:24" x14ac:dyDescent="0.25">
      <c r="A36" s="6">
        <v>10000</v>
      </c>
      <c r="B36" s="8">
        <v>21</v>
      </c>
      <c r="C36" s="8">
        <v>21</v>
      </c>
      <c r="D36" s="8">
        <v>21</v>
      </c>
      <c r="E36" s="8">
        <v>23</v>
      </c>
      <c r="F36" s="8">
        <v>25</v>
      </c>
      <c r="G36" s="8">
        <v>28</v>
      </c>
      <c r="H36" s="8">
        <v>29</v>
      </c>
      <c r="I36" s="8">
        <v>29</v>
      </c>
      <c r="J36" s="8">
        <v>32</v>
      </c>
      <c r="K36" s="8">
        <v>36</v>
      </c>
      <c r="L36" s="8">
        <v>42</v>
      </c>
      <c r="M36" s="8">
        <v>48</v>
      </c>
      <c r="N36" s="8">
        <v>61</v>
      </c>
      <c r="O36" s="8">
        <v>75</v>
      </c>
      <c r="P36" s="8">
        <v>85</v>
      </c>
      <c r="Q36" s="8">
        <v>93</v>
      </c>
      <c r="R36" s="8">
        <v>109</v>
      </c>
      <c r="S36" s="8">
        <v>130</v>
      </c>
      <c r="T36" s="8">
        <v>160</v>
      </c>
      <c r="U36" s="8">
        <v>185</v>
      </c>
      <c r="V36" s="8">
        <v>204</v>
      </c>
      <c r="W36" s="8">
        <v>243</v>
      </c>
      <c r="X36" s="9">
        <v>248</v>
      </c>
    </row>
    <row r="37" spans="1:24" x14ac:dyDescent="0.25">
      <c r="A37" s="6">
        <v>10400</v>
      </c>
      <c r="B37" s="8">
        <v>20</v>
      </c>
      <c r="C37" s="8">
        <v>20</v>
      </c>
      <c r="D37" s="8">
        <v>20</v>
      </c>
      <c r="E37" s="8">
        <v>23</v>
      </c>
      <c r="F37" s="8">
        <v>25</v>
      </c>
      <c r="G37" s="8">
        <v>28</v>
      </c>
      <c r="H37" s="8">
        <v>29</v>
      </c>
      <c r="I37" s="8">
        <v>29</v>
      </c>
      <c r="J37" s="8">
        <v>32</v>
      </c>
      <c r="K37" s="8">
        <v>34</v>
      </c>
      <c r="L37" s="8">
        <v>40</v>
      </c>
      <c r="M37" s="8">
        <v>47</v>
      </c>
      <c r="N37" s="8">
        <v>61</v>
      </c>
      <c r="O37" s="8">
        <v>75</v>
      </c>
      <c r="P37" s="8">
        <v>85</v>
      </c>
      <c r="Q37" s="8">
        <v>92</v>
      </c>
      <c r="R37" s="8">
        <v>108</v>
      </c>
      <c r="S37" s="8">
        <v>126</v>
      </c>
      <c r="T37" s="8">
        <v>155</v>
      </c>
      <c r="U37" s="8">
        <v>181</v>
      </c>
      <c r="V37" s="8">
        <v>202</v>
      </c>
      <c r="W37" s="8">
        <v>236</v>
      </c>
      <c r="X37" s="9">
        <v>240</v>
      </c>
    </row>
    <row r="38" spans="1:24" x14ac:dyDescent="0.25">
      <c r="A38" s="6">
        <v>10800</v>
      </c>
      <c r="B38" s="8">
        <v>20</v>
      </c>
      <c r="C38" s="8">
        <v>20</v>
      </c>
      <c r="D38" s="8">
        <v>20</v>
      </c>
      <c r="E38" s="8">
        <v>23</v>
      </c>
      <c r="F38" s="8">
        <v>25</v>
      </c>
      <c r="G38" s="8">
        <v>28</v>
      </c>
      <c r="H38" s="8">
        <v>28</v>
      </c>
      <c r="I38" s="8">
        <v>29</v>
      </c>
      <c r="J38" s="8">
        <v>29</v>
      </c>
      <c r="K38" s="8">
        <v>32</v>
      </c>
      <c r="L38" s="8">
        <v>39</v>
      </c>
      <c r="M38" s="8">
        <v>46</v>
      </c>
      <c r="N38" s="8">
        <v>57</v>
      </c>
      <c r="O38" s="8">
        <v>71</v>
      </c>
      <c r="P38" s="8">
        <v>84</v>
      </c>
      <c r="Q38" s="8">
        <v>90</v>
      </c>
      <c r="R38" s="8">
        <v>103</v>
      </c>
      <c r="S38" s="8">
        <v>123</v>
      </c>
      <c r="T38" s="8">
        <v>154</v>
      </c>
      <c r="U38" s="8">
        <v>177</v>
      </c>
      <c r="V38" s="8">
        <v>196</v>
      </c>
      <c r="W38" s="8">
        <v>231</v>
      </c>
      <c r="X38" s="9">
        <v>235</v>
      </c>
    </row>
    <row r="39" spans="1:24" x14ac:dyDescent="0.25">
      <c r="A39" s="6">
        <v>11200</v>
      </c>
      <c r="B39" s="8">
        <v>20</v>
      </c>
      <c r="C39" s="8">
        <v>20</v>
      </c>
      <c r="D39" s="8">
        <v>20</v>
      </c>
      <c r="E39" s="8">
        <v>23</v>
      </c>
      <c r="F39" s="8">
        <v>25</v>
      </c>
      <c r="G39" s="8">
        <v>28</v>
      </c>
      <c r="H39" s="8">
        <v>28</v>
      </c>
      <c r="I39" s="8">
        <v>29</v>
      </c>
      <c r="J39" s="8">
        <v>29</v>
      </c>
      <c r="K39" s="8">
        <v>32</v>
      </c>
      <c r="L39" s="8">
        <v>38</v>
      </c>
      <c r="M39" s="8">
        <v>44</v>
      </c>
      <c r="N39" s="8">
        <v>52</v>
      </c>
      <c r="O39" s="8">
        <v>67</v>
      </c>
      <c r="P39" s="8">
        <v>79</v>
      </c>
      <c r="Q39" s="8">
        <v>89</v>
      </c>
      <c r="R39" s="8">
        <v>99</v>
      </c>
      <c r="S39" s="8">
        <v>120</v>
      </c>
      <c r="T39" s="8">
        <v>149</v>
      </c>
      <c r="U39" s="8">
        <v>171</v>
      </c>
      <c r="V39" s="8">
        <v>190</v>
      </c>
      <c r="W39" s="8">
        <v>225</v>
      </c>
      <c r="X39" s="9">
        <v>226</v>
      </c>
    </row>
    <row r="40" spans="1:24" x14ac:dyDescent="0.25">
      <c r="A40" s="6">
        <v>11600</v>
      </c>
      <c r="B40" s="8">
        <v>20</v>
      </c>
      <c r="C40" s="8">
        <v>20</v>
      </c>
      <c r="D40" s="8">
        <v>20</v>
      </c>
      <c r="E40" s="8">
        <v>23</v>
      </c>
      <c r="F40" s="8">
        <v>25</v>
      </c>
      <c r="G40" s="8">
        <v>28</v>
      </c>
      <c r="H40" s="8">
        <v>28</v>
      </c>
      <c r="I40" s="8">
        <v>29</v>
      </c>
      <c r="J40" s="8">
        <v>29</v>
      </c>
      <c r="K40" s="8">
        <v>29</v>
      </c>
      <c r="L40" s="8">
        <v>36</v>
      </c>
      <c r="M40" s="8">
        <v>43</v>
      </c>
      <c r="N40" s="8">
        <v>50</v>
      </c>
      <c r="O40" s="8">
        <v>65</v>
      </c>
      <c r="P40" s="8">
        <v>76</v>
      </c>
      <c r="Q40" s="8">
        <v>86</v>
      </c>
      <c r="R40" s="8">
        <v>97</v>
      </c>
      <c r="S40" s="8">
        <v>117</v>
      </c>
      <c r="T40" s="8">
        <v>143</v>
      </c>
      <c r="U40" s="8">
        <v>163</v>
      </c>
      <c r="V40" s="8">
        <v>182</v>
      </c>
      <c r="W40" s="8">
        <v>214</v>
      </c>
      <c r="X40" s="9">
        <v>216</v>
      </c>
    </row>
    <row r="41" spans="1:24" x14ac:dyDescent="0.25">
      <c r="A41" s="6">
        <v>12000</v>
      </c>
      <c r="B41" s="8">
        <v>20</v>
      </c>
      <c r="C41" s="8">
        <v>20</v>
      </c>
      <c r="D41" s="8">
        <v>20</v>
      </c>
      <c r="E41" s="8">
        <v>23</v>
      </c>
      <c r="F41" s="8">
        <v>25</v>
      </c>
      <c r="G41" s="8">
        <v>28</v>
      </c>
      <c r="H41" s="8">
        <v>28</v>
      </c>
      <c r="I41" s="8">
        <v>29</v>
      </c>
      <c r="J41" s="8">
        <v>29</v>
      </c>
      <c r="K41" s="8">
        <v>29</v>
      </c>
      <c r="L41" s="8">
        <v>36</v>
      </c>
      <c r="M41" s="8">
        <v>42</v>
      </c>
      <c r="N41" s="8">
        <v>48</v>
      </c>
      <c r="O41" s="8">
        <v>63</v>
      </c>
      <c r="P41" s="8">
        <v>74</v>
      </c>
      <c r="Q41" s="8">
        <v>84</v>
      </c>
      <c r="R41" s="8">
        <v>94</v>
      </c>
      <c r="S41" s="8">
        <v>112</v>
      </c>
      <c r="T41" s="8">
        <v>136</v>
      </c>
      <c r="U41" s="8">
        <v>154</v>
      </c>
      <c r="V41" s="8">
        <v>174</v>
      </c>
      <c r="W41" s="8">
        <v>205</v>
      </c>
      <c r="X41" s="9">
        <v>210</v>
      </c>
    </row>
    <row r="42" spans="1:24" x14ac:dyDescent="0.25">
      <c r="A42" s="6">
        <v>12400</v>
      </c>
      <c r="B42" s="8">
        <v>20</v>
      </c>
      <c r="C42" s="8">
        <v>20</v>
      </c>
      <c r="D42" s="8">
        <v>20</v>
      </c>
      <c r="E42" s="8">
        <v>23</v>
      </c>
      <c r="F42" s="8">
        <v>25</v>
      </c>
      <c r="G42" s="8">
        <v>28</v>
      </c>
      <c r="H42" s="8">
        <v>28</v>
      </c>
      <c r="I42" s="8">
        <v>29</v>
      </c>
      <c r="J42" s="8">
        <v>29</v>
      </c>
      <c r="K42" s="8">
        <v>29</v>
      </c>
      <c r="L42" s="8">
        <v>36</v>
      </c>
      <c r="M42" s="8">
        <v>42</v>
      </c>
      <c r="N42" s="8">
        <v>48</v>
      </c>
      <c r="O42" s="8">
        <v>63</v>
      </c>
      <c r="P42" s="8">
        <v>74</v>
      </c>
      <c r="Q42" s="8">
        <v>84</v>
      </c>
      <c r="R42" s="8">
        <v>94</v>
      </c>
      <c r="S42" s="8">
        <v>112</v>
      </c>
      <c r="T42" s="8">
        <v>136</v>
      </c>
      <c r="U42" s="8">
        <v>154</v>
      </c>
      <c r="V42" s="8">
        <v>174</v>
      </c>
      <c r="W42" s="8">
        <v>205</v>
      </c>
      <c r="X42" s="9">
        <v>210</v>
      </c>
    </row>
    <row r="43" spans="1:24" ht="13.8" thickBot="1" x14ac:dyDescent="0.3">
      <c r="A43" s="7">
        <v>12800</v>
      </c>
      <c r="B43" s="10">
        <v>20</v>
      </c>
      <c r="C43" s="10">
        <v>20</v>
      </c>
      <c r="D43" s="10">
        <v>20</v>
      </c>
      <c r="E43" s="10">
        <v>23</v>
      </c>
      <c r="F43" s="10">
        <v>25</v>
      </c>
      <c r="G43" s="10">
        <v>28</v>
      </c>
      <c r="H43" s="10">
        <v>28</v>
      </c>
      <c r="I43" s="10">
        <v>29</v>
      </c>
      <c r="J43" s="10">
        <v>29</v>
      </c>
      <c r="K43" s="10">
        <v>29</v>
      </c>
      <c r="L43" s="10">
        <v>36</v>
      </c>
      <c r="M43" s="10">
        <v>42</v>
      </c>
      <c r="N43" s="10">
        <v>48</v>
      </c>
      <c r="O43" s="10">
        <v>63</v>
      </c>
      <c r="P43" s="10">
        <v>74</v>
      </c>
      <c r="Q43" s="10">
        <v>84</v>
      </c>
      <c r="R43" s="10">
        <v>94</v>
      </c>
      <c r="S43" s="10">
        <v>112</v>
      </c>
      <c r="T43" s="10">
        <v>136</v>
      </c>
      <c r="U43" s="10">
        <v>154</v>
      </c>
      <c r="V43" s="10">
        <v>174</v>
      </c>
      <c r="W43" s="10">
        <v>205</v>
      </c>
      <c r="X43" s="11">
        <v>210</v>
      </c>
    </row>
    <row r="44" spans="1:24" x14ac:dyDescent="0.25">
      <c r="A44" s="1"/>
    </row>
    <row r="45" spans="1:24" x14ac:dyDescent="0.25">
      <c r="A45" s="1"/>
    </row>
    <row r="46" spans="1:24" x14ac:dyDescent="0.25">
      <c r="A46" s="1"/>
    </row>
    <row r="47" spans="1:24" x14ac:dyDescent="0.25">
      <c r="A47" s="1"/>
    </row>
    <row r="48" spans="1:24"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kuAP46UHngqEjGMkZyQHESe4msROfQxaMhEoyFgnKvKiBvGV6K/fVKMBM/js8HkikL+6dkHndI9j02r1W8RyYw==" saltValue="rijvwvd1Wxg0eNRpsC9N8A==" spinCount="100000" sheet="1" objects="1" scenarios="1"/>
  <mergeCells count="1">
    <mergeCell ref="Z1:AB3"/>
  </mergeCells>
  <conditionalFormatting sqref="B2:X43">
    <cfRule type="colorScale" priority="1">
      <colorScale>
        <cfvo type="min"/>
        <cfvo type="percentile" val="50"/>
        <cfvo type="max"/>
        <color rgb="FF5A8AC6"/>
        <color rgb="FFFCFCFF"/>
        <color rgb="FFF8696B"/>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ummaryRight="0"/>
  </sheetPr>
  <dimension ref="A1:Z1000"/>
  <sheetViews>
    <sheetView zoomScale="70" zoomScaleNormal="70" workbookViewId="0">
      <selection activeCell="B2" sqref="B2"/>
    </sheetView>
  </sheetViews>
  <sheetFormatPr defaultColWidth="12.5546875" defaultRowHeight="13.2" x14ac:dyDescent="0.25"/>
  <cols>
    <col min="1" max="1" width="6.6640625" style="2" bestFit="1" customWidth="1"/>
    <col min="2" max="22" width="4.6640625" style="2" customWidth="1"/>
    <col min="23" max="16384" width="12.5546875" style="2"/>
  </cols>
  <sheetData>
    <row r="1" spans="1:26" x14ac:dyDescent="0.25">
      <c r="A1" s="3"/>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5">
        <v>0</v>
      </c>
      <c r="W1" s="1"/>
      <c r="X1" s="68" t="s">
        <v>20</v>
      </c>
      <c r="Y1" s="69"/>
      <c r="Z1" s="70"/>
    </row>
    <row r="2" spans="1:26" x14ac:dyDescent="0.25">
      <c r="A2" s="6">
        <v>800</v>
      </c>
      <c r="B2" s="8">
        <v>29</v>
      </c>
      <c r="C2" s="8">
        <v>32</v>
      </c>
      <c r="D2" s="8">
        <v>33</v>
      </c>
      <c r="E2" s="8">
        <v>36</v>
      </c>
      <c r="F2" s="8">
        <v>41</v>
      </c>
      <c r="G2" s="8">
        <v>46</v>
      </c>
      <c r="H2" s="8">
        <v>52</v>
      </c>
      <c r="I2" s="8">
        <v>58</v>
      </c>
      <c r="J2" s="8">
        <v>70</v>
      </c>
      <c r="K2" s="8">
        <v>72</v>
      </c>
      <c r="L2" s="8">
        <v>78</v>
      </c>
      <c r="M2" s="8">
        <v>78</v>
      </c>
      <c r="N2" s="8">
        <v>80</v>
      </c>
      <c r="O2" s="8">
        <v>86</v>
      </c>
      <c r="P2" s="8">
        <v>93</v>
      </c>
      <c r="Q2" s="8">
        <v>102</v>
      </c>
      <c r="R2" s="8">
        <v>108</v>
      </c>
      <c r="S2" s="8">
        <v>117</v>
      </c>
      <c r="T2" s="8">
        <v>128</v>
      </c>
      <c r="U2" s="8">
        <v>155</v>
      </c>
      <c r="V2" s="9">
        <v>166</v>
      </c>
      <c r="X2" s="71"/>
      <c r="Y2" s="72"/>
      <c r="Z2" s="73"/>
    </row>
    <row r="3" spans="1:26" ht="13.8" thickBot="1" x14ac:dyDescent="0.3">
      <c r="A3" s="6">
        <v>1000</v>
      </c>
      <c r="B3" s="8">
        <v>29</v>
      </c>
      <c r="C3" s="8">
        <v>32</v>
      </c>
      <c r="D3" s="8">
        <v>33</v>
      </c>
      <c r="E3" s="8">
        <v>36</v>
      </c>
      <c r="F3" s="8">
        <v>41</v>
      </c>
      <c r="G3" s="8">
        <v>46</v>
      </c>
      <c r="H3" s="8">
        <v>52</v>
      </c>
      <c r="I3" s="8">
        <v>58</v>
      </c>
      <c r="J3" s="8">
        <v>70</v>
      </c>
      <c r="K3" s="8">
        <v>72</v>
      </c>
      <c r="L3" s="8">
        <v>78</v>
      </c>
      <c r="M3" s="8">
        <v>78</v>
      </c>
      <c r="N3" s="8">
        <v>80</v>
      </c>
      <c r="O3" s="8">
        <v>86</v>
      </c>
      <c r="P3" s="8">
        <v>93</v>
      </c>
      <c r="Q3" s="8">
        <v>102</v>
      </c>
      <c r="R3" s="8">
        <v>108</v>
      </c>
      <c r="S3" s="8">
        <v>117</v>
      </c>
      <c r="T3" s="8">
        <v>128</v>
      </c>
      <c r="U3" s="8">
        <v>155</v>
      </c>
      <c r="V3" s="9">
        <v>166</v>
      </c>
      <c r="X3" s="74"/>
      <c r="Y3" s="75"/>
      <c r="Z3" s="76"/>
    </row>
    <row r="4" spans="1:26" x14ac:dyDescent="0.25">
      <c r="A4" s="6">
        <v>1200</v>
      </c>
      <c r="B4" s="8">
        <v>29</v>
      </c>
      <c r="C4" s="8">
        <v>32</v>
      </c>
      <c r="D4" s="8">
        <v>33</v>
      </c>
      <c r="E4" s="8">
        <v>36</v>
      </c>
      <c r="F4" s="8">
        <v>41</v>
      </c>
      <c r="G4" s="8">
        <v>46</v>
      </c>
      <c r="H4" s="8">
        <v>50</v>
      </c>
      <c r="I4" s="8">
        <v>52</v>
      </c>
      <c r="J4" s="8">
        <v>63</v>
      </c>
      <c r="K4" s="8">
        <v>67</v>
      </c>
      <c r="L4" s="8">
        <v>72</v>
      </c>
      <c r="M4" s="8">
        <v>74</v>
      </c>
      <c r="N4" s="8">
        <v>82</v>
      </c>
      <c r="O4" s="8">
        <v>84</v>
      </c>
      <c r="P4" s="8">
        <v>89</v>
      </c>
      <c r="Q4" s="8">
        <v>96</v>
      </c>
      <c r="R4" s="8">
        <v>101</v>
      </c>
      <c r="S4" s="8">
        <v>113</v>
      </c>
      <c r="T4" s="8">
        <v>125</v>
      </c>
      <c r="U4" s="8">
        <v>150</v>
      </c>
      <c r="V4" s="9">
        <v>156</v>
      </c>
    </row>
    <row r="5" spans="1:26" x14ac:dyDescent="0.25">
      <c r="A5" s="6">
        <v>1400</v>
      </c>
      <c r="B5" s="8">
        <v>29</v>
      </c>
      <c r="C5" s="8">
        <v>32</v>
      </c>
      <c r="D5" s="8">
        <v>33</v>
      </c>
      <c r="E5" s="8">
        <v>34</v>
      </c>
      <c r="F5" s="8">
        <v>41</v>
      </c>
      <c r="G5" s="8">
        <v>47</v>
      </c>
      <c r="H5" s="8">
        <v>50</v>
      </c>
      <c r="I5" s="8">
        <v>55</v>
      </c>
      <c r="J5" s="8">
        <v>64</v>
      </c>
      <c r="K5" s="8">
        <v>68</v>
      </c>
      <c r="L5" s="8">
        <v>71</v>
      </c>
      <c r="M5" s="8">
        <v>75</v>
      </c>
      <c r="N5" s="8">
        <v>76</v>
      </c>
      <c r="O5" s="8">
        <v>80</v>
      </c>
      <c r="P5" s="8">
        <v>86</v>
      </c>
      <c r="Q5" s="8">
        <v>90</v>
      </c>
      <c r="R5" s="8">
        <v>93</v>
      </c>
      <c r="S5" s="8">
        <v>99</v>
      </c>
      <c r="T5" s="8">
        <v>114</v>
      </c>
      <c r="U5" s="8">
        <v>143</v>
      </c>
      <c r="V5" s="9">
        <v>153</v>
      </c>
    </row>
    <row r="6" spans="1:26" x14ac:dyDescent="0.25">
      <c r="A6" s="6">
        <v>1600</v>
      </c>
      <c r="B6" s="8">
        <v>29</v>
      </c>
      <c r="C6" s="8">
        <v>32</v>
      </c>
      <c r="D6" s="8">
        <v>33</v>
      </c>
      <c r="E6" s="8">
        <v>34</v>
      </c>
      <c r="F6" s="8">
        <v>41</v>
      </c>
      <c r="G6" s="8">
        <v>45</v>
      </c>
      <c r="H6" s="8">
        <v>50</v>
      </c>
      <c r="I6" s="8">
        <v>52</v>
      </c>
      <c r="J6" s="8">
        <v>57</v>
      </c>
      <c r="K6" s="8">
        <v>61</v>
      </c>
      <c r="L6" s="8">
        <v>67</v>
      </c>
      <c r="M6" s="8">
        <v>72</v>
      </c>
      <c r="N6" s="8">
        <v>75</v>
      </c>
      <c r="O6" s="8">
        <v>79</v>
      </c>
      <c r="P6" s="8">
        <v>86</v>
      </c>
      <c r="Q6" s="8">
        <v>89</v>
      </c>
      <c r="R6" s="8">
        <v>92</v>
      </c>
      <c r="S6" s="8">
        <v>98</v>
      </c>
      <c r="T6" s="8">
        <v>112</v>
      </c>
      <c r="U6" s="8">
        <v>145</v>
      </c>
      <c r="V6" s="9">
        <v>155</v>
      </c>
    </row>
    <row r="7" spans="1:26" x14ac:dyDescent="0.25">
      <c r="A7" s="6">
        <v>1800</v>
      </c>
      <c r="B7" s="8">
        <v>29</v>
      </c>
      <c r="C7" s="8">
        <v>32</v>
      </c>
      <c r="D7" s="8">
        <v>33</v>
      </c>
      <c r="E7" s="8">
        <v>34</v>
      </c>
      <c r="F7" s="8">
        <v>40</v>
      </c>
      <c r="G7" s="8">
        <v>45</v>
      </c>
      <c r="H7" s="8">
        <v>49</v>
      </c>
      <c r="I7" s="8">
        <v>54</v>
      </c>
      <c r="J7" s="8">
        <v>58</v>
      </c>
      <c r="K7" s="8">
        <v>58</v>
      </c>
      <c r="L7" s="8">
        <v>64</v>
      </c>
      <c r="M7" s="8">
        <v>69</v>
      </c>
      <c r="N7" s="8">
        <v>76</v>
      </c>
      <c r="O7" s="8">
        <v>80</v>
      </c>
      <c r="P7" s="8">
        <v>87</v>
      </c>
      <c r="Q7" s="8">
        <v>90</v>
      </c>
      <c r="R7" s="8">
        <v>94</v>
      </c>
      <c r="S7" s="8">
        <v>102</v>
      </c>
      <c r="T7" s="8">
        <v>113</v>
      </c>
      <c r="U7" s="8">
        <v>149</v>
      </c>
      <c r="V7" s="9">
        <v>164</v>
      </c>
    </row>
    <row r="8" spans="1:26" x14ac:dyDescent="0.25">
      <c r="A8" s="6">
        <v>2000</v>
      </c>
      <c r="B8" s="8">
        <v>29</v>
      </c>
      <c r="C8" s="8">
        <v>32</v>
      </c>
      <c r="D8" s="8">
        <v>33</v>
      </c>
      <c r="E8" s="8">
        <v>34</v>
      </c>
      <c r="F8" s="8">
        <v>41</v>
      </c>
      <c r="G8" s="8">
        <v>48</v>
      </c>
      <c r="H8" s="8">
        <v>48</v>
      </c>
      <c r="I8" s="8">
        <v>52</v>
      </c>
      <c r="J8" s="8">
        <v>60</v>
      </c>
      <c r="K8" s="8">
        <v>64</v>
      </c>
      <c r="L8" s="8">
        <v>67</v>
      </c>
      <c r="M8" s="8">
        <v>71</v>
      </c>
      <c r="N8" s="8">
        <v>78</v>
      </c>
      <c r="O8" s="8">
        <v>80</v>
      </c>
      <c r="P8" s="8">
        <v>87</v>
      </c>
      <c r="Q8" s="8">
        <v>92</v>
      </c>
      <c r="R8" s="8">
        <v>97</v>
      </c>
      <c r="S8" s="8">
        <v>107</v>
      </c>
      <c r="T8" s="8">
        <v>122</v>
      </c>
      <c r="U8" s="8">
        <v>152</v>
      </c>
      <c r="V8" s="9">
        <v>163</v>
      </c>
    </row>
    <row r="9" spans="1:26" x14ac:dyDescent="0.25">
      <c r="A9" s="6">
        <v>2200</v>
      </c>
      <c r="B9" s="8">
        <v>36</v>
      </c>
      <c r="C9" s="8">
        <v>40</v>
      </c>
      <c r="D9" s="8">
        <v>41</v>
      </c>
      <c r="E9" s="8">
        <v>42</v>
      </c>
      <c r="F9" s="8">
        <v>45</v>
      </c>
      <c r="G9" s="8">
        <v>49</v>
      </c>
      <c r="H9" s="8">
        <v>49</v>
      </c>
      <c r="I9" s="8">
        <v>50</v>
      </c>
      <c r="J9" s="8">
        <v>57</v>
      </c>
      <c r="K9" s="8">
        <v>65</v>
      </c>
      <c r="L9" s="8">
        <v>70</v>
      </c>
      <c r="M9" s="8">
        <v>75</v>
      </c>
      <c r="N9" s="8">
        <v>78</v>
      </c>
      <c r="O9" s="8">
        <v>84</v>
      </c>
      <c r="P9" s="8">
        <v>88</v>
      </c>
      <c r="Q9" s="8">
        <v>92</v>
      </c>
      <c r="R9" s="8">
        <v>97</v>
      </c>
      <c r="S9" s="8">
        <v>103</v>
      </c>
      <c r="T9" s="8">
        <v>117</v>
      </c>
      <c r="U9" s="8">
        <v>143</v>
      </c>
      <c r="V9" s="9">
        <v>166</v>
      </c>
    </row>
    <row r="10" spans="1:26" x14ac:dyDescent="0.25">
      <c r="A10" s="6">
        <v>2400</v>
      </c>
      <c r="B10" s="8">
        <v>36</v>
      </c>
      <c r="C10" s="8">
        <v>38</v>
      </c>
      <c r="D10" s="8">
        <v>41</v>
      </c>
      <c r="E10" s="8">
        <v>45</v>
      </c>
      <c r="F10" s="8">
        <v>45</v>
      </c>
      <c r="G10" s="8">
        <v>49</v>
      </c>
      <c r="H10" s="8">
        <v>49</v>
      </c>
      <c r="I10" s="8">
        <v>49</v>
      </c>
      <c r="J10" s="8">
        <v>51</v>
      </c>
      <c r="K10" s="8">
        <v>63</v>
      </c>
      <c r="L10" s="8">
        <v>68</v>
      </c>
      <c r="M10" s="8">
        <v>70</v>
      </c>
      <c r="N10" s="8">
        <v>76</v>
      </c>
      <c r="O10" s="8">
        <v>80</v>
      </c>
      <c r="P10" s="8">
        <v>83</v>
      </c>
      <c r="Q10" s="8">
        <v>89</v>
      </c>
      <c r="R10" s="8">
        <v>94</v>
      </c>
      <c r="S10" s="8">
        <v>96</v>
      </c>
      <c r="T10" s="8">
        <v>108</v>
      </c>
      <c r="U10" s="8">
        <v>132</v>
      </c>
      <c r="V10" s="9">
        <v>171</v>
      </c>
    </row>
    <row r="11" spans="1:26" x14ac:dyDescent="0.25">
      <c r="A11" s="6">
        <v>2600</v>
      </c>
      <c r="B11" s="8">
        <v>36</v>
      </c>
      <c r="C11" s="8">
        <v>38</v>
      </c>
      <c r="D11" s="8">
        <v>41</v>
      </c>
      <c r="E11" s="8">
        <v>45</v>
      </c>
      <c r="F11" s="8">
        <v>45</v>
      </c>
      <c r="G11" s="8">
        <v>49</v>
      </c>
      <c r="H11" s="8">
        <v>48</v>
      </c>
      <c r="I11" s="8">
        <v>49</v>
      </c>
      <c r="J11" s="8">
        <v>51</v>
      </c>
      <c r="K11" s="8">
        <v>58</v>
      </c>
      <c r="L11" s="8">
        <v>64</v>
      </c>
      <c r="M11" s="8">
        <v>67</v>
      </c>
      <c r="N11" s="8">
        <v>71</v>
      </c>
      <c r="O11" s="8">
        <v>75</v>
      </c>
      <c r="P11" s="8">
        <v>80</v>
      </c>
      <c r="Q11" s="8">
        <v>86</v>
      </c>
      <c r="R11" s="8">
        <v>92</v>
      </c>
      <c r="S11" s="8">
        <v>94</v>
      </c>
      <c r="T11" s="8">
        <v>106</v>
      </c>
      <c r="U11" s="8">
        <v>130</v>
      </c>
      <c r="V11" s="9">
        <v>176</v>
      </c>
    </row>
    <row r="12" spans="1:26" x14ac:dyDescent="0.25">
      <c r="A12" s="6">
        <v>2800</v>
      </c>
      <c r="B12" s="8">
        <v>36</v>
      </c>
      <c r="C12" s="8">
        <v>38</v>
      </c>
      <c r="D12" s="8">
        <v>41</v>
      </c>
      <c r="E12" s="8">
        <v>44</v>
      </c>
      <c r="F12" s="8">
        <v>45</v>
      </c>
      <c r="G12" s="8">
        <v>48</v>
      </c>
      <c r="H12" s="8">
        <v>48</v>
      </c>
      <c r="I12" s="8">
        <v>50</v>
      </c>
      <c r="J12" s="8">
        <v>52</v>
      </c>
      <c r="K12" s="8">
        <v>60</v>
      </c>
      <c r="L12" s="8">
        <v>64</v>
      </c>
      <c r="M12" s="8">
        <v>66</v>
      </c>
      <c r="N12" s="8">
        <v>69</v>
      </c>
      <c r="O12" s="8">
        <v>72</v>
      </c>
      <c r="P12" s="8">
        <v>79</v>
      </c>
      <c r="Q12" s="8">
        <v>84</v>
      </c>
      <c r="R12" s="8">
        <v>92</v>
      </c>
      <c r="S12" s="8">
        <v>96</v>
      </c>
      <c r="T12" s="8">
        <v>106</v>
      </c>
      <c r="U12" s="8">
        <v>132</v>
      </c>
      <c r="V12" s="9">
        <v>183</v>
      </c>
    </row>
    <row r="13" spans="1:26" x14ac:dyDescent="0.25">
      <c r="A13" s="6">
        <v>3000</v>
      </c>
      <c r="B13" s="8">
        <v>36</v>
      </c>
      <c r="C13" s="8">
        <v>38</v>
      </c>
      <c r="D13" s="8">
        <v>40</v>
      </c>
      <c r="E13" s="8">
        <v>44</v>
      </c>
      <c r="F13" s="8">
        <v>45</v>
      </c>
      <c r="G13" s="8">
        <v>49</v>
      </c>
      <c r="H13" s="8">
        <v>50</v>
      </c>
      <c r="I13" s="8">
        <v>52</v>
      </c>
      <c r="J13" s="8">
        <v>52</v>
      </c>
      <c r="K13" s="8">
        <v>60</v>
      </c>
      <c r="L13" s="8">
        <v>65</v>
      </c>
      <c r="M13" s="8">
        <v>68</v>
      </c>
      <c r="N13" s="8">
        <v>71</v>
      </c>
      <c r="O13" s="8">
        <v>75</v>
      </c>
      <c r="P13" s="8">
        <v>82</v>
      </c>
      <c r="Q13" s="8">
        <v>87</v>
      </c>
      <c r="R13" s="8">
        <v>94</v>
      </c>
      <c r="S13" s="8">
        <v>101</v>
      </c>
      <c r="T13" s="8">
        <v>112</v>
      </c>
      <c r="U13" s="8">
        <v>140</v>
      </c>
      <c r="V13" s="9">
        <v>189</v>
      </c>
    </row>
    <row r="14" spans="1:26" x14ac:dyDescent="0.25">
      <c r="A14" s="6">
        <v>3200</v>
      </c>
      <c r="B14" s="8">
        <v>36</v>
      </c>
      <c r="C14" s="8">
        <v>38</v>
      </c>
      <c r="D14" s="8">
        <v>40</v>
      </c>
      <c r="E14" s="8">
        <v>44</v>
      </c>
      <c r="F14" s="8">
        <v>47</v>
      </c>
      <c r="G14" s="8">
        <v>50</v>
      </c>
      <c r="H14" s="8">
        <v>51</v>
      </c>
      <c r="I14" s="8">
        <v>52</v>
      </c>
      <c r="J14" s="8">
        <v>55</v>
      </c>
      <c r="K14" s="8">
        <v>61</v>
      </c>
      <c r="L14" s="8">
        <v>67</v>
      </c>
      <c r="M14" s="8">
        <v>70</v>
      </c>
      <c r="N14" s="8">
        <v>74</v>
      </c>
      <c r="O14" s="8">
        <v>78</v>
      </c>
      <c r="P14" s="8">
        <v>84</v>
      </c>
      <c r="Q14" s="8">
        <v>90</v>
      </c>
      <c r="R14" s="8">
        <v>97</v>
      </c>
      <c r="S14" s="8">
        <v>107</v>
      </c>
      <c r="T14" s="8">
        <v>120</v>
      </c>
      <c r="U14" s="8">
        <v>162</v>
      </c>
      <c r="V14" s="9">
        <v>194</v>
      </c>
    </row>
    <row r="15" spans="1:26" x14ac:dyDescent="0.25">
      <c r="A15" s="6">
        <v>3400</v>
      </c>
      <c r="B15" s="8">
        <v>36</v>
      </c>
      <c r="C15" s="8">
        <v>38</v>
      </c>
      <c r="D15" s="8">
        <v>40</v>
      </c>
      <c r="E15" s="8">
        <v>44</v>
      </c>
      <c r="F15" s="8">
        <v>48</v>
      </c>
      <c r="G15" s="8">
        <v>51</v>
      </c>
      <c r="H15" s="8">
        <v>52</v>
      </c>
      <c r="I15" s="8">
        <v>54</v>
      </c>
      <c r="J15" s="8">
        <v>55</v>
      </c>
      <c r="K15" s="8">
        <v>65</v>
      </c>
      <c r="L15" s="8">
        <v>69</v>
      </c>
      <c r="M15" s="8">
        <v>74</v>
      </c>
      <c r="N15" s="8">
        <v>79</v>
      </c>
      <c r="O15" s="8">
        <v>83</v>
      </c>
      <c r="P15" s="8">
        <v>89</v>
      </c>
      <c r="Q15" s="8">
        <v>97</v>
      </c>
      <c r="R15" s="8">
        <v>104</v>
      </c>
      <c r="S15" s="8">
        <v>113</v>
      </c>
      <c r="T15" s="8">
        <v>126</v>
      </c>
      <c r="U15" s="8">
        <v>172</v>
      </c>
      <c r="V15" s="9">
        <v>196</v>
      </c>
    </row>
    <row r="16" spans="1:26" x14ac:dyDescent="0.25">
      <c r="A16" s="6">
        <v>3600</v>
      </c>
      <c r="B16" s="8">
        <v>36</v>
      </c>
      <c r="C16" s="8">
        <v>38</v>
      </c>
      <c r="D16" s="8">
        <v>41</v>
      </c>
      <c r="E16" s="8">
        <v>47</v>
      </c>
      <c r="F16" s="8">
        <v>52</v>
      </c>
      <c r="G16" s="8">
        <v>54</v>
      </c>
      <c r="H16" s="8">
        <v>55</v>
      </c>
      <c r="I16" s="8">
        <v>60</v>
      </c>
      <c r="J16" s="8">
        <v>61</v>
      </c>
      <c r="K16" s="8">
        <v>69</v>
      </c>
      <c r="L16" s="8">
        <v>74</v>
      </c>
      <c r="M16" s="8">
        <v>79</v>
      </c>
      <c r="N16" s="8">
        <v>84</v>
      </c>
      <c r="O16" s="8">
        <v>88</v>
      </c>
      <c r="P16" s="8">
        <v>94</v>
      </c>
      <c r="Q16" s="8">
        <v>102</v>
      </c>
      <c r="R16" s="8">
        <v>109</v>
      </c>
      <c r="S16" s="8">
        <v>119</v>
      </c>
      <c r="T16" s="8">
        <v>134</v>
      </c>
      <c r="U16" s="8">
        <v>178</v>
      </c>
      <c r="V16" s="9">
        <v>198</v>
      </c>
    </row>
    <row r="17" spans="1:22" x14ac:dyDescent="0.25">
      <c r="A17" s="6">
        <v>3800</v>
      </c>
      <c r="B17" s="8">
        <v>36</v>
      </c>
      <c r="C17" s="8">
        <v>40</v>
      </c>
      <c r="D17" s="8">
        <v>41</v>
      </c>
      <c r="E17" s="8">
        <v>48</v>
      </c>
      <c r="F17" s="8">
        <v>52</v>
      </c>
      <c r="G17" s="8">
        <v>55</v>
      </c>
      <c r="H17" s="8">
        <v>58</v>
      </c>
      <c r="I17" s="8">
        <v>64</v>
      </c>
      <c r="J17" s="8">
        <v>69</v>
      </c>
      <c r="K17" s="8">
        <v>74</v>
      </c>
      <c r="L17" s="8">
        <v>79</v>
      </c>
      <c r="M17" s="8">
        <v>84</v>
      </c>
      <c r="N17" s="8">
        <v>88</v>
      </c>
      <c r="O17" s="8">
        <v>92</v>
      </c>
      <c r="P17" s="8">
        <v>99</v>
      </c>
      <c r="Q17" s="8">
        <v>106</v>
      </c>
      <c r="R17" s="8">
        <v>113</v>
      </c>
      <c r="S17" s="8">
        <v>124</v>
      </c>
      <c r="T17" s="8">
        <v>139</v>
      </c>
      <c r="U17" s="8">
        <v>178</v>
      </c>
      <c r="V17" s="9">
        <v>204</v>
      </c>
    </row>
    <row r="18" spans="1:22" x14ac:dyDescent="0.25">
      <c r="A18" s="6">
        <v>4000</v>
      </c>
      <c r="B18" s="8">
        <v>36</v>
      </c>
      <c r="C18" s="8">
        <v>40</v>
      </c>
      <c r="D18" s="8">
        <v>41</v>
      </c>
      <c r="E18" s="8">
        <v>50</v>
      </c>
      <c r="F18" s="8">
        <v>55</v>
      </c>
      <c r="G18" s="8">
        <v>58</v>
      </c>
      <c r="H18" s="8">
        <v>65</v>
      </c>
      <c r="I18" s="8">
        <v>68</v>
      </c>
      <c r="J18" s="8">
        <v>74</v>
      </c>
      <c r="K18" s="8">
        <v>79</v>
      </c>
      <c r="L18" s="8">
        <v>84</v>
      </c>
      <c r="M18" s="8">
        <v>89</v>
      </c>
      <c r="N18" s="8">
        <v>92</v>
      </c>
      <c r="O18" s="8">
        <v>97</v>
      </c>
      <c r="P18" s="8">
        <v>103</v>
      </c>
      <c r="Q18" s="8">
        <v>109</v>
      </c>
      <c r="R18" s="8">
        <v>117</v>
      </c>
      <c r="S18" s="8">
        <v>129</v>
      </c>
      <c r="T18" s="8">
        <v>143</v>
      </c>
      <c r="U18" s="8">
        <v>176</v>
      </c>
      <c r="V18" s="9">
        <v>208</v>
      </c>
    </row>
    <row r="19" spans="1:22" x14ac:dyDescent="0.25">
      <c r="A19" s="6">
        <v>4200</v>
      </c>
      <c r="B19" s="8">
        <v>36</v>
      </c>
      <c r="C19" s="8">
        <v>40</v>
      </c>
      <c r="D19" s="8">
        <v>41</v>
      </c>
      <c r="E19" s="8">
        <v>52</v>
      </c>
      <c r="F19" s="8">
        <v>58</v>
      </c>
      <c r="G19" s="8">
        <v>64</v>
      </c>
      <c r="H19" s="8">
        <v>68</v>
      </c>
      <c r="I19" s="8">
        <v>72</v>
      </c>
      <c r="J19" s="8">
        <v>76</v>
      </c>
      <c r="K19" s="8">
        <v>83</v>
      </c>
      <c r="L19" s="8">
        <v>87</v>
      </c>
      <c r="M19" s="8">
        <v>91</v>
      </c>
      <c r="N19" s="8">
        <v>96</v>
      </c>
      <c r="O19" s="8">
        <v>99</v>
      </c>
      <c r="P19" s="8">
        <v>104</v>
      </c>
      <c r="Q19" s="8">
        <v>112</v>
      </c>
      <c r="R19" s="8">
        <v>118</v>
      </c>
      <c r="S19" s="8">
        <v>129</v>
      </c>
      <c r="T19" s="8">
        <v>143</v>
      </c>
      <c r="U19" s="8">
        <v>172</v>
      </c>
      <c r="V19" s="9">
        <v>208</v>
      </c>
    </row>
    <row r="20" spans="1:22" x14ac:dyDescent="0.25">
      <c r="A20" s="6">
        <v>4400</v>
      </c>
      <c r="B20" s="8">
        <v>36</v>
      </c>
      <c r="C20" s="8">
        <v>38</v>
      </c>
      <c r="D20" s="8">
        <v>41</v>
      </c>
      <c r="E20" s="8">
        <v>58</v>
      </c>
      <c r="F20" s="8">
        <v>64</v>
      </c>
      <c r="G20" s="8">
        <v>67</v>
      </c>
      <c r="H20" s="8">
        <v>70</v>
      </c>
      <c r="I20" s="8">
        <v>75</v>
      </c>
      <c r="J20" s="8">
        <v>79</v>
      </c>
      <c r="K20" s="8">
        <v>84</v>
      </c>
      <c r="L20" s="8">
        <v>88</v>
      </c>
      <c r="M20" s="8">
        <v>92</v>
      </c>
      <c r="N20" s="8">
        <v>97</v>
      </c>
      <c r="O20" s="8">
        <v>99</v>
      </c>
      <c r="P20" s="8">
        <v>107</v>
      </c>
      <c r="Q20" s="8">
        <v>112</v>
      </c>
      <c r="R20" s="8">
        <v>118</v>
      </c>
      <c r="S20" s="8">
        <v>128</v>
      </c>
      <c r="T20" s="8">
        <v>142</v>
      </c>
      <c r="U20" s="8">
        <v>170</v>
      </c>
      <c r="V20" s="9">
        <v>208</v>
      </c>
    </row>
    <row r="21" spans="1:22" x14ac:dyDescent="0.25">
      <c r="A21" s="6">
        <v>4600</v>
      </c>
      <c r="B21" s="8">
        <v>36</v>
      </c>
      <c r="C21" s="8">
        <v>38</v>
      </c>
      <c r="D21" s="8">
        <v>41</v>
      </c>
      <c r="E21" s="8">
        <v>58</v>
      </c>
      <c r="F21" s="8">
        <v>64</v>
      </c>
      <c r="G21" s="8">
        <v>66</v>
      </c>
      <c r="H21" s="8">
        <v>69</v>
      </c>
      <c r="I21" s="8">
        <v>74</v>
      </c>
      <c r="J21" s="8">
        <v>76</v>
      </c>
      <c r="K21" s="8">
        <v>82</v>
      </c>
      <c r="L21" s="8">
        <v>84</v>
      </c>
      <c r="M21" s="8">
        <v>89</v>
      </c>
      <c r="N21" s="8">
        <v>92</v>
      </c>
      <c r="O21" s="8">
        <v>97</v>
      </c>
      <c r="P21" s="8">
        <v>102</v>
      </c>
      <c r="Q21" s="8">
        <v>107</v>
      </c>
      <c r="R21" s="8">
        <v>114</v>
      </c>
      <c r="S21" s="8">
        <v>123</v>
      </c>
      <c r="T21" s="8">
        <v>140</v>
      </c>
      <c r="U21" s="8">
        <v>170</v>
      </c>
      <c r="V21" s="9">
        <v>204</v>
      </c>
    </row>
    <row r="22" spans="1:22" x14ac:dyDescent="0.25">
      <c r="A22" s="6">
        <v>4800</v>
      </c>
      <c r="B22" s="8">
        <v>36</v>
      </c>
      <c r="C22" s="8">
        <v>41</v>
      </c>
      <c r="D22" s="8">
        <v>41</v>
      </c>
      <c r="E22" s="8">
        <v>57</v>
      </c>
      <c r="F22" s="8">
        <v>60</v>
      </c>
      <c r="G22" s="8">
        <v>65</v>
      </c>
      <c r="H22" s="8">
        <v>67</v>
      </c>
      <c r="I22" s="8">
        <v>70</v>
      </c>
      <c r="J22" s="8">
        <v>72</v>
      </c>
      <c r="K22" s="8">
        <v>76</v>
      </c>
      <c r="L22" s="8">
        <v>80</v>
      </c>
      <c r="M22" s="8">
        <v>84</v>
      </c>
      <c r="N22" s="8">
        <v>87</v>
      </c>
      <c r="O22" s="8">
        <v>92</v>
      </c>
      <c r="P22" s="8">
        <v>98</v>
      </c>
      <c r="Q22" s="8">
        <v>102</v>
      </c>
      <c r="R22" s="8">
        <v>109</v>
      </c>
      <c r="S22" s="8">
        <v>119</v>
      </c>
      <c r="T22" s="8">
        <v>138</v>
      </c>
      <c r="U22" s="8">
        <v>172</v>
      </c>
      <c r="V22" s="9">
        <v>202</v>
      </c>
    </row>
    <row r="23" spans="1:22" x14ac:dyDescent="0.25">
      <c r="A23" s="6">
        <v>5000</v>
      </c>
      <c r="B23" s="8">
        <v>34</v>
      </c>
      <c r="C23" s="8">
        <v>36</v>
      </c>
      <c r="D23" s="8">
        <v>41</v>
      </c>
      <c r="E23" s="8">
        <v>52</v>
      </c>
      <c r="F23" s="8">
        <v>57</v>
      </c>
      <c r="G23" s="8">
        <v>63</v>
      </c>
      <c r="H23" s="8">
        <v>65</v>
      </c>
      <c r="I23" s="8">
        <v>68</v>
      </c>
      <c r="J23" s="8">
        <v>70</v>
      </c>
      <c r="K23" s="8">
        <v>74</v>
      </c>
      <c r="L23" s="8">
        <v>78</v>
      </c>
      <c r="M23" s="8">
        <v>82</v>
      </c>
      <c r="N23" s="8">
        <v>86</v>
      </c>
      <c r="O23" s="8">
        <v>89</v>
      </c>
      <c r="P23" s="8">
        <v>96</v>
      </c>
      <c r="Q23" s="8">
        <v>99</v>
      </c>
      <c r="R23" s="8">
        <v>107</v>
      </c>
      <c r="S23" s="8">
        <v>116</v>
      </c>
      <c r="T23" s="8">
        <v>136</v>
      </c>
      <c r="U23" s="8">
        <v>175</v>
      </c>
      <c r="V23" s="9">
        <v>202</v>
      </c>
    </row>
    <row r="24" spans="1:22" x14ac:dyDescent="0.25">
      <c r="A24" s="6">
        <v>5200</v>
      </c>
      <c r="B24" s="8">
        <v>34</v>
      </c>
      <c r="C24" s="8">
        <v>36</v>
      </c>
      <c r="D24" s="8">
        <v>41</v>
      </c>
      <c r="E24" s="8">
        <v>50</v>
      </c>
      <c r="F24" s="8">
        <v>55</v>
      </c>
      <c r="G24" s="8">
        <v>61</v>
      </c>
      <c r="H24" s="8">
        <v>64</v>
      </c>
      <c r="I24" s="8">
        <v>67</v>
      </c>
      <c r="J24" s="8">
        <v>70</v>
      </c>
      <c r="K24" s="8">
        <v>74</v>
      </c>
      <c r="L24" s="8">
        <v>76</v>
      </c>
      <c r="M24" s="8">
        <v>80</v>
      </c>
      <c r="N24" s="8">
        <v>86</v>
      </c>
      <c r="O24" s="8">
        <v>88</v>
      </c>
      <c r="P24" s="8">
        <v>92</v>
      </c>
      <c r="Q24" s="8">
        <v>99</v>
      </c>
      <c r="R24" s="8">
        <v>106</v>
      </c>
      <c r="S24" s="8">
        <v>113</v>
      </c>
      <c r="T24" s="8">
        <v>136</v>
      </c>
      <c r="U24" s="8">
        <v>177</v>
      </c>
      <c r="V24" s="9">
        <v>202</v>
      </c>
    </row>
    <row r="25" spans="1:22" x14ac:dyDescent="0.25">
      <c r="A25" s="6">
        <v>5600</v>
      </c>
      <c r="B25" s="8">
        <v>34</v>
      </c>
      <c r="C25" s="8">
        <v>36</v>
      </c>
      <c r="D25" s="8">
        <v>41</v>
      </c>
      <c r="E25" s="8">
        <v>51</v>
      </c>
      <c r="F25" s="8">
        <v>54</v>
      </c>
      <c r="G25" s="8">
        <v>61</v>
      </c>
      <c r="H25" s="8">
        <v>65</v>
      </c>
      <c r="I25" s="8">
        <v>67</v>
      </c>
      <c r="J25" s="8">
        <v>70</v>
      </c>
      <c r="K25" s="8">
        <v>74</v>
      </c>
      <c r="L25" s="8">
        <v>76</v>
      </c>
      <c r="M25" s="8">
        <v>79</v>
      </c>
      <c r="N25" s="8">
        <v>84</v>
      </c>
      <c r="O25" s="8">
        <v>87</v>
      </c>
      <c r="P25" s="8">
        <v>93</v>
      </c>
      <c r="Q25" s="8">
        <v>99</v>
      </c>
      <c r="R25" s="8">
        <v>108</v>
      </c>
      <c r="S25" s="8">
        <v>117</v>
      </c>
      <c r="T25" s="8">
        <v>136</v>
      </c>
      <c r="U25" s="8">
        <v>183</v>
      </c>
      <c r="V25" s="9">
        <v>206</v>
      </c>
    </row>
    <row r="26" spans="1:22" x14ac:dyDescent="0.25">
      <c r="A26" s="6">
        <v>6000</v>
      </c>
      <c r="B26" s="8">
        <v>34</v>
      </c>
      <c r="C26" s="8">
        <v>38</v>
      </c>
      <c r="D26" s="8">
        <v>42</v>
      </c>
      <c r="E26" s="8">
        <v>52</v>
      </c>
      <c r="F26" s="8">
        <v>54</v>
      </c>
      <c r="G26" s="8">
        <v>61</v>
      </c>
      <c r="H26" s="8">
        <v>66</v>
      </c>
      <c r="I26" s="8">
        <v>68</v>
      </c>
      <c r="J26" s="8">
        <v>71</v>
      </c>
      <c r="K26" s="8">
        <v>74</v>
      </c>
      <c r="L26" s="8">
        <v>78</v>
      </c>
      <c r="M26" s="8">
        <v>79</v>
      </c>
      <c r="N26" s="8">
        <v>83</v>
      </c>
      <c r="O26" s="8">
        <v>87</v>
      </c>
      <c r="P26" s="8">
        <v>96</v>
      </c>
      <c r="Q26" s="8">
        <v>101</v>
      </c>
      <c r="R26" s="8">
        <v>112</v>
      </c>
      <c r="S26" s="8">
        <v>122</v>
      </c>
      <c r="T26" s="8">
        <v>139</v>
      </c>
      <c r="U26" s="8">
        <v>190</v>
      </c>
      <c r="V26" s="9">
        <v>214</v>
      </c>
    </row>
    <row r="27" spans="1:22" x14ac:dyDescent="0.25">
      <c r="A27" s="6">
        <v>6400</v>
      </c>
      <c r="B27" s="8">
        <v>34</v>
      </c>
      <c r="C27" s="8">
        <v>38</v>
      </c>
      <c r="D27" s="8">
        <v>42</v>
      </c>
      <c r="E27" s="8">
        <v>51</v>
      </c>
      <c r="F27" s="8">
        <v>54</v>
      </c>
      <c r="G27" s="8">
        <v>61</v>
      </c>
      <c r="H27" s="8">
        <v>66</v>
      </c>
      <c r="I27" s="8">
        <v>70</v>
      </c>
      <c r="J27" s="8">
        <v>74</v>
      </c>
      <c r="K27" s="8">
        <v>76</v>
      </c>
      <c r="L27" s="8">
        <v>79</v>
      </c>
      <c r="M27" s="8">
        <v>83</v>
      </c>
      <c r="N27" s="8">
        <v>87</v>
      </c>
      <c r="O27" s="8">
        <v>91</v>
      </c>
      <c r="P27" s="8">
        <v>98</v>
      </c>
      <c r="Q27" s="8">
        <v>102</v>
      </c>
      <c r="R27" s="8">
        <v>112</v>
      </c>
      <c r="S27" s="8">
        <v>123</v>
      </c>
      <c r="T27" s="8">
        <v>142</v>
      </c>
      <c r="U27" s="8">
        <v>196</v>
      </c>
      <c r="V27" s="9">
        <v>218</v>
      </c>
    </row>
    <row r="28" spans="1:22" x14ac:dyDescent="0.25">
      <c r="A28" s="6">
        <v>6800</v>
      </c>
      <c r="B28" s="8">
        <v>34</v>
      </c>
      <c r="C28" s="8">
        <v>38</v>
      </c>
      <c r="D28" s="8">
        <v>42</v>
      </c>
      <c r="E28" s="8">
        <v>50</v>
      </c>
      <c r="F28" s="8">
        <v>54</v>
      </c>
      <c r="G28" s="8">
        <v>61</v>
      </c>
      <c r="H28" s="8">
        <v>66</v>
      </c>
      <c r="I28" s="8">
        <v>71</v>
      </c>
      <c r="J28" s="8">
        <v>76</v>
      </c>
      <c r="K28" s="8">
        <v>79</v>
      </c>
      <c r="L28" s="8">
        <v>82</v>
      </c>
      <c r="M28" s="8">
        <v>86</v>
      </c>
      <c r="N28" s="8">
        <v>89</v>
      </c>
      <c r="O28" s="8">
        <v>94</v>
      </c>
      <c r="P28" s="8">
        <v>99</v>
      </c>
      <c r="Q28" s="8">
        <v>103</v>
      </c>
      <c r="R28" s="8">
        <v>113</v>
      </c>
      <c r="S28" s="8">
        <v>124</v>
      </c>
      <c r="T28" s="8">
        <v>146</v>
      </c>
      <c r="U28" s="8">
        <v>205</v>
      </c>
      <c r="V28" s="9">
        <v>226</v>
      </c>
    </row>
    <row r="29" spans="1:22" x14ac:dyDescent="0.25">
      <c r="A29" s="6">
        <v>7200</v>
      </c>
      <c r="B29" s="8">
        <v>34</v>
      </c>
      <c r="C29" s="8">
        <v>38</v>
      </c>
      <c r="D29" s="8">
        <v>42</v>
      </c>
      <c r="E29" s="8">
        <v>50</v>
      </c>
      <c r="F29" s="8">
        <v>54</v>
      </c>
      <c r="G29" s="8">
        <v>61</v>
      </c>
      <c r="H29" s="8">
        <v>66</v>
      </c>
      <c r="I29" s="8">
        <v>72</v>
      </c>
      <c r="J29" s="8">
        <v>78</v>
      </c>
      <c r="K29" s="8">
        <v>79</v>
      </c>
      <c r="L29" s="8">
        <v>83</v>
      </c>
      <c r="M29" s="8">
        <v>86</v>
      </c>
      <c r="N29" s="8">
        <v>90</v>
      </c>
      <c r="O29" s="8">
        <v>94</v>
      </c>
      <c r="P29" s="8">
        <v>99</v>
      </c>
      <c r="Q29" s="8">
        <v>103</v>
      </c>
      <c r="R29" s="8">
        <v>113</v>
      </c>
      <c r="S29" s="8">
        <v>124</v>
      </c>
      <c r="T29" s="8">
        <v>148</v>
      </c>
      <c r="U29" s="8">
        <v>214</v>
      </c>
      <c r="V29" s="9">
        <v>236</v>
      </c>
    </row>
    <row r="30" spans="1:22" x14ac:dyDescent="0.25">
      <c r="A30" s="6">
        <v>7600</v>
      </c>
      <c r="B30" s="8">
        <v>34</v>
      </c>
      <c r="C30" s="8">
        <v>38</v>
      </c>
      <c r="D30" s="8">
        <v>42</v>
      </c>
      <c r="E30" s="8">
        <v>50</v>
      </c>
      <c r="F30" s="8">
        <v>54</v>
      </c>
      <c r="G30" s="8">
        <v>61</v>
      </c>
      <c r="H30" s="8">
        <v>66</v>
      </c>
      <c r="I30" s="8">
        <v>72</v>
      </c>
      <c r="J30" s="8">
        <v>75</v>
      </c>
      <c r="K30" s="8">
        <v>79</v>
      </c>
      <c r="L30" s="8">
        <v>83</v>
      </c>
      <c r="M30" s="8">
        <v>86</v>
      </c>
      <c r="N30" s="8">
        <v>90</v>
      </c>
      <c r="O30" s="8">
        <v>93</v>
      </c>
      <c r="P30" s="8">
        <v>98</v>
      </c>
      <c r="Q30" s="8">
        <v>104</v>
      </c>
      <c r="R30" s="8">
        <v>113</v>
      </c>
      <c r="S30" s="8">
        <v>124</v>
      </c>
      <c r="T30" s="8">
        <v>146</v>
      </c>
      <c r="U30" s="8">
        <v>215</v>
      </c>
      <c r="V30" s="9">
        <v>239</v>
      </c>
    </row>
    <row r="31" spans="1:22" x14ac:dyDescent="0.25">
      <c r="A31" s="6">
        <v>8000</v>
      </c>
      <c r="B31" s="8">
        <v>34</v>
      </c>
      <c r="C31" s="8">
        <v>38</v>
      </c>
      <c r="D31" s="8">
        <v>42</v>
      </c>
      <c r="E31" s="8">
        <v>50</v>
      </c>
      <c r="F31" s="8">
        <v>55</v>
      </c>
      <c r="G31" s="8">
        <v>61</v>
      </c>
      <c r="H31" s="8">
        <v>65</v>
      </c>
      <c r="I31" s="8">
        <v>70</v>
      </c>
      <c r="J31" s="8">
        <v>75</v>
      </c>
      <c r="K31" s="8">
        <v>79</v>
      </c>
      <c r="L31" s="8">
        <v>83</v>
      </c>
      <c r="M31" s="8">
        <v>86</v>
      </c>
      <c r="N31" s="8">
        <v>89</v>
      </c>
      <c r="O31" s="8">
        <v>93</v>
      </c>
      <c r="P31" s="8">
        <v>97</v>
      </c>
      <c r="Q31" s="8">
        <v>104</v>
      </c>
      <c r="R31" s="8">
        <v>114</v>
      </c>
      <c r="S31" s="8">
        <v>126</v>
      </c>
      <c r="T31" s="8">
        <v>147</v>
      </c>
      <c r="U31" s="8">
        <v>216</v>
      </c>
      <c r="V31" s="9">
        <v>243</v>
      </c>
    </row>
    <row r="32" spans="1:22" x14ac:dyDescent="0.25">
      <c r="A32" s="6">
        <v>8400</v>
      </c>
      <c r="B32" s="8">
        <v>34</v>
      </c>
      <c r="C32" s="8">
        <v>38</v>
      </c>
      <c r="D32" s="8">
        <v>41</v>
      </c>
      <c r="E32" s="8">
        <v>50</v>
      </c>
      <c r="F32" s="8">
        <v>55</v>
      </c>
      <c r="G32" s="8">
        <v>64</v>
      </c>
      <c r="H32" s="8">
        <v>66</v>
      </c>
      <c r="I32" s="8">
        <v>70</v>
      </c>
      <c r="J32" s="8">
        <v>75</v>
      </c>
      <c r="K32" s="8">
        <v>79</v>
      </c>
      <c r="L32" s="8">
        <v>83</v>
      </c>
      <c r="M32" s="8">
        <v>86</v>
      </c>
      <c r="N32" s="8">
        <v>89</v>
      </c>
      <c r="O32" s="8">
        <v>93</v>
      </c>
      <c r="P32" s="8">
        <v>98</v>
      </c>
      <c r="Q32" s="8">
        <v>107</v>
      </c>
      <c r="R32" s="8">
        <v>114</v>
      </c>
      <c r="S32" s="8">
        <v>128</v>
      </c>
      <c r="T32" s="8">
        <v>156</v>
      </c>
      <c r="U32" s="8">
        <v>216</v>
      </c>
      <c r="V32" s="9">
        <v>243</v>
      </c>
    </row>
    <row r="33" spans="1:22" x14ac:dyDescent="0.25">
      <c r="A33" s="6">
        <v>8800</v>
      </c>
      <c r="B33" s="8">
        <v>34</v>
      </c>
      <c r="C33" s="8">
        <v>38</v>
      </c>
      <c r="D33" s="8">
        <v>41</v>
      </c>
      <c r="E33" s="8">
        <v>52</v>
      </c>
      <c r="F33" s="8">
        <v>60</v>
      </c>
      <c r="G33" s="8">
        <v>64</v>
      </c>
      <c r="H33" s="8">
        <v>66</v>
      </c>
      <c r="I33" s="8">
        <v>70</v>
      </c>
      <c r="J33" s="8">
        <v>75</v>
      </c>
      <c r="K33" s="8">
        <v>79</v>
      </c>
      <c r="L33" s="8">
        <v>83</v>
      </c>
      <c r="M33" s="8">
        <v>86</v>
      </c>
      <c r="N33" s="8">
        <v>89</v>
      </c>
      <c r="O33" s="8">
        <v>92</v>
      </c>
      <c r="P33" s="8">
        <v>98</v>
      </c>
      <c r="Q33" s="8">
        <v>107</v>
      </c>
      <c r="R33" s="8">
        <v>114</v>
      </c>
      <c r="S33" s="8">
        <v>128</v>
      </c>
      <c r="T33" s="8">
        <v>158</v>
      </c>
      <c r="U33" s="8">
        <v>215</v>
      </c>
      <c r="V33" s="9">
        <v>245</v>
      </c>
    </row>
    <row r="34" spans="1:22" x14ac:dyDescent="0.25">
      <c r="A34" s="6">
        <v>9200</v>
      </c>
      <c r="B34" s="8">
        <v>34</v>
      </c>
      <c r="C34" s="8">
        <v>38</v>
      </c>
      <c r="D34" s="8">
        <v>41</v>
      </c>
      <c r="E34" s="8">
        <v>54</v>
      </c>
      <c r="F34" s="8">
        <v>61</v>
      </c>
      <c r="G34" s="8">
        <v>65</v>
      </c>
      <c r="H34" s="8">
        <v>68</v>
      </c>
      <c r="I34" s="8">
        <v>72</v>
      </c>
      <c r="J34" s="8">
        <v>75</v>
      </c>
      <c r="K34" s="8">
        <v>80</v>
      </c>
      <c r="L34" s="8">
        <v>84</v>
      </c>
      <c r="M34" s="8">
        <v>88</v>
      </c>
      <c r="N34" s="8">
        <v>90</v>
      </c>
      <c r="O34" s="8">
        <v>93</v>
      </c>
      <c r="P34" s="8">
        <v>98</v>
      </c>
      <c r="Q34" s="8">
        <v>107</v>
      </c>
      <c r="R34" s="8">
        <v>114</v>
      </c>
      <c r="S34" s="8">
        <v>128</v>
      </c>
      <c r="T34" s="8">
        <v>152</v>
      </c>
      <c r="U34" s="8">
        <v>212</v>
      </c>
      <c r="V34" s="9">
        <v>243</v>
      </c>
    </row>
    <row r="35" spans="1:22" x14ac:dyDescent="0.25">
      <c r="A35" s="6">
        <v>9600</v>
      </c>
      <c r="B35" s="8">
        <v>34</v>
      </c>
      <c r="C35" s="8">
        <v>38</v>
      </c>
      <c r="D35" s="8">
        <v>41</v>
      </c>
      <c r="E35" s="8">
        <v>55</v>
      </c>
      <c r="F35" s="8">
        <v>64</v>
      </c>
      <c r="G35" s="8">
        <v>68</v>
      </c>
      <c r="H35" s="8">
        <v>70</v>
      </c>
      <c r="I35" s="8">
        <v>74</v>
      </c>
      <c r="J35" s="8">
        <v>78</v>
      </c>
      <c r="K35" s="8">
        <v>83</v>
      </c>
      <c r="L35" s="8">
        <v>86</v>
      </c>
      <c r="M35" s="8">
        <v>88</v>
      </c>
      <c r="N35" s="8">
        <v>90</v>
      </c>
      <c r="O35" s="8">
        <v>93</v>
      </c>
      <c r="P35" s="8">
        <v>99</v>
      </c>
      <c r="Q35" s="8">
        <v>104</v>
      </c>
      <c r="R35" s="8">
        <v>113</v>
      </c>
      <c r="S35" s="8">
        <v>124</v>
      </c>
      <c r="T35" s="8">
        <v>150</v>
      </c>
      <c r="U35" s="8">
        <v>211</v>
      </c>
      <c r="V35" s="9">
        <v>240</v>
      </c>
    </row>
    <row r="36" spans="1:22" x14ac:dyDescent="0.25">
      <c r="A36" s="6">
        <v>10000</v>
      </c>
      <c r="B36" s="8">
        <v>34</v>
      </c>
      <c r="C36" s="8">
        <v>38</v>
      </c>
      <c r="D36" s="8">
        <v>41</v>
      </c>
      <c r="E36" s="8">
        <v>55</v>
      </c>
      <c r="F36" s="8">
        <v>64</v>
      </c>
      <c r="G36" s="8">
        <v>68</v>
      </c>
      <c r="H36" s="8">
        <v>70</v>
      </c>
      <c r="I36" s="8">
        <v>74</v>
      </c>
      <c r="J36" s="8">
        <v>78</v>
      </c>
      <c r="K36" s="8">
        <v>83</v>
      </c>
      <c r="L36" s="8">
        <v>86</v>
      </c>
      <c r="M36" s="8">
        <v>88</v>
      </c>
      <c r="N36" s="8">
        <v>90</v>
      </c>
      <c r="O36" s="8">
        <v>93</v>
      </c>
      <c r="P36" s="8">
        <v>99</v>
      </c>
      <c r="Q36" s="8">
        <v>104</v>
      </c>
      <c r="R36" s="8">
        <v>109</v>
      </c>
      <c r="S36" s="8">
        <v>119</v>
      </c>
      <c r="T36" s="8">
        <v>148</v>
      </c>
      <c r="U36" s="8">
        <v>212</v>
      </c>
      <c r="V36" s="9">
        <v>243</v>
      </c>
    </row>
    <row r="37" spans="1:22" x14ac:dyDescent="0.25">
      <c r="A37" s="6">
        <v>10400</v>
      </c>
      <c r="B37" s="8">
        <v>34</v>
      </c>
      <c r="C37" s="8">
        <v>38</v>
      </c>
      <c r="D37" s="8">
        <v>41</v>
      </c>
      <c r="E37" s="8">
        <v>55</v>
      </c>
      <c r="F37" s="8">
        <v>64</v>
      </c>
      <c r="G37" s="8">
        <v>66</v>
      </c>
      <c r="H37" s="8">
        <v>69</v>
      </c>
      <c r="I37" s="8">
        <v>72</v>
      </c>
      <c r="J37" s="8">
        <v>75</v>
      </c>
      <c r="K37" s="8">
        <v>80</v>
      </c>
      <c r="L37" s="8">
        <v>86</v>
      </c>
      <c r="M37" s="8">
        <v>88</v>
      </c>
      <c r="N37" s="8">
        <v>90</v>
      </c>
      <c r="O37" s="8">
        <v>94</v>
      </c>
      <c r="P37" s="8">
        <v>102</v>
      </c>
      <c r="Q37" s="8">
        <v>104</v>
      </c>
      <c r="R37" s="8">
        <v>109</v>
      </c>
      <c r="S37" s="8">
        <v>119</v>
      </c>
      <c r="T37" s="8">
        <v>147</v>
      </c>
      <c r="U37" s="8">
        <v>206</v>
      </c>
      <c r="V37" s="9">
        <v>239</v>
      </c>
    </row>
    <row r="38" spans="1:22" x14ac:dyDescent="0.25">
      <c r="A38" s="6">
        <v>10800</v>
      </c>
      <c r="B38" s="8">
        <v>34</v>
      </c>
      <c r="C38" s="8">
        <v>38</v>
      </c>
      <c r="D38" s="8">
        <v>41</v>
      </c>
      <c r="E38" s="8">
        <v>55</v>
      </c>
      <c r="F38" s="8">
        <v>64</v>
      </c>
      <c r="G38" s="8">
        <v>66</v>
      </c>
      <c r="H38" s="8">
        <v>69</v>
      </c>
      <c r="I38" s="8">
        <v>72</v>
      </c>
      <c r="J38" s="8">
        <v>75</v>
      </c>
      <c r="K38" s="8">
        <v>80</v>
      </c>
      <c r="L38" s="8">
        <v>86</v>
      </c>
      <c r="M38" s="8">
        <v>88</v>
      </c>
      <c r="N38" s="8">
        <v>90</v>
      </c>
      <c r="O38" s="8">
        <v>94</v>
      </c>
      <c r="P38" s="8">
        <v>102</v>
      </c>
      <c r="Q38" s="8">
        <v>107</v>
      </c>
      <c r="R38" s="8">
        <v>109</v>
      </c>
      <c r="S38" s="8">
        <v>122</v>
      </c>
      <c r="T38" s="8">
        <v>147</v>
      </c>
      <c r="U38" s="8">
        <v>202</v>
      </c>
      <c r="V38" s="9">
        <v>236</v>
      </c>
    </row>
    <row r="39" spans="1:22" x14ac:dyDescent="0.25">
      <c r="A39" s="6">
        <v>11200</v>
      </c>
      <c r="B39" s="8">
        <v>34</v>
      </c>
      <c r="C39" s="8">
        <v>38</v>
      </c>
      <c r="D39" s="8">
        <v>41</v>
      </c>
      <c r="E39" s="8">
        <v>55</v>
      </c>
      <c r="F39" s="8">
        <v>64</v>
      </c>
      <c r="G39" s="8">
        <v>66</v>
      </c>
      <c r="H39" s="8">
        <v>69</v>
      </c>
      <c r="I39" s="8">
        <v>72</v>
      </c>
      <c r="J39" s="8">
        <v>75</v>
      </c>
      <c r="K39" s="8">
        <v>80</v>
      </c>
      <c r="L39" s="8">
        <v>86</v>
      </c>
      <c r="M39" s="8">
        <v>88</v>
      </c>
      <c r="N39" s="8">
        <v>90</v>
      </c>
      <c r="O39" s="8">
        <v>94</v>
      </c>
      <c r="P39" s="8">
        <v>102</v>
      </c>
      <c r="Q39" s="8">
        <v>107</v>
      </c>
      <c r="R39" s="8">
        <v>109</v>
      </c>
      <c r="S39" s="8">
        <v>122</v>
      </c>
      <c r="T39" s="8">
        <v>147</v>
      </c>
      <c r="U39" s="8">
        <v>200</v>
      </c>
      <c r="V39" s="9">
        <v>231</v>
      </c>
    </row>
    <row r="40" spans="1:22" x14ac:dyDescent="0.25">
      <c r="A40" s="6">
        <v>11600</v>
      </c>
      <c r="B40" s="8">
        <v>34</v>
      </c>
      <c r="C40" s="8">
        <v>38</v>
      </c>
      <c r="D40" s="8">
        <v>41</v>
      </c>
      <c r="E40" s="8">
        <v>55</v>
      </c>
      <c r="F40" s="8">
        <v>64</v>
      </c>
      <c r="G40" s="8">
        <v>66</v>
      </c>
      <c r="H40" s="8">
        <v>69</v>
      </c>
      <c r="I40" s="8">
        <v>72</v>
      </c>
      <c r="J40" s="8">
        <v>75</v>
      </c>
      <c r="K40" s="8">
        <v>80</v>
      </c>
      <c r="L40" s="8">
        <v>86</v>
      </c>
      <c r="M40" s="8">
        <v>88</v>
      </c>
      <c r="N40" s="8">
        <v>90</v>
      </c>
      <c r="O40" s="8">
        <v>94</v>
      </c>
      <c r="P40" s="8">
        <v>102</v>
      </c>
      <c r="Q40" s="8">
        <v>107</v>
      </c>
      <c r="R40" s="8">
        <v>109</v>
      </c>
      <c r="S40" s="8">
        <v>122</v>
      </c>
      <c r="T40" s="8">
        <v>147</v>
      </c>
      <c r="U40" s="8">
        <v>196</v>
      </c>
      <c r="V40" s="9">
        <v>228</v>
      </c>
    </row>
    <row r="41" spans="1:22" x14ac:dyDescent="0.25">
      <c r="A41" s="6">
        <v>12000</v>
      </c>
      <c r="B41" s="8">
        <v>34</v>
      </c>
      <c r="C41" s="8">
        <v>38</v>
      </c>
      <c r="D41" s="8">
        <v>41</v>
      </c>
      <c r="E41" s="8">
        <v>55</v>
      </c>
      <c r="F41" s="8">
        <v>64</v>
      </c>
      <c r="G41" s="8">
        <v>66</v>
      </c>
      <c r="H41" s="8">
        <v>69</v>
      </c>
      <c r="I41" s="8">
        <v>72</v>
      </c>
      <c r="J41" s="8">
        <v>75</v>
      </c>
      <c r="K41" s="8">
        <v>80</v>
      </c>
      <c r="L41" s="8">
        <v>86</v>
      </c>
      <c r="M41" s="8">
        <v>88</v>
      </c>
      <c r="N41" s="8">
        <v>90</v>
      </c>
      <c r="O41" s="8">
        <v>94</v>
      </c>
      <c r="P41" s="8">
        <v>102</v>
      </c>
      <c r="Q41" s="8">
        <v>107</v>
      </c>
      <c r="R41" s="8">
        <v>109</v>
      </c>
      <c r="S41" s="8">
        <v>122</v>
      </c>
      <c r="T41" s="8">
        <v>147</v>
      </c>
      <c r="U41" s="8">
        <v>196</v>
      </c>
      <c r="V41" s="9">
        <v>222</v>
      </c>
    </row>
    <row r="42" spans="1:22" x14ac:dyDescent="0.25">
      <c r="A42" s="6">
        <v>12400</v>
      </c>
      <c r="B42" s="8">
        <v>34</v>
      </c>
      <c r="C42" s="8">
        <v>38</v>
      </c>
      <c r="D42" s="8">
        <v>41</v>
      </c>
      <c r="E42" s="8">
        <v>55</v>
      </c>
      <c r="F42" s="8">
        <v>64</v>
      </c>
      <c r="G42" s="8">
        <v>66</v>
      </c>
      <c r="H42" s="8">
        <v>69</v>
      </c>
      <c r="I42" s="8">
        <v>72</v>
      </c>
      <c r="J42" s="8">
        <v>75</v>
      </c>
      <c r="K42" s="8">
        <v>80</v>
      </c>
      <c r="L42" s="8">
        <v>86</v>
      </c>
      <c r="M42" s="8">
        <v>88</v>
      </c>
      <c r="N42" s="8">
        <v>90</v>
      </c>
      <c r="O42" s="8">
        <v>94</v>
      </c>
      <c r="P42" s="8">
        <v>102</v>
      </c>
      <c r="Q42" s="8">
        <v>107</v>
      </c>
      <c r="R42" s="8">
        <v>109</v>
      </c>
      <c r="S42" s="8">
        <v>122</v>
      </c>
      <c r="T42" s="8">
        <v>147</v>
      </c>
      <c r="U42" s="8">
        <v>196</v>
      </c>
      <c r="V42" s="9">
        <v>222</v>
      </c>
    </row>
    <row r="43" spans="1:22" ht="13.8" thickBot="1" x14ac:dyDescent="0.3">
      <c r="A43" s="7">
        <v>12800</v>
      </c>
      <c r="B43" s="10">
        <v>34</v>
      </c>
      <c r="C43" s="10">
        <v>38</v>
      </c>
      <c r="D43" s="10">
        <v>41</v>
      </c>
      <c r="E43" s="10">
        <v>55</v>
      </c>
      <c r="F43" s="10">
        <v>64</v>
      </c>
      <c r="G43" s="10">
        <v>66</v>
      </c>
      <c r="H43" s="10">
        <v>69</v>
      </c>
      <c r="I43" s="10">
        <v>72</v>
      </c>
      <c r="J43" s="10">
        <v>75</v>
      </c>
      <c r="K43" s="10">
        <v>80</v>
      </c>
      <c r="L43" s="10">
        <v>86</v>
      </c>
      <c r="M43" s="10">
        <v>88</v>
      </c>
      <c r="N43" s="10">
        <v>90</v>
      </c>
      <c r="O43" s="10">
        <v>94</v>
      </c>
      <c r="P43" s="10">
        <v>102</v>
      </c>
      <c r="Q43" s="10">
        <v>107</v>
      </c>
      <c r="R43" s="10">
        <v>109</v>
      </c>
      <c r="S43" s="10">
        <v>122</v>
      </c>
      <c r="T43" s="10">
        <v>147</v>
      </c>
      <c r="U43" s="10">
        <v>196</v>
      </c>
      <c r="V43" s="11">
        <v>222</v>
      </c>
    </row>
    <row r="44" spans="1:22" x14ac:dyDescent="0.25">
      <c r="A44" s="1"/>
    </row>
    <row r="45" spans="1:22" x14ac:dyDescent="0.25">
      <c r="A45" s="1"/>
    </row>
    <row r="46" spans="1:22" x14ac:dyDescent="0.25">
      <c r="A46" s="1"/>
    </row>
    <row r="47" spans="1:22" x14ac:dyDescent="0.25">
      <c r="A47" s="1"/>
    </row>
    <row r="48" spans="1:22"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row r="308" spans="1:1" x14ac:dyDescent="0.25">
      <c r="A308" s="1"/>
    </row>
    <row r="309" spans="1:1" x14ac:dyDescent="0.25">
      <c r="A309" s="1"/>
    </row>
    <row r="310" spans="1:1" x14ac:dyDescent="0.25">
      <c r="A310" s="1"/>
    </row>
    <row r="311" spans="1:1" x14ac:dyDescent="0.25">
      <c r="A311" s="1"/>
    </row>
    <row r="312" spans="1:1" x14ac:dyDescent="0.25">
      <c r="A312" s="1"/>
    </row>
    <row r="313" spans="1:1" x14ac:dyDescent="0.25">
      <c r="A313" s="1"/>
    </row>
    <row r="314" spans="1:1" x14ac:dyDescent="0.25">
      <c r="A314" s="1"/>
    </row>
    <row r="315" spans="1:1" x14ac:dyDescent="0.25">
      <c r="A315" s="1"/>
    </row>
    <row r="316" spans="1:1" x14ac:dyDescent="0.25">
      <c r="A316" s="1"/>
    </row>
    <row r="317" spans="1:1" x14ac:dyDescent="0.25">
      <c r="A317" s="1"/>
    </row>
    <row r="318" spans="1:1" x14ac:dyDescent="0.25">
      <c r="A318" s="1"/>
    </row>
    <row r="319" spans="1:1" x14ac:dyDescent="0.25">
      <c r="A319" s="1"/>
    </row>
    <row r="320" spans="1:1" x14ac:dyDescent="0.25">
      <c r="A320" s="1"/>
    </row>
    <row r="321" spans="1:1" x14ac:dyDescent="0.25">
      <c r="A321" s="1"/>
    </row>
    <row r="322" spans="1:1" x14ac:dyDescent="0.25">
      <c r="A322" s="1"/>
    </row>
    <row r="323" spans="1:1" x14ac:dyDescent="0.25">
      <c r="A323" s="1"/>
    </row>
    <row r="324" spans="1:1" x14ac:dyDescent="0.25">
      <c r="A324" s="1"/>
    </row>
    <row r="325" spans="1:1" x14ac:dyDescent="0.25">
      <c r="A325" s="1"/>
    </row>
    <row r="326" spans="1:1" x14ac:dyDescent="0.25">
      <c r="A326" s="1"/>
    </row>
    <row r="327" spans="1:1" x14ac:dyDescent="0.25">
      <c r="A327" s="1"/>
    </row>
    <row r="328" spans="1:1" x14ac:dyDescent="0.25">
      <c r="A328" s="1"/>
    </row>
    <row r="329" spans="1:1" x14ac:dyDescent="0.25">
      <c r="A329" s="1"/>
    </row>
    <row r="330" spans="1:1" x14ac:dyDescent="0.25">
      <c r="A330" s="1"/>
    </row>
    <row r="331" spans="1:1" x14ac:dyDescent="0.25">
      <c r="A331" s="1"/>
    </row>
    <row r="332" spans="1:1" x14ac:dyDescent="0.25">
      <c r="A332" s="1"/>
    </row>
    <row r="333" spans="1:1" x14ac:dyDescent="0.25">
      <c r="A333" s="1"/>
    </row>
    <row r="334" spans="1:1" x14ac:dyDescent="0.25">
      <c r="A334" s="1"/>
    </row>
    <row r="335" spans="1:1" x14ac:dyDescent="0.25">
      <c r="A335" s="1"/>
    </row>
    <row r="336" spans="1:1" x14ac:dyDescent="0.25">
      <c r="A336" s="1"/>
    </row>
    <row r="337" spans="1:1" x14ac:dyDescent="0.25">
      <c r="A337" s="1"/>
    </row>
    <row r="338" spans="1:1" x14ac:dyDescent="0.25">
      <c r="A338" s="1"/>
    </row>
    <row r="339" spans="1:1" x14ac:dyDescent="0.25">
      <c r="A339" s="1"/>
    </row>
    <row r="340" spans="1:1" x14ac:dyDescent="0.25">
      <c r="A340" s="1"/>
    </row>
    <row r="341" spans="1:1" x14ac:dyDescent="0.25">
      <c r="A341" s="1"/>
    </row>
    <row r="342" spans="1:1" x14ac:dyDescent="0.25">
      <c r="A342" s="1"/>
    </row>
    <row r="343" spans="1:1" x14ac:dyDescent="0.25">
      <c r="A343" s="1"/>
    </row>
    <row r="344" spans="1:1" x14ac:dyDescent="0.25">
      <c r="A344" s="1"/>
    </row>
    <row r="345" spans="1:1" x14ac:dyDescent="0.25">
      <c r="A345" s="1"/>
    </row>
    <row r="346" spans="1:1" x14ac:dyDescent="0.25">
      <c r="A346" s="1"/>
    </row>
    <row r="347" spans="1:1" x14ac:dyDescent="0.25">
      <c r="A347" s="1"/>
    </row>
    <row r="348" spans="1:1" x14ac:dyDescent="0.25">
      <c r="A348" s="1"/>
    </row>
    <row r="349" spans="1:1" x14ac:dyDescent="0.25">
      <c r="A349" s="1"/>
    </row>
    <row r="350" spans="1:1" x14ac:dyDescent="0.25">
      <c r="A350" s="1"/>
    </row>
    <row r="351" spans="1:1" x14ac:dyDescent="0.25">
      <c r="A351" s="1"/>
    </row>
    <row r="352" spans="1:1" x14ac:dyDescent="0.25">
      <c r="A352" s="1"/>
    </row>
    <row r="353" spans="1:1" x14ac:dyDescent="0.25">
      <c r="A353" s="1"/>
    </row>
    <row r="354" spans="1:1" x14ac:dyDescent="0.25">
      <c r="A354" s="1"/>
    </row>
    <row r="355" spans="1:1" x14ac:dyDescent="0.25">
      <c r="A355" s="1"/>
    </row>
    <row r="356" spans="1:1" x14ac:dyDescent="0.25">
      <c r="A356" s="1"/>
    </row>
    <row r="357" spans="1:1" x14ac:dyDescent="0.25">
      <c r="A357" s="1"/>
    </row>
    <row r="358" spans="1:1" x14ac:dyDescent="0.25">
      <c r="A358" s="1"/>
    </row>
    <row r="359" spans="1:1" x14ac:dyDescent="0.25">
      <c r="A359" s="1"/>
    </row>
    <row r="360" spans="1:1" x14ac:dyDescent="0.25">
      <c r="A360" s="1"/>
    </row>
    <row r="361" spans="1:1" x14ac:dyDescent="0.25">
      <c r="A361" s="1"/>
    </row>
    <row r="362" spans="1:1" x14ac:dyDescent="0.25">
      <c r="A362" s="1"/>
    </row>
    <row r="363" spans="1:1" x14ac:dyDescent="0.25">
      <c r="A363" s="1"/>
    </row>
    <row r="364" spans="1:1" x14ac:dyDescent="0.25">
      <c r="A364" s="1"/>
    </row>
    <row r="365" spans="1:1" x14ac:dyDescent="0.25">
      <c r="A365" s="1"/>
    </row>
    <row r="366" spans="1:1" x14ac:dyDescent="0.25">
      <c r="A366" s="1"/>
    </row>
    <row r="367" spans="1:1" x14ac:dyDescent="0.25">
      <c r="A367" s="1"/>
    </row>
    <row r="368" spans="1:1" x14ac:dyDescent="0.25">
      <c r="A368" s="1"/>
    </row>
    <row r="369" spans="1:1" x14ac:dyDescent="0.25">
      <c r="A369" s="1"/>
    </row>
    <row r="370" spans="1:1" x14ac:dyDescent="0.25">
      <c r="A370" s="1"/>
    </row>
    <row r="371" spans="1:1" x14ac:dyDescent="0.25">
      <c r="A371" s="1"/>
    </row>
    <row r="372" spans="1:1" x14ac:dyDescent="0.25">
      <c r="A372" s="1"/>
    </row>
    <row r="373" spans="1:1" x14ac:dyDescent="0.25">
      <c r="A373" s="1"/>
    </row>
    <row r="374" spans="1:1" x14ac:dyDescent="0.25">
      <c r="A374" s="1"/>
    </row>
    <row r="375" spans="1:1" x14ac:dyDescent="0.25">
      <c r="A375" s="1"/>
    </row>
    <row r="376" spans="1:1" x14ac:dyDescent="0.25">
      <c r="A376" s="1"/>
    </row>
    <row r="377" spans="1:1" x14ac:dyDescent="0.25">
      <c r="A377" s="1"/>
    </row>
    <row r="378" spans="1:1" x14ac:dyDescent="0.25">
      <c r="A378" s="1"/>
    </row>
    <row r="379" spans="1:1" x14ac:dyDescent="0.25">
      <c r="A379" s="1"/>
    </row>
    <row r="380" spans="1:1" x14ac:dyDescent="0.25">
      <c r="A380" s="1"/>
    </row>
    <row r="381" spans="1:1" x14ac:dyDescent="0.25">
      <c r="A381" s="1"/>
    </row>
    <row r="382" spans="1:1" x14ac:dyDescent="0.25">
      <c r="A382" s="1"/>
    </row>
    <row r="383" spans="1:1" x14ac:dyDescent="0.25">
      <c r="A383" s="1"/>
    </row>
    <row r="384" spans="1:1" x14ac:dyDescent="0.25">
      <c r="A384" s="1"/>
    </row>
    <row r="385" spans="1:1" x14ac:dyDescent="0.25">
      <c r="A385" s="1"/>
    </row>
    <row r="386" spans="1:1" x14ac:dyDescent="0.25">
      <c r="A386" s="1"/>
    </row>
    <row r="387" spans="1:1" x14ac:dyDescent="0.25">
      <c r="A387" s="1"/>
    </row>
    <row r="388" spans="1:1" x14ac:dyDescent="0.25">
      <c r="A388" s="1"/>
    </row>
    <row r="389" spans="1:1" x14ac:dyDescent="0.25">
      <c r="A389" s="1"/>
    </row>
    <row r="390" spans="1:1" x14ac:dyDescent="0.25">
      <c r="A390" s="1"/>
    </row>
    <row r="391" spans="1:1" x14ac:dyDescent="0.25">
      <c r="A391" s="1"/>
    </row>
    <row r="392" spans="1:1" x14ac:dyDescent="0.25">
      <c r="A392" s="1"/>
    </row>
    <row r="393" spans="1:1" x14ac:dyDescent="0.25">
      <c r="A393" s="1"/>
    </row>
    <row r="394" spans="1:1" x14ac:dyDescent="0.25">
      <c r="A394" s="1"/>
    </row>
    <row r="395" spans="1:1" x14ac:dyDescent="0.25">
      <c r="A395" s="1"/>
    </row>
    <row r="396" spans="1:1" x14ac:dyDescent="0.25">
      <c r="A396" s="1"/>
    </row>
    <row r="397" spans="1:1" x14ac:dyDescent="0.25">
      <c r="A397" s="1"/>
    </row>
    <row r="398" spans="1:1" x14ac:dyDescent="0.25">
      <c r="A398" s="1"/>
    </row>
    <row r="399" spans="1:1" x14ac:dyDescent="0.25">
      <c r="A399" s="1"/>
    </row>
    <row r="400" spans="1:1" x14ac:dyDescent="0.25">
      <c r="A400" s="1"/>
    </row>
    <row r="401" spans="1:1" x14ac:dyDescent="0.25">
      <c r="A401" s="1"/>
    </row>
    <row r="402" spans="1:1" x14ac:dyDescent="0.25">
      <c r="A402" s="1"/>
    </row>
    <row r="403" spans="1:1" x14ac:dyDescent="0.25">
      <c r="A403" s="1"/>
    </row>
    <row r="404" spans="1:1" x14ac:dyDescent="0.25">
      <c r="A404" s="1"/>
    </row>
    <row r="405" spans="1:1" x14ac:dyDescent="0.25">
      <c r="A405" s="1"/>
    </row>
    <row r="406" spans="1:1" x14ac:dyDescent="0.25">
      <c r="A406" s="1"/>
    </row>
    <row r="407" spans="1:1" x14ac:dyDescent="0.25">
      <c r="A407" s="1"/>
    </row>
    <row r="408" spans="1:1" x14ac:dyDescent="0.25">
      <c r="A408" s="1"/>
    </row>
    <row r="409" spans="1:1" x14ac:dyDescent="0.25">
      <c r="A409" s="1"/>
    </row>
    <row r="410" spans="1:1" x14ac:dyDescent="0.25">
      <c r="A410" s="1"/>
    </row>
    <row r="411" spans="1:1" x14ac:dyDescent="0.25">
      <c r="A411" s="1"/>
    </row>
    <row r="412" spans="1:1" x14ac:dyDescent="0.25">
      <c r="A412" s="1"/>
    </row>
    <row r="413" spans="1:1" x14ac:dyDescent="0.25">
      <c r="A413" s="1"/>
    </row>
    <row r="414" spans="1:1" x14ac:dyDescent="0.25">
      <c r="A414" s="1"/>
    </row>
    <row r="415" spans="1:1" x14ac:dyDescent="0.25">
      <c r="A415" s="1"/>
    </row>
    <row r="416" spans="1:1" x14ac:dyDescent="0.25">
      <c r="A416" s="1"/>
    </row>
    <row r="417" spans="1:1" x14ac:dyDescent="0.25">
      <c r="A417" s="1"/>
    </row>
    <row r="418" spans="1:1" x14ac:dyDescent="0.25">
      <c r="A418" s="1"/>
    </row>
    <row r="419" spans="1:1" x14ac:dyDescent="0.25">
      <c r="A419" s="1"/>
    </row>
    <row r="420" spans="1:1" x14ac:dyDescent="0.25">
      <c r="A420" s="1"/>
    </row>
    <row r="421" spans="1:1" x14ac:dyDescent="0.25">
      <c r="A421" s="1"/>
    </row>
    <row r="422" spans="1:1" x14ac:dyDescent="0.25">
      <c r="A422" s="1"/>
    </row>
    <row r="423" spans="1:1" x14ac:dyDescent="0.25">
      <c r="A423" s="1"/>
    </row>
    <row r="424" spans="1:1" x14ac:dyDescent="0.25">
      <c r="A424" s="1"/>
    </row>
    <row r="425" spans="1:1" x14ac:dyDescent="0.25">
      <c r="A425" s="1"/>
    </row>
    <row r="426" spans="1:1" x14ac:dyDescent="0.25">
      <c r="A426" s="1"/>
    </row>
    <row r="427" spans="1:1" x14ac:dyDescent="0.25">
      <c r="A427" s="1"/>
    </row>
    <row r="428" spans="1:1" x14ac:dyDescent="0.25">
      <c r="A428" s="1"/>
    </row>
    <row r="429" spans="1:1" x14ac:dyDescent="0.25">
      <c r="A429" s="1"/>
    </row>
    <row r="430" spans="1:1" x14ac:dyDescent="0.25">
      <c r="A430" s="1"/>
    </row>
    <row r="431" spans="1:1" x14ac:dyDescent="0.25">
      <c r="A431" s="1"/>
    </row>
    <row r="432" spans="1:1" x14ac:dyDescent="0.25">
      <c r="A432" s="1"/>
    </row>
    <row r="433" spans="1:1" x14ac:dyDescent="0.25">
      <c r="A433" s="1"/>
    </row>
    <row r="434" spans="1:1" x14ac:dyDescent="0.25">
      <c r="A434" s="1"/>
    </row>
    <row r="435" spans="1:1" x14ac:dyDescent="0.25">
      <c r="A435" s="1"/>
    </row>
    <row r="436" spans="1:1" x14ac:dyDescent="0.25">
      <c r="A436" s="1"/>
    </row>
    <row r="437" spans="1:1" x14ac:dyDescent="0.25">
      <c r="A437" s="1"/>
    </row>
    <row r="438" spans="1:1" x14ac:dyDescent="0.25">
      <c r="A438" s="1"/>
    </row>
    <row r="439" spans="1:1" x14ac:dyDescent="0.25">
      <c r="A439" s="1"/>
    </row>
    <row r="440" spans="1:1" x14ac:dyDescent="0.25">
      <c r="A440" s="1"/>
    </row>
    <row r="441" spans="1:1" x14ac:dyDescent="0.25">
      <c r="A441" s="1"/>
    </row>
    <row r="442" spans="1:1" x14ac:dyDescent="0.25">
      <c r="A442" s="1"/>
    </row>
    <row r="443" spans="1:1" x14ac:dyDescent="0.25">
      <c r="A443" s="1"/>
    </row>
    <row r="444" spans="1:1" x14ac:dyDescent="0.25">
      <c r="A444" s="1"/>
    </row>
    <row r="445" spans="1:1" x14ac:dyDescent="0.25">
      <c r="A445" s="1"/>
    </row>
    <row r="446" spans="1:1" x14ac:dyDescent="0.25">
      <c r="A446" s="1"/>
    </row>
    <row r="447" spans="1:1" x14ac:dyDescent="0.25">
      <c r="A447" s="1"/>
    </row>
    <row r="448" spans="1:1" x14ac:dyDescent="0.25">
      <c r="A448" s="1"/>
    </row>
    <row r="449" spans="1:1" x14ac:dyDescent="0.25">
      <c r="A449" s="1"/>
    </row>
    <row r="450" spans="1:1" x14ac:dyDescent="0.25">
      <c r="A450" s="1"/>
    </row>
    <row r="451" spans="1:1" x14ac:dyDescent="0.25">
      <c r="A451" s="1"/>
    </row>
    <row r="452" spans="1:1" x14ac:dyDescent="0.25">
      <c r="A452" s="1"/>
    </row>
    <row r="453" spans="1:1" x14ac:dyDescent="0.25">
      <c r="A453" s="1"/>
    </row>
    <row r="454" spans="1:1" x14ac:dyDescent="0.25">
      <c r="A454" s="1"/>
    </row>
    <row r="455" spans="1:1" x14ac:dyDescent="0.25">
      <c r="A455" s="1"/>
    </row>
    <row r="456" spans="1:1" x14ac:dyDescent="0.25">
      <c r="A456" s="1"/>
    </row>
    <row r="457" spans="1:1" x14ac:dyDescent="0.25">
      <c r="A457" s="1"/>
    </row>
    <row r="458" spans="1:1" x14ac:dyDescent="0.25">
      <c r="A458" s="1"/>
    </row>
    <row r="459" spans="1:1" x14ac:dyDescent="0.25">
      <c r="A459" s="1"/>
    </row>
    <row r="460" spans="1:1" x14ac:dyDescent="0.25">
      <c r="A460" s="1"/>
    </row>
    <row r="461" spans="1:1" x14ac:dyDescent="0.25">
      <c r="A461" s="1"/>
    </row>
    <row r="462" spans="1:1" x14ac:dyDescent="0.25">
      <c r="A462" s="1"/>
    </row>
    <row r="463" spans="1:1" x14ac:dyDescent="0.25">
      <c r="A463" s="1"/>
    </row>
    <row r="464" spans="1:1" x14ac:dyDescent="0.25">
      <c r="A464" s="1"/>
    </row>
    <row r="465" spans="1:1" x14ac:dyDescent="0.25">
      <c r="A465" s="1"/>
    </row>
    <row r="466" spans="1:1" x14ac:dyDescent="0.25">
      <c r="A466" s="1"/>
    </row>
    <row r="467" spans="1:1" x14ac:dyDescent="0.25">
      <c r="A467" s="1"/>
    </row>
    <row r="468" spans="1:1" x14ac:dyDescent="0.25">
      <c r="A468" s="1"/>
    </row>
    <row r="469" spans="1:1" x14ac:dyDescent="0.25">
      <c r="A469" s="1"/>
    </row>
    <row r="470" spans="1:1" x14ac:dyDescent="0.25">
      <c r="A470" s="1"/>
    </row>
    <row r="471" spans="1:1" x14ac:dyDescent="0.25">
      <c r="A471" s="1"/>
    </row>
    <row r="472" spans="1:1" x14ac:dyDescent="0.25">
      <c r="A472" s="1"/>
    </row>
    <row r="473" spans="1:1" x14ac:dyDescent="0.25">
      <c r="A473" s="1"/>
    </row>
    <row r="474" spans="1:1" x14ac:dyDescent="0.25">
      <c r="A474" s="1"/>
    </row>
    <row r="475" spans="1:1" x14ac:dyDescent="0.25">
      <c r="A475" s="1"/>
    </row>
    <row r="476" spans="1:1" x14ac:dyDescent="0.25">
      <c r="A476" s="1"/>
    </row>
    <row r="477" spans="1:1" x14ac:dyDescent="0.25">
      <c r="A477" s="1"/>
    </row>
    <row r="478" spans="1:1" x14ac:dyDescent="0.25">
      <c r="A478" s="1"/>
    </row>
    <row r="479" spans="1:1" x14ac:dyDescent="0.25">
      <c r="A479" s="1"/>
    </row>
    <row r="480" spans="1:1" x14ac:dyDescent="0.25">
      <c r="A480" s="1"/>
    </row>
    <row r="481" spans="1:1" x14ac:dyDescent="0.25">
      <c r="A481" s="1"/>
    </row>
    <row r="482" spans="1:1" x14ac:dyDescent="0.25">
      <c r="A482" s="1"/>
    </row>
    <row r="483" spans="1:1" x14ac:dyDescent="0.25">
      <c r="A483" s="1"/>
    </row>
    <row r="484" spans="1:1" x14ac:dyDescent="0.25">
      <c r="A484" s="1"/>
    </row>
    <row r="485" spans="1:1" x14ac:dyDescent="0.25">
      <c r="A485" s="1"/>
    </row>
    <row r="486" spans="1:1" x14ac:dyDescent="0.25">
      <c r="A486" s="1"/>
    </row>
    <row r="487" spans="1:1" x14ac:dyDescent="0.25">
      <c r="A487" s="1"/>
    </row>
    <row r="488" spans="1:1" x14ac:dyDescent="0.25">
      <c r="A488" s="1"/>
    </row>
    <row r="489" spans="1:1" x14ac:dyDescent="0.25">
      <c r="A489" s="1"/>
    </row>
    <row r="490" spans="1:1" x14ac:dyDescent="0.25">
      <c r="A490" s="1"/>
    </row>
    <row r="491" spans="1:1" x14ac:dyDescent="0.25">
      <c r="A491" s="1"/>
    </row>
    <row r="492" spans="1:1" x14ac:dyDescent="0.25">
      <c r="A492" s="1"/>
    </row>
    <row r="493" spans="1:1" x14ac:dyDescent="0.25">
      <c r="A493" s="1"/>
    </row>
    <row r="494" spans="1:1" x14ac:dyDescent="0.25">
      <c r="A494" s="1"/>
    </row>
    <row r="495" spans="1:1" x14ac:dyDescent="0.25">
      <c r="A495" s="1"/>
    </row>
    <row r="496" spans="1:1" x14ac:dyDescent="0.25">
      <c r="A496" s="1"/>
    </row>
    <row r="497" spans="1:1" x14ac:dyDescent="0.25">
      <c r="A497" s="1"/>
    </row>
    <row r="498" spans="1:1" x14ac:dyDescent="0.25">
      <c r="A498" s="1"/>
    </row>
    <row r="499" spans="1:1" x14ac:dyDescent="0.25">
      <c r="A499" s="1"/>
    </row>
    <row r="500" spans="1:1" x14ac:dyDescent="0.25">
      <c r="A500" s="1"/>
    </row>
    <row r="501" spans="1:1" x14ac:dyDescent="0.25">
      <c r="A501" s="1"/>
    </row>
    <row r="502" spans="1:1" x14ac:dyDescent="0.25">
      <c r="A502" s="1"/>
    </row>
    <row r="503" spans="1:1" x14ac:dyDescent="0.25">
      <c r="A503" s="1"/>
    </row>
    <row r="504" spans="1:1" x14ac:dyDescent="0.25">
      <c r="A504" s="1"/>
    </row>
    <row r="505" spans="1:1" x14ac:dyDescent="0.25">
      <c r="A505" s="1"/>
    </row>
    <row r="506" spans="1:1" x14ac:dyDescent="0.25">
      <c r="A506" s="1"/>
    </row>
    <row r="507" spans="1:1" x14ac:dyDescent="0.25">
      <c r="A507" s="1"/>
    </row>
    <row r="508" spans="1:1" x14ac:dyDescent="0.25">
      <c r="A508" s="1"/>
    </row>
    <row r="509" spans="1:1" x14ac:dyDescent="0.25">
      <c r="A509" s="1"/>
    </row>
    <row r="510" spans="1:1" x14ac:dyDescent="0.25">
      <c r="A510" s="1"/>
    </row>
    <row r="511" spans="1:1" x14ac:dyDescent="0.25">
      <c r="A511" s="1"/>
    </row>
    <row r="512" spans="1:1" x14ac:dyDescent="0.25">
      <c r="A512" s="1"/>
    </row>
    <row r="513" spans="1:1" x14ac:dyDescent="0.25">
      <c r="A513" s="1"/>
    </row>
    <row r="514" spans="1:1" x14ac:dyDescent="0.25">
      <c r="A514" s="1"/>
    </row>
    <row r="515" spans="1:1" x14ac:dyDescent="0.25">
      <c r="A515" s="1"/>
    </row>
    <row r="516" spans="1:1" x14ac:dyDescent="0.25">
      <c r="A516" s="1"/>
    </row>
    <row r="517" spans="1:1" x14ac:dyDescent="0.25">
      <c r="A517" s="1"/>
    </row>
    <row r="518" spans="1:1" x14ac:dyDescent="0.25">
      <c r="A518" s="1"/>
    </row>
    <row r="519" spans="1:1" x14ac:dyDescent="0.25">
      <c r="A519" s="1"/>
    </row>
    <row r="520" spans="1:1" x14ac:dyDescent="0.25">
      <c r="A520" s="1"/>
    </row>
    <row r="521" spans="1:1" x14ac:dyDescent="0.25">
      <c r="A521" s="1"/>
    </row>
    <row r="522" spans="1:1" x14ac:dyDescent="0.25">
      <c r="A522" s="1"/>
    </row>
    <row r="523" spans="1:1" x14ac:dyDescent="0.25">
      <c r="A523" s="1"/>
    </row>
    <row r="524" spans="1:1" x14ac:dyDescent="0.25">
      <c r="A524" s="1"/>
    </row>
    <row r="525" spans="1:1" x14ac:dyDescent="0.25">
      <c r="A525" s="1"/>
    </row>
    <row r="526" spans="1:1" x14ac:dyDescent="0.25">
      <c r="A526" s="1"/>
    </row>
    <row r="527" spans="1:1" x14ac:dyDescent="0.25">
      <c r="A527" s="1"/>
    </row>
    <row r="528" spans="1:1" x14ac:dyDescent="0.25">
      <c r="A528" s="1"/>
    </row>
    <row r="529" spans="1:1" x14ac:dyDescent="0.25">
      <c r="A529" s="1"/>
    </row>
    <row r="530" spans="1:1" x14ac:dyDescent="0.25">
      <c r="A530" s="1"/>
    </row>
    <row r="531" spans="1:1" x14ac:dyDescent="0.25">
      <c r="A531" s="1"/>
    </row>
    <row r="532" spans="1:1" x14ac:dyDescent="0.25">
      <c r="A532" s="1"/>
    </row>
    <row r="533" spans="1:1" x14ac:dyDescent="0.25">
      <c r="A533" s="1"/>
    </row>
    <row r="534" spans="1:1" x14ac:dyDescent="0.25">
      <c r="A534" s="1"/>
    </row>
    <row r="535" spans="1:1" x14ac:dyDescent="0.25">
      <c r="A535" s="1"/>
    </row>
    <row r="536" spans="1:1" x14ac:dyDescent="0.25">
      <c r="A536" s="1"/>
    </row>
    <row r="537" spans="1:1" x14ac:dyDescent="0.25">
      <c r="A537" s="1"/>
    </row>
    <row r="538" spans="1:1" x14ac:dyDescent="0.25">
      <c r="A538" s="1"/>
    </row>
    <row r="539" spans="1:1" x14ac:dyDescent="0.25">
      <c r="A539" s="1"/>
    </row>
    <row r="540" spans="1:1" x14ac:dyDescent="0.25">
      <c r="A540" s="1"/>
    </row>
    <row r="541" spans="1:1" x14ac:dyDescent="0.25">
      <c r="A541" s="1"/>
    </row>
    <row r="542" spans="1:1" x14ac:dyDescent="0.25">
      <c r="A542" s="1"/>
    </row>
    <row r="543" spans="1:1" x14ac:dyDescent="0.25">
      <c r="A543" s="1"/>
    </row>
    <row r="544" spans="1:1" x14ac:dyDescent="0.25">
      <c r="A544" s="1"/>
    </row>
    <row r="545" spans="1:1" x14ac:dyDescent="0.25">
      <c r="A545" s="1"/>
    </row>
    <row r="546" spans="1:1" x14ac:dyDescent="0.25">
      <c r="A546" s="1"/>
    </row>
    <row r="547" spans="1:1" x14ac:dyDescent="0.25">
      <c r="A547" s="1"/>
    </row>
    <row r="548" spans="1:1" x14ac:dyDescent="0.25">
      <c r="A548" s="1"/>
    </row>
    <row r="549" spans="1:1" x14ac:dyDescent="0.25">
      <c r="A549" s="1"/>
    </row>
    <row r="550" spans="1:1" x14ac:dyDescent="0.25">
      <c r="A550" s="1"/>
    </row>
    <row r="551" spans="1:1" x14ac:dyDescent="0.25">
      <c r="A551" s="1"/>
    </row>
    <row r="552" spans="1:1" x14ac:dyDescent="0.25">
      <c r="A552" s="1"/>
    </row>
    <row r="553" spans="1:1" x14ac:dyDescent="0.25">
      <c r="A553" s="1"/>
    </row>
    <row r="554" spans="1:1" x14ac:dyDescent="0.25">
      <c r="A554" s="1"/>
    </row>
    <row r="555" spans="1:1" x14ac:dyDescent="0.25">
      <c r="A555" s="1"/>
    </row>
    <row r="556" spans="1:1" x14ac:dyDescent="0.25">
      <c r="A556" s="1"/>
    </row>
    <row r="557" spans="1:1" x14ac:dyDescent="0.25">
      <c r="A557" s="1"/>
    </row>
    <row r="558" spans="1:1" x14ac:dyDescent="0.25">
      <c r="A558" s="1"/>
    </row>
    <row r="559" spans="1:1" x14ac:dyDescent="0.25">
      <c r="A559" s="1"/>
    </row>
    <row r="560" spans="1:1" x14ac:dyDescent="0.25">
      <c r="A560" s="1"/>
    </row>
    <row r="561" spans="1:1" x14ac:dyDescent="0.25">
      <c r="A561" s="1"/>
    </row>
    <row r="562" spans="1:1" x14ac:dyDescent="0.25">
      <c r="A562" s="1"/>
    </row>
    <row r="563" spans="1:1" x14ac:dyDescent="0.25">
      <c r="A563" s="1"/>
    </row>
    <row r="564" spans="1:1" x14ac:dyDescent="0.25">
      <c r="A564" s="1"/>
    </row>
    <row r="565" spans="1:1" x14ac:dyDescent="0.25">
      <c r="A565" s="1"/>
    </row>
    <row r="566" spans="1:1" x14ac:dyDescent="0.25">
      <c r="A566" s="1"/>
    </row>
    <row r="567" spans="1:1" x14ac:dyDescent="0.25">
      <c r="A567" s="1"/>
    </row>
    <row r="568" spans="1:1" x14ac:dyDescent="0.25">
      <c r="A568" s="1"/>
    </row>
    <row r="569" spans="1:1" x14ac:dyDescent="0.25">
      <c r="A569" s="1"/>
    </row>
    <row r="570" spans="1:1" x14ac:dyDescent="0.25">
      <c r="A570" s="1"/>
    </row>
    <row r="571" spans="1:1" x14ac:dyDescent="0.25">
      <c r="A571" s="1"/>
    </row>
    <row r="572" spans="1:1" x14ac:dyDescent="0.25">
      <c r="A572" s="1"/>
    </row>
    <row r="573" spans="1:1" x14ac:dyDescent="0.25">
      <c r="A573" s="1"/>
    </row>
    <row r="574" spans="1:1" x14ac:dyDescent="0.25">
      <c r="A574" s="1"/>
    </row>
    <row r="575" spans="1:1" x14ac:dyDescent="0.25">
      <c r="A575" s="1"/>
    </row>
    <row r="576" spans="1:1" x14ac:dyDescent="0.25">
      <c r="A576" s="1"/>
    </row>
    <row r="577" spans="1:1" x14ac:dyDescent="0.25">
      <c r="A577" s="1"/>
    </row>
    <row r="578" spans="1:1" x14ac:dyDescent="0.25">
      <c r="A578" s="1"/>
    </row>
    <row r="579" spans="1:1" x14ac:dyDescent="0.25">
      <c r="A579" s="1"/>
    </row>
    <row r="580" spans="1:1" x14ac:dyDescent="0.25">
      <c r="A580" s="1"/>
    </row>
    <row r="581" spans="1:1" x14ac:dyDescent="0.25">
      <c r="A581" s="1"/>
    </row>
    <row r="582" spans="1:1" x14ac:dyDescent="0.25">
      <c r="A582" s="1"/>
    </row>
    <row r="583" spans="1:1" x14ac:dyDescent="0.25">
      <c r="A583" s="1"/>
    </row>
    <row r="584" spans="1:1" x14ac:dyDescent="0.25">
      <c r="A584" s="1"/>
    </row>
    <row r="585" spans="1:1" x14ac:dyDescent="0.25">
      <c r="A585" s="1"/>
    </row>
    <row r="586" spans="1:1" x14ac:dyDescent="0.25">
      <c r="A586" s="1"/>
    </row>
    <row r="587" spans="1:1" x14ac:dyDescent="0.25">
      <c r="A587" s="1"/>
    </row>
    <row r="588" spans="1:1" x14ac:dyDescent="0.25">
      <c r="A588" s="1"/>
    </row>
    <row r="589" spans="1:1" x14ac:dyDescent="0.25">
      <c r="A589" s="1"/>
    </row>
    <row r="590" spans="1:1" x14ac:dyDescent="0.25">
      <c r="A590" s="1"/>
    </row>
    <row r="591" spans="1:1" x14ac:dyDescent="0.25">
      <c r="A591" s="1"/>
    </row>
    <row r="592" spans="1:1"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sheetData>
  <sheetProtection algorithmName="SHA-512" hashValue="IWMhcic3YVQyx2cF+YkDM9TXu8COPquoWcivA+jwPDBocWxa7rTeromrhDXvmLroBwAnBjssdDFUf8+8ejFPcw==" saltValue="Rfu3HeccLR0rHLABjLiJnQ==" spinCount="100000" sheet="1" objects="1" scenarios="1"/>
  <mergeCells count="1">
    <mergeCell ref="X1:Z3"/>
  </mergeCells>
  <conditionalFormatting sqref="B2:V43">
    <cfRule type="colorScale" priority="1">
      <colorScale>
        <cfvo type="min"/>
        <cfvo type="percentile" val="50"/>
        <cfvo type="max"/>
        <color rgb="FF5A8AC6"/>
        <color rgb="FFFCFCFF"/>
        <color rgb="FFF8696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ummaryRight="0"/>
  </sheetPr>
  <dimension ref="A1:X43"/>
  <sheetViews>
    <sheetView zoomScale="70" zoomScaleNormal="70" workbookViewId="0">
      <selection activeCell="Y12" sqref="Y12"/>
    </sheetView>
  </sheetViews>
  <sheetFormatPr defaultColWidth="12.5546875" defaultRowHeight="13.2" x14ac:dyDescent="0.25"/>
  <cols>
    <col min="1" max="1" width="6.6640625" style="2" bestFit="1" customWidth="1"/>
    <col min="2" max="24" width="4.88671875" style="2" bestFit="1" customWidth="1"/>
    <col min="25" max="16384" width="12.5546875" style="2"/>
  </cols>
  <sheetData>
    <row r="1" spans="1:24" x14ac:dyDescent="0.25">
      <c r="A1" s="3" t="s">
        <v>0</v>
      </c>
      <c r="B1" s="4">
        <v>0</v>
      </c>
      <c r="C1" s="4">
        <v>0.6</v>
      </c>
      <c r="D1" s="4">
        <v>1.2</v>
      </c>
      <c r="E1" s="4">
        <v>1.9</v>
      </c>
      <c r="F1" s="4">
        <v>2.5</v>
      </c>
      <c r="G1" s="4">
        <v>3.1</v>
      </c>
      <c r="H1" s="4">
        <v>3.7</v>
      </c>
      <c r="I1" s="4">
        <v>4.4000000000000004</v>
      </c>
      <c r="J1" s="4">
        <v>5.6</v>
      </c>
      <c r="K1" s="4">
        <v>6.8</v>
      </c>
      <c r="L1" s="4">
        <v>8.1</v>
      </c>
      <c r="M1" s="4">
        <v>9.3000000000000007</v>
      </c>
      <c r="N1" s="4">
        <v>10.6</v>
      </c>
      <c r="O1" s="4">
        <v>15.5</v>
      </c>
      <c r="P1" s="4">
        <v>20.5</v>
      </c>
      <c r="Q1" s="4">
        <v>25.5</v>
      </c>
      <c r="R1" s="4">
        <v>30.5</v>
      </c>
      <c r="S1" s="4">
        <v>40.4</v>
      </c>
      <c r="T1" s="4">
        <v>50.4</v>
      </c>
      <c r="U1" s="4">
        <v>60.3</v>
      </c>
      <c r="V1" s="4">
        <v>70.3</v>
      </c>
      <c r="W1" s="4">
        <v>90.2</v>
      </c>
      <c r="X1" s="5">
        <v>100</v>
      </c>
    </row>
    <row r="2" spans="1:24" x14ac:dyDescent="0.25">
      <c r="A2" s="6">
        <v>800</v>
      </c>
      <c r="B2" s="17">
        <v>13.2</v>
      </c>
      <c r="C2" s="17">
        <v>13.2</v>
      </c>
      <c r="D2" s="17">
        <v>13.2</v>
      </c>
      <c r="E2" s="17">
        <v>13.2</v>
      </c>
      <c r="F2" s="17">
        <v>13.2</v>
      </c>
      <c r="G2" s="17">
        <v>13.2</v>
      </c>
      <c r="H2" s="17">
        <v>13.2</v>
      </c>
      <c r="I2" s="17">
        <v>13.2</v>
      </c>
      <c r="J2" s="17">
        <v>13.2</v>
      </c>
      <c r="K2" s="17">
        <v>13.2</v>
      </c>
      <c r="L2" s="17">
        <v>13.2</v>
      </c>
      <c r="M2" s="17">
        <v>13.2</v>
      </c>
      <c r="N2" s="17">
        <v>13.2</v>
      </c>
      <c r="O2" s="17">
        <v>13.2</v>
      </c>
      <c r="P2" s="17">
        <v>13.2</v>
      </c>
      <c r="Q2" s="17">
        <v>13.2</v>
      </c>
      <c r="R2" s="17">
        <v>13.2</v>
      </c>
      <c r="S2" s="17">
        <v>13.2</v>
      </c>
      <c r="T2" s="17">
        <v>13.2</v>
      </c>
      <c r="U2" s="17">
        <v>13.2</v>
      </c>
      <c r="V2" s="17">
        <v>13.2</v>
      </c>
      <c r="W2" s="17">
        <v>13.2</v>
      </c>
      <c r="X2" s="17">
        <v>13.2</v>
      </c>
    </row>
    <row r="3" spans="1:24" x14ac:dyDescent="0.25">
      <c r="A3" s="6">
        <v>1000</v>
      </c>
      <c r="B3" s="17">
        <v>13.2</v>
      </c>
      <c r="C3" s="17">
        <v>13.2</v>
      </c>
      <c r="D3" s="17">
        <v>13.2</v>
      </c>
      <c r="E3" s="17">
        <v>13.2</v>
      </c>
      <c r="F3" s="17">
        <v>13.2</v>
      </c>
      <c r="G3" s="17">
        <v>13.2</v>
      </c>
      <c r="H3" s="17">
        <v>13.2</v>
      </c>
      <c r="I3" s="17">
        <v>13.2</v>
      </c>
      <c r="J3" s="17">
        <v>13.2</v>
      </c>
      <c r="K3" s="17">
        <v>13.2</v>
      </c>
      <c r="L3" s="17">
        <v>13.2</v>
      </c>
      <c r="M3" s="17">
        <v>13.2</v>
      </c>
      <c r="N3" s="17">
        <v>13.2</v>
      </c>
      <c r="O3" s="17">
        <v>13.2</v>
      </c>
      <c r="P3" s="17">
        <v>13.2</v>
      </c>
      <c r="Q3" s="17">
        <v>13.2</v>
      </c>
      <c r="R3" s="17">
        <v>13.2</v>
      </c>
      <c r="S3" s="17">
        <v>13.2</v>
      </c>
      <c r="T3" s="17">
        <v>13.2</v>
      </c>
      <c r="U3" s="17">
        <v>13.2</v>
      </c>
      <c r="V3" s="17">
        <v>13.2</v>
      </c>
      <c r="W3" s="17">
        <v>13.2</v>
      </c>
      <c r="X3" s="17">
        <v>13.2</v>
      </c>
    </row>
    <row r="4" spans="1:24" x14ac:dyDescent="0.25">
      <c r="A4" s="6">
        <v>1200</v>
      </c>
      <c r="B4" s="17">
        <v>13.2</v>
      </c>
      <c r="C4" s="17">
        <v>13.2</v>
      </c>
      <c r="D4" s="17">
        <v>13.2</v>
      </c>
      <c r="E4" s="17">
        <v>13.2</v>
      </c>
      <c r="F4" s="17">
        <v>13.2</v>
      </c>
      <c r="G4" s="17">
        <v>13.2</v>
      </c>
      <c r="H4" s="17">
        <v>13.2</v>
      </c>
      <c r="I4" s="17">
        <v>13.2</v>
      </c>
      <c r="J4" s="17">
        <v>13.2</v>
      </c>
      <c r="K4" s="17">
        <v>13.2</v>
      </c>
      <c r="L4" s="17">
        <v>13.2</v>
      </c>
      <c r="M4" s="17">
        <v>13.2</v>
      </c>
      <c r="N4" s="17">
        <v>13.2</v>
      </c>
      <c r="O4" s="17">
        <v>13.2</v>
      </c>
      <c r="P4" s="17">
        <v>13.2</v>
      </c>
      <c r="Q4" s="17">
        <v>13.2</v>
      </c>
      <c r="R4" s="17">
        <v>13.2</v>
      </c>
      <c r="S4" s="17">
        <v>13.2</v>
      </c>
      <c r="T4" s="17">
        <v>13.2</v>
      </c>
      <c r="U4" s="17">
        <v>13.2</v>
      </c>
      <c r="V4" s="17">
        <v>13.2</v>
      </c>
      <c r="W4" s="17">
        <v>13.2</v>
      </c>
      <c r="X4" s="17">
        <v>13.2</v>
      </c>
    </row>
    <row r="5" spans="1:24" x14ac:dyDescent="0.25">
      <c r="A5" s="6">
        <v>1400</v>
      </c>
      <c r="B5" s="17">
        <v>13.2</v>
      </c>
      <c r="C5" s="17">
        <v>13.2</v>
      </c>
      <c r="D5" s="17">
        <v>13.2</v>
      </c>
      <c r="E5" s="17">
        <v>13.2</v>
      </c>
      <c r="F5" s="17">
        <v>13.2</v>
      </c>
      <c r="G5" s="17">
        <v>13.2</v>
      </c>
      <c r="H5" s="17">
        <v>13.2</v>
      </c>
      <c r="I5" s="17">
        <v>13.2</v>
      </c>
      <c r="J5" s="17">
        <v>13.2</v>
      </c>
      <c r="K5" s="17">
        <v>13.2</v>
      </c>
      <c r="L5" s="17">
        <v>13.2</v>
      </c>
      <c r="M5" s="17">
        <v>13.2</v>
      </c>
      <c r="N5" s="17">
        <v>13.2</v>
      </c>
      <c r="O5" s="17">
        <v>13.2</v>
      </c>
      <c r="P5" s="17">
        <v>13.2</v>
      </c>
      <c r="Q5" s="17">
        <v>13.2</v>
      </c>
      <c r="R5" s="17">
        <v>13.2</v>
      </c>
      <c r="S5" s="17">
        <v>13.2</v>
      </c>
      <c r="T5" s="17">
        <v>13.2</v>
      </c>
      <c r="U5" s="17">
        <v>13.2</v>
      </c>
      <c r="V5" s="17">
        <v>13.2</v>
      </c>
      <c r="W5" s="17">
        <v>13.2</v>
      </c>
      <c r="X5" s="17">
        <v>13.2</v>
      </c>
    </row>
    <row r="6" spans="1:24" x14ac:dyDescent="0.25">
      <c r="A6" s="6">
        <v>1600</v>
      </c>
      <c r="B6" s="17">
        <v>13.2</v>
      </c>
      <c r="C6" s="17">
        <v>13.2</v>
      </c>
      <c r="D6" s="17">
        <v>13.2</v>
      </c>
      <c r="E6" s="17">
        <v>13.2</v>
      </c>
      <c r="F6" s="17">
        <v>13.2</v>
      </c>
      <c r="G6" s="17">
        <v>13.2</v>
      </c>
      <c r="H6" s="17">
        <v>13.2</v>
      </c>
      <c r="I6" s="17">
        <v>13.2</v>
      </c>
      <c r="J6" s="17">
        <v>13.2</v>
      </c>
      <c r="K6" s="17">
        <v>13.2</v>
      </c>
      <c r="L6" s="17">
        <v>13.2</v>
      </c>
      <c r="M6" s="17">
        <v>13.2</v>
      </c>
      <c r="N6" s="17">
        <v>13.2</v>
      </c>
      <c r="O6" s="17">
        <v>13.2</v>
      </c>
      <c r="P6" s="17">
        <v>13.2</v>
      </c>
      <c r="Q6" s="17">
        <v>13.2</v>
      </c>
      <c r="R6" s="17">
        <v>13.2</v>
      </c>
      <c r="S6" s="17">
        <v>13.2</v>
      </c>
      <c r="T6" s="17">
        <v>13.2</v>
      </c>
      <c r="U6" s="17">
        <v>13.2</v>
      </c>
      <c r="V6" s="17">
        <v>13.2</v>
      </c>
      <c r="W6" s="17">
        <v>13.2</v>
      </c>
      <c r="X6" s="17">
        <v>13.2</v>
      </c>
    </row>
    <row r="7" spans="1:24" x14ac:dyDescent="0.25">
      <c r="A7" s="6">
        <v>1800</v>
      </c>
      <c r="B7" s="17">
        <v>13.2</v>
      </c>
      <c r="C7" s="17">
        <v>13.2</v>
      </c>
      <c r="D7" s="17">
        <v>13.2</v>
      </c>
      <c r="E7" s="17">
        <v>13.2</v>
      </c>
      <c r="F7" s="17">
        <v>13.2</v>
      </c>
      <c r="G7" s="17">
        <v>13.2</v>
      </c>
      <c r="H7" s="17">
        <v>13.2</v>
      </c>
      <c r="I7" s="17">
        <v>13.2</v>
      </c>
      <c r="J7" s="17">
        <v>13.2</v>
      </c>
      <c r="K7" s="17">
        <v>13.2</v>
      </c>
      <c r="L7" s="17">
        <v>13.2</v>
      </c>
      <c r="M7" s="17">
        <v>13.2</v>
      </c>
      <c r="N7" s="17">
        <v>13.2</v>
      </c>
      <c r="O7" s="17">
        <v>13.2</v>
      </c>
      <c r="P7" s="17">
        <v>13.2</v>
      </c>
      <c r="Q7" s="17">
        <v>13.2</v>
      </c>
      <c r="R7" s="17">
        <v>13.2</v>
      </c>
      <c r="S7" s="17">
        <v>13.2</v>
      </c>
      <c r="T7" s="17">
        <v>13.2</v>
      </c>
      <c r="U7" s="17">
        <v>13.2</v>
      </c>
      <c r="V7" s="17">
        <v>13.2</v>
      </c>
      <c r="W7" s="17">
        <v>13.2</v>
      </c>
      <c r="X7" s="17">
        <v>13.2</v>
      </c>
    </row>
    <row r="8" spans="1:24" x14ac:dyDescent="0.25">
      <c r="A8" s="6">
        <v>2000</v>
      </c>
      <c r="B8" s="17">
        <v>13.2</v>
      </c>
      <c r="C8" s="17">
        <v>13.2</v>
      </c>
      <c r="D8" s="17">
        <v>13.2</v>
      </c>
      <c r="E8" s="17">
        <v>13.2</v>
      </c>
      <c r="F8" s="17">
        <v>13.2</v>
      </c>
      <c r="G8" s="17">
        <v>13.2</v>
      </c>
      <c r="H8" s="17">
        <v>13.2</v>
      </c>
      <c r="I8" s="17">
        <v>13.2</v>
      </c>
      <c r="J8" s="17">
        <v>13.2</v>
      </c>
      <c r="K8" s="17">
        <v>13.2</v>
      </c>
      <c r="L8" s="17">
        <v>13.2</v>
      </c>
      <c r="M8" s="17">
        <v>13.2</v>
      </c>
      <c r="N8" s="17">
        <v>13.2</v>
      </c>
      <c r="O8" s="17">
        <v>13.2</v>
      </c>
      <c r="P8" s="17">
        <v>13.2</v>
      </c>
      <c r="Q8" s="17">
        <v>13.2</v>
      </c>
      <c r="R8" s="17">
        <v>13.2</v>
      </c>
      <c r="S8" s="17">
        <v>13.2</v>
      </c>
      <c r="T8" s="17">
        <v>13.2</v>
      </c>
      <c r="U8" s="17">
        <v>13.2</v>
      </c>
      <c r="V8" s="17">
        <v>13.2</v>
      </c>
      <c r="W8" s="17">
        <v>13.2</v>
      </c>
      <c r="X8" s="18">
        <v>13.2</v>
      </c>
    </row>
    <row r="9" spans="1:24" x14ac:dyDescent="0.25">
      <c r="A9" s="6">
        <v>2200</v>
      </c>
      <c r="B9" s="17">
        <v>13.2</v>
      </c>
      <c r="C9" s="17">
        <v>13.2</v>
      </c>
      <c r="D9" s="17">
        <v>13.2</v>
      </c>
      <c r="E9" s="17">
        <v>13.2</v>
      </c>
      <c r="F9" s="17">
        <v>13.2</v>
      </c>
      <c r="G9" s="17">
        <v>13.2</v>
      </c>
      <c r="H9" s="17">
        <v>13.2</v>
      </c>
      <c r="I9" s="17">
        <v>13.2</v>
      </c>
      <c r="J9" s="17">
        <v>13.2</v>
      </c>
      <c r="K9" s="17">
        <v>13.2</v>
      </c>
      <c r="L9" s="17">
        <v>13.2</v>
      </c>
      <c r="M9" s="17">
        <v>13.2</v>
      </c>
      <c r="N9" s="17">
        <v>13.2</v>
      </c>
      <c r="O9" s="17">
        <v>13.2</v>
      </c>
      <c r="P9" s="17">
        <v>13.2</v>
      </c>
      <c r="Q9" s="17">
        <v>13.2</v>
      </c>
      <c r="R9" s="17">
        <v>13.2</v>
      </c>
      <c r="S9" s="17">
        <v>13.2</v>
      </c>
      <c r="T9" s="17">
        <v>13.2</v>
      </c>
      <c r="U9" s="17">
        <v>13.2</v>
      </c>
      <c r="V9" s="17">
        <v>13.2</v>
      </c>
      <c r="W9" s="17">
        <v>13.2</v>
      </c>
      <c r="X9" s="18">
        <v>13.2</v>
      </c>
    </row>
    <row r="10" spans="1:24" x14ac:dyDescent="0.25">
      <c r="A10" s="6">
        <v>2400</v>
      </c>
      <c r="B10" s="17">
        <v>13.2</v>
      </c>
      <c r="C10" s="17">
        <v>13.2</v>
      </c>
      <c r="D10" s="17">
        <v>13.2</v>
      </c>
      <c r="E10" s="17">
        <v>13.2</v>
      </c>
      <c r="F10" s="17">
        <v>13.2</v>
      </c>
      <c r="G10" s="17">
        <v>13.2</v>
      </c>
      <c r="H10" s="17">
        <v>13.4</v>
      </c>
      <c r="I10" s="17">
        <v>13.4</v>
      </c>
      <c r="J10" s="17">
        <v>13.4</v>
      </c>
      <c r="K10" s="17">
        <v>13.4</v>
      </c>
      <c r="L10" s="17">
        <v>13.4</v>
      </c>
      <c r="M10" s="17">
        <v>13.4</v>
      </c>
      <c r="N10" s="17">
        <v>13.2</v>
      </c>
      <c r="O10" s="17">
        <v>13.2</v>
      </c>
      <c r="P10" s="17">
        <v>13.2</v>
      </c>
      <c r="Q10" s="17">
        <v>13.2</v>
      </c>
      <c r="R10" s="17">
        <v>13.2</v>
      </c>
      <c r="S10" s="17">
        <v>13.2</v>
      </c>
      <c r="T10" s="17">
        <v>13.2</v>
      </c>
      <c r="U10" s="17">
        <v>13.2</v>
      </c>
      <c r="V10" s="17">
        <v>13.2</v>
      </c>
      <c r="W10" s="17">
        <v>13.2</v>
      </c>
      <c r="X10" s="18">
        <v>13.2</v>
      </c>
    </row>
    <row r="11" spans="1:24" x14ac:dyDescent="0.25">
      <c r="A11" s="6">
        <v>2600</v>
      </c>
      <c r="B11" s="17">
        <v>13.2</v>
      </c>
      <c r="C11" s="17">
        <v>13.2</v>
      </c>
      <c r="D11" s="17">
        <v>13.2</v>
      </c>
      <c r="E11" s="17">
        <v>13.2</v>
      </c>
      <c r="F11" s="17">
        <v>13.2</v>
      </c>
      <c r="G11" s="17">
        <v>13.2</v>
      </c>
      <c r="H11" s="17">
        <v>13.4</v>
      </c>
      <c r="I11" s="17">
        <v>13.4</v>
      </c>
      <c r="J11" s="17">
        <v>13.4</v>
      </c>
      <c r="K11" s="17">
        <v>13.4</v>
      </c>
      <c r="L11" s="17">
        <v>13.4</v>
      </c>
      <c r="M11" s="17">
        <v>13.4</v>
      </c>
      <c r="N11" s="17">
        <v>13.2</v>
      </c>
      <c r="O11" s="17">
        <v>13.2</v>
      </c>
      <c r="P11" s="17">
        <v>13.2</v>
      </c>
      <c r="Q11" s="17">
        <v>13.2</v>
      </c>
      <c r="R11" s="17">
        <v>13.2</v>
      </c>
      <c r="S11" s="17">
        <v>13.2</v>
      </c>
      <c r="T11" s="17">
        <v>13.2</v>
      </c>
      <c r="U11" s="17">
        <v>13.2</v>
      </c>
      <c r="V11" s="17">
        <v>13.2</v>
      </c>
      <c r="W11" s="17">
        <v>13.2</v>
      </c>
      <c r="X11" s="18">
        <v>13.2</v>
      </c>
    </row>
    <row r="12" spans="1:24" x14ac:dyDescent="0.25">
      <c r="A12" s="6">
        <v>2800</v>
      </c>
      <c r="B12" s="17">
        <v>13.2</v>
      </c>
      <c r="C12" s="17">
        <v>13.2</v>
      </c>
      <c r="D12" s="17">
        <v>13.2</v>
      </c>
      <c r="E12" s="17">
        <v>13.2</v>
      </c>
      <c r="F12" s="17">
        <v>13.2</v>
      </c>
      <c r="G12" s="17">
        <v>13.2</v>
      </c>
      <c r="H12" s="17">
        <v>13.4</v>
      </c>
      <c r="I12" s="17">
        <v>13.4</v>
      </c>
      <c r="J12" s="17">
        <v>13.4</v>
      </c>
      <c r="K12" s="17">
        <v>13.4</v>
      </c>
      <c r="L12" s="17">
        <v>13.4</v>
      </c>
      <c r="M12" s="17">
        <v>13.4</v>
      </c>
      <c r="N12" s="17">
        <v>13.2</v>
      </c>
      <c r="O12" s="17">
        <v>13.2</v>
      </c>
      <c r="P12" s="17">
        <v>13.2</v>
      </c>
      <c r="Q12" s="17">
        <v>13.2</v>
      </c>
      <c r="R12" s="17">
        <v>13.2</v>
      </c>
      <c r="S12" s="17">
        <v>13.2</v>
      </c>
      <c r="T12" s="17">
        <v>13.2</v>
      </c>
      <c r="U12" s="17">
        <v>13.2</v>
      </c>
      <c r="V12" s="17">
        <v>13.2</v>
      </c>
      <c r="W12" s="17">
        <v>13.2</v>
      </c>
      <c r="X12" s="18">
        <v>13.2</v>
      </c>
    </row>
    <row r="13" spans="1:24" x14ac:dyDescent="0.25">
      <c r="A13" s="6">
        <v>3000</v>
      </c>
      <c r="B13" s="17">
        <v>13.2</v>
      </c>
      <c r="C13" s="17">
        <v>13.2</v>
      </c>
      <c r="D13" s="17">
        <v>13.2</v>
      </c>
      <c r="E13" s="17">
        <v>13.2</v>
      </c>
      <c r="F13" s="17">
        <v>13.2</v>
      </c>
      <c r="G13" s="17">
        <v>13.2</v>
      </c>
      <c r="H13" s="17">
        <v>13.4</v>
      </c>
      <c r="I13" s="17">
        <v>13.4</v>
      </c>
      <c r="J13" s="17">
        <v>13.4</v>
      </c>
      <c r="K13" s="17">
        <v>13.4</v>
      </c>
      <c r="L13" s="17">
        <v>13.4</v>
      </c>
      <c r="M13" s="17">
        <v>13.4</v>
      </c>
      <c r="N13" s="17">
        <v>13.2</v>
      </c>
      <c r="O13" s="17">
        <v>13.2</v>
      </c>
      <c r="P13" s="17">
        <v>13.2</v>
      </c>
      <c r="Q13" s="17">
        <v>13.2</v>
      </c>
      <c r="R13" s="17">
        <v>13.2</v>
      </c>
      <c r="S13" s="17">
        <v>13.2</v>
      </c>
      <c r="T13" s="17">
        <v>13.2</v>
      </c>
      <c r="U13" s="17">
        <v>13.2</v>
      </c>
      <c r="V13" s="17">
        <v>13.2</v>
      </c>
      <c r="W13" s="17">
        <v>13.2</v>
      </c>
      <c r="X13" s="18">
        <v>13.2</v>
      </c>
    </row>
    <row r="14" spans="1:24" x14ac:dyDescent="0.25">
      <c r="A14" s="6">
        <v>3200</v>
      </c>
      <c r="B14" s="17">
        <v>13.2</v>
      </c>
      <c r="C14" s="17">
        <v>13.2</v>
      </c>
      <c r="D14" s="17">
        <v>13.2</v>
      </c>
      <c r="E14" s="17">
        <v>13.2</v>
      </c>
      <c r="F14" s="17">
        <v>13.2</v>
      </c>
      <c r="G14" s="17">
        <v>13.2</v>
      </c>
      <c r="H14" s="17">
        <v>13.4</v>
      </c>
      <c r="I14" s="17">
        <v>13.4</v>
      </c>
      <c r="J14" s="17">
        <v>13.4</v>
      </c>
      <c r="K14" s="17">
        <v>13.4</v>
      </c>
      <c r="L14" s="17">
        <v>13.4</v>
      </c>
      <c r="M14" s="17">
        <v>13.4</v>
      </c>
      <c r="N14" s="17">
        <v>13.2</v>
      </c>
      <c r="O14" s="17">
        <v>13.2</v>
      </c>
      <c r="P14" s="17">
        <v>13.2</v>
      </c>
      <c r="Q14" s="17">
        <v>13.2</v>
      </c>
      <c r="R14" s="17">
        <v>13.2</v>
      </c>
      <c r="S14" s="17">
        <v>13.2</v>
      </c>
      <c r="T14" s="17">
        <v>13.2</v>
      </c>
      <c r="U14" s="17">
        <v>13.2</v>
      </c>
      <c r="V14" s="17">
        <v>13.2</v>
      </c>
      <c r="W14" s="17">
        <v>13.2</v>
      </c>
      <c r="X14" s="18">
        <v>13.2</v>
      </c>
    </row>
    <row r="15" spans="1:24" x14ac:dyDescent="0.25">
      <c r="A15" s="6">
        <v>3400</v>
      </c>
      <c r="B15" s="17">
        <v>13.2</v>
      </c>
      <c r="C15" s="17">
        <v>13.2</v>
      </c>
      <c r="D15" s="17">
        <v>13.2</v>
      </c>
      <c r="E15" s="17">
        <v>13.2</v>
      </c>
      <c r="F15" s="17">
        <v>13.2</v>
      </c>
      <c r="G15" s="17">
        <v>13.2</v>
      </c>
      <c r="H15" s="17">
        <v>13.4</v>
      </c>
      <c r="I15" s="17">
        <v>13.4</v>
      </c>
      <c r="J15" s="17">
        <v>13.4</v>
      </c>
      <c r="K15" s="17">
        <v>13.4</v>
      </c>
      <c r="L15" s="17">
        <v>13.4</v>
      </c>
      <c r="M15" s="17">
        <v>13.4</v>
      </c>
      <c r="N15" s="17">
        <v>13.2</v>
      </c>
      <c r="O15" s="17">
        <v>13.2</v>
      </c>
      <c r="P15" s="17">
        <v>13.2</v>
      </c>
      <c r="Q15" s="17">
        <v>13.2</v>
      </c>
      <c r="R15" s="17">
        <v>13.2</v>
      </c>
      <c r="S15" s="17">
        <v>13.2</v>
      </c>
      <c r="T15" s="17">
        <v>13.2</v>
      </c>
      <c r="U15" s="17">
        <v>13.2</v>
      </c>
      <c r="V15" s="17">
        <v>13.2</v>
      </c>
      <c r="W15" s="17">
        <v>13.2</v>
      </c>
      <c r="X15" s="18">
        <v>13.2</v>
      </c>
    </row>
    <row r="16" spans="1:24" x14ac:dyDescent="0.25">
      <c r="A16" s="6">
        <v>3600</v>
      </c>
      <c r="B16" s="17">
        <v>13.2</v>
      </c>
      <c r="C16" s="17">
        <v>13.2</v>
      </c>
      <c r="D16" s="17">
        <v>13.2</v>
      </c>
      <c r="E16" s="17">
        <v>13.2</v>
      </c>
      <c r="F16" s="17">
        <v>13.2</v>
      </c>
      <c r="G16" s="17">
        <v>13.2</v>
      </c>
      <c r="H16" s="17">
        <v>13.4</v>
      </c>
      <c r="I16" s="17">
        <v>13.4</v>
      </c>
      <c r="J16" s="17">
        <v>13.4</v>
      </c>
      <c r="K16" s="17">
        <v>13.4</v>
      </c>
      <c r="L16" s="17">
        <v>13.4</v>
      </c>
      <c r="M16" s="17">
        <v>13.4</v>
      </c>
      <c r="N16" s="17">
        <v>13.2</v>
      </c>
      <c r="O16" s="17">
        <v>13.2</v>
      </c>
      <c r="P16" s="17">
        <v>13.2</v>
      </c>
      <c r="Q16" s="17">
        <v>13.2</v>
      </c>
      <c r="R16" s="17">
        <v>13.2</v>
      </c>
      <c r="S16" s="17">
        <v>13.2</v>
      </c>
      <c r="T16" s="17">
        <v>13.2</v>
      </c>
      <c r="U16" s="17">
        <v>13.2</v>
      </c>
      <c r="V16" s="17">
        <v>13.2</v>
      </c>
      <c r="W16" s="17">
        <v>13.2</v>
      </c>
      <c r="X16" s="18">
        <v>13.2</v>
      </c>
    </row>
    <row r="17" spans="1:24" x14ac:dyDescent="0.25">
      <c r="A17" s="6">
        <v>3800</v>
      </c>
      <c r="B17" s="17">
        <v>13.2</v>
      </c>
      <c r="C17" s="17">
        <v>13.2</v>
      </c>
      <c r="D17" s="17">
        <v>13.2</v>
      </c>
      <c r="E17" s="17">
        <v>13.2</v>
      </c>
      <c r="F17" s="17">
        <v>13.2</v>
      </c>
      <c r="G17" s="17">
        <v>13.2</v>
      </c>
      <c r="H17" s="17">
        <v>13.4</v>
      </c>
      <c r="I17" s="17">
        <v>13.5</v>
      </c>
      <c r="J17" s="17">
        <v>13.5</v>
      </c>
      <c r="K17" s="17">
        <v>13.5</v>
      </c>
      <c r="L17" s="17">
        <v>13.5</v>
      </c>
      <c r="M17" s="17">
        <v>13.5</v>
      </c>
      <c r="N17" s="17">
        <v>13.4</v>
      </c>
      <c r="O17" s="17">
        <v>13.2</v>
      </c>
      <c r="P17" s="17">
        <v>13.2</v>
      </c>
      <c r="Q17" s="17">
        <v>13.2</v>
      </c>
      <c r="R17" s="17">
        <v>13.2</v>
      </c>
      <c r="S17" s="17">
        <v>13.2</v>
      </c>
      <c r="T17" s="17">
        <v>13.2</v>
      </c>
      <c r="U17" s="17">
        <v>13.2</v>
      </c>
      <c r="V17" s="17">
        <v>13.2</v>
      </c>
      <c r="W17" s="17">
        <v>13.2</v>
      </c>
      <c r="X17" s="18">
        <v>13.2</v>
      </c>
    </row>
    <row r="18" spans="1:24" x14ac:dyDescent="0.25">
      <c r="A18" s="6">
        <v>4000</v>
      </c>
      <c r="B18" s="17">
        <v>13.2</v>
      </c>
      <c r="C18" s="17">
        <v>13.2</v>
      </c>
      <c r="D18" s="17">
        <v>13.2</v>
      </c>
      <c r="E18" s="17">
        <v>13.2</v>
      </c>
      <c r="F18" s="17">
        <v>13.2</v>
      </c>
      <c r="G18" s="17">
        <v>13.2</v>
      </c>
      <c r="H18" s="17">
        <v>13.4</v>
      </c>
      <c r="I18" s="17">
        <v>13.5</v>
      </c>
      <c r="J18" s="17">
        <v>13.5</v>
      </c>
      <c r="K18" s="17">
        <v>13.5</v>
      </c>
      <c r="L18" s="17">
        <v>13.5</v>
      </c>
      <c r="M18" s="17">
        <v>13.5</v>
      </c>
      <c r="N18" s="17">
        <v>13.4</v>
      </c>
      <c r="O18" s="17">
        <v>13.2</v>
      </c>
      <c r="P18" s="17">
        <v>13.2</v>
      </c>
      <c r="Q18" s="17">
        <v>13.2</v>
      </c>
      <c r="R18" s="17">
        <v>13.2</v>
      </c>
      <c r="S18" s="17">
        <v>13.2</v>
      </c>
      <c r="T18" s="17">
        <v>13.2</v>
      </c>
      <c r="U18" s="17">
        <v>13.2</v>
      </c>
      <c r="V18" s="17">
        <v>13.2</v>
      </c>
      <c r="W18" s="17">
        <v>13.2</v>
      </c>
      <c r="X18" s="18">
        <v>13.2</v>
      </c>
    </row>
    <row r="19" spans="1:24" x14ac:dyDescent="0.25">
      <c r="A19" s="6">
        <v>4200</v>
      </c>
      <c r="B19" s="17">
        <v>13.2</v>
      </c>
      <c r="C19" s="17">
        <v>13.2</v>
      </c>
      <c r="D19" s="17">
        <v>13.2</v>
      </c>
      <c r="E19" s="17">
        <v>13.2</v>
      </c>
      <c r="F19" s="17">
        <v>13.2</v>
      </c>
      <c r="G19" s="17">
        <v>13.4</v>
      </c>
      <c r="H19" s="17">
        <v>13.5</v>
      </c>
      <c r="I19" s="17">
        <v>13.6</v>
      </c>
      <c r="J19" s="17">
        <v>13.6</v>
      </c>
      <c r="K19" s="17">
        <v>13.6</v>
      </c>
      <c r="L19" s="17">
        <v>13.6</v>
      </c>
      <c r="M19" s="17">
        <v>13.6</v>
      </c>
      <c r="N19" s="17">
        <v>13.5</v>
      </c>
      <c r="O19" s="17">
        <v>13.4</v>
      </c>
      <c r="P19" s="17">
        <v>13.2</v>
      </c>
      <c r="Q19" s="17">
        <v>13.2</v>
      </c>
      <c r="R19" s="17">
        <v>13.2</v>
      </c>
      <c r="S19" s="17">
        <v>13.2</v>
      </c>
      <c r="T19" s="17">
        <v>13.2</v>
      </c>
      <c r="U19" s="17">
        <v>13.2</v>
      </c>
      <c r="V19" s="17">
        <v>13.2</v>
      </c>
      <c r="W19" s="17">
        <v>13.2</v>
      </c>
      <c r="X19" s="18">
        <v>13.2</v>
      </c>
    </row>
    <row r="20" spans="1:24" x14ac:dyDescent="0.25">
      <c r="A20" s="6">
        <v>4400</v>
      </c>
      <c r="B20" s="17">
        <v>13.2</v>
      </c>
      <c r="C20" s="17">
        <v>13.2</v>
      </c>
      <c r="D20" s="17">
        <v>13.2</v>
      </c>
      <c r="E20" s="17">
        <v>13.2</v>
      </c>
      <c r="F20" s="17">
        <v>13.2</v>
      </c>
      <c r="G20" s="17">
        <v>13.4</v>
      </c>
      <c r="H20" s="17">
        <v>13.5</v>
      </c>
      <c r="I20" s="17">
        <v>13.6</v>
      </c>
      <c r="J20" s="17">
        <v>13.6</v>
      </c>
      <c r="K20" s="17">
        <v>13.6</v>
      </c>
      <c r="L20" s="17">
        <v>13.6</v>
      </c>
      <c r="M20" s="17">
        <v>13.6</v>
      </c>
      <c r="N20" s="17">
        <v>13.5</v>
      </c>
      <c r="O20" s="17">
        <v>13.4</v>
      </c>
      <c r="P20" s="17">
        <v>13.2</v>
      </c>
      <c r="Q20" s="17">
        <v>13.2</v>
      </c>
      <c r="R20" s="17">
        <v>13.2</v>
      </c>
      <c r="S20" s="17">
        <v>13.2</v>
      </c>
      <c r="T20" s="17">
        <v>13.2</v>
      </c>
      <c r="U20" s="17">
        <v>13.2</v>
      </c>
      <c r="V20" s="17">
        <v>13.2</v>
      </c>
      <c r="W20" s="17">
        <v>13.2</v>
      </c>
      <c r="X20" s="18">
        <v>13.2</v>
      </c>
    </row>
    <row r="21" spans="1:24" x14ac:dyDescent="0.25">
      <c r="A21" s="6">
        <v>4600</v>
      </c>
      <c r="B21" s="17">
        <v>13.2</v>
      </c>
      <c r="C21" s="17">
        <v>13.2</v>
      </c>
      <c r="D21" s="17">
        <v>13.2</v>
      </c>
      <c r="E21" s="17">
        <v>13.2</v>
      </c>
      <c r="F21" s="17">
        <v>13.2</v>
      </c>
      <c r="G21" s="17">
        <v>13.4</v>
      </c>
      <c r="H21" s="17">
        <v>13.5</v>
      </c>
      <c r="I21" s="17">
        <v>13.6</v>
      </c>
      <c r="J21" s="17">
        <v>13.6</v>
      </c>
      <c r="K21" s="17">
        <v>13.6</v>
      </c>
      <c r="L21" s="17">
        <v>13.6</v>
      </c>
      <c r="M21" s="17">
        <v>13.6</v>
      </c>
      <c r="N21" s="17">
        <v>13.5</v>
      </c>
      <c r="O21" s="17">
        <v>13.4</v>
      </c>
      <c r="P21" s="17">
        <v>13.2</v>
      </c>
      <c r="Q21" s="17">
        <v>13.2</v>
      </c>
      <c r="R21" s="17">
        <v>13.2</v>
      </c>
      <c r="S21" s="17">
        <v>13.2</v>
      </c>
      <c r="T21" s="17">
        <v>13.2</v>
      </c>
      <c r="U21" s="17">
        <v>13.2</v>
      </c>
      <c r="V21" s="17">
        <v>13.2</v>
      </c>
      <c r="W21" s="17">
        <v>13.2</v>
      </c>
      <c r="X21" s="18">
        <v>13.2</v>
      </c>
    </row>
    <row r="22" spans="1:24" x14ac:dyDescent="0.25">
      <c r="A22" s="6">
        <v>4800</v>
      </c>
      <c r="B22" s="17">
        <v>13.2</v>
      </c>
      <c r="C22" s="17">
        <v>13.2</v>
      </c>
      <c r="D22" s="17">
        <v>13.2</v>
      </c>
      <c r="E22" s="17">
        <v>13.2</v>
      </c>
      <c r="F22" s="17">
        <v>13.2</v>
      </c>
      <c r="G22" s="17">
        <v>13.4</v>
      </c>
      <c r="H22" s="17">
        <v>13.5</v>
      </c>
      <c r="I22" s="17">
        <v>13.6</v>
      </c>
      <c r="J22" s="17">
        <v>13.6</v>
      </c>
      <c r="K22" s="17">
        <v>13.6</v>
      </c>
      <c r="L22" s="17">
        <v>13.6</v>
      </c>
      <c r="M22" s="17">
        <v>13.6</v>
      </c>
      <c r="N22" s="17">
        <v>13.5</v>
      </c>
      <c r="O22" s="17">
        <v>13.4</v>
      </c>
      <c r="P22" s="17">
        <v>13.2</v>
      </c>
      <c r="Q22" s="17">
        <v>13.2</v>
      </c>
      <c r="R22" s="17">
        <v>13.2</v>
      </c>
      <c r="S22" s="17">
        <v>13.2</v>
      </c>
      <c r="T22" s="17">
        <v>13.2</v>
      </c>
      <c r="U22" s="17">
        <v>13.2</v>
      </c>
      <c r="V22" s="17">
        <v>13.2</v>
      </c>
      <c r="W22" s="17">
        <v>13.2</v>
      </c>
      <c r="X22" s="18">
        <v>13.2</v>
      </c>
    </row>
    <row r="23" spans="1:24" x14ac:dyDescent="0.25">
      <c r="A23" s="6">
        <v>5000</v>
      </c>
      <c r="B23" s="17">
        <v>13.2</v>
      </c>
      <c r="C23" s="17">
        <v>13.2</v>
      </c>
      <c r="D23" s="17">
        <v>13.2</v>
      </c>
      <c r="E23" s="17">
        <v>13.2</v>
      </c>
      <c r="F23" s="17">
        <v>13.2</v>
      </c>
      <c r="G23" s="17">
        <v>13.4</v>
      </c>
      <c r="H23" s="17">
        <v>13.5</v>
      </c>
      <c r="I23" s="17">
        <v>13.6</v>
      </c>
      <c r="J23" s="17">
        <v>13.6</v>
      </c>
      <c r="K23" s="17">
        <v>13.6</v>
      </c>
      <c r="L23" s="17">
        <v>13.6</v>
      </c>
      <c r="M23" s="17">
        <v>13.6</v>
      </c>
      <c r="N23" s="17">
        <v>13.5</v>
      </c>
      <c r="O23" s="17">
        <v>13.4</v>
      </c>
      <c r="P23" s="17">
        <v>13.2</v>
      </c>
      <c r="Q23" s="17">
        <v>13.2</v>
      </c>
      <c r="R23" s="17">
        <v>13.2</v>
      </c>
      <c r="S23" s="17">
        <v>13.2</v>
      </c>
      <c r="T23" s="17">
        <v>13.2</v>
      </c>
      <c r="U23" s="17">
        <v>13.2</v>
      </c>
      <c r="V23" s="17">
        <v>13.2</v>
      </c>
      <c r="W23" s="17">
        <v>13.2</v>
      </c>
      <c r="X23" s="18">
        <v>13.2</v>
      </c>
    </row>
    <row r="24" spans="1:24" x14ac:dyDescent="0.25">
      <c r="A24" s="6">
        <v>5200</v>
      </c>
      <c r="B24" s="17">
        <v>13.2</v>
      </c>
      <c r="C24" s="17">
        <v>13.2</v>
      </c>
      <c r="D24" s="17">
        <v>13.2</v>
      </c>
      <c r="E24" s="17">
        <v>13.2</v>
      </c>
      <c r="F24" s="17">
        <v>13.2</v>
      </c>
      <c r="G24" s="17">
        <v>13.4</v>
      </c>
      <c r="H24" s="17">
        <v>13.5</v>
      </c>
      <c r="I24" s="17">
        <v>13.6</v>
      </c>
      <c r="J24" s="17">
        <v>13.6</v>
      </c>
      <c r="K24" s="17">
        <v>13.6</v>
      </c>
      <c r="L24" s="17">
        <v>13.6</v>
      </c>
      <c r="M24" s="17">
        <v>13.6</v>
      </c>
      <c r="N24" s="17">
        <v>13.5</v>
      </c>
      <c r="O24" s="17">
        <v>13.4</v>
      </c>
      <c r="P24" s="17">
        <v>13.2</v>
      </c>
      <c r="Q24" s="17">
        <v>13.2</v>
      </c>
      <c r="R24" s="17">
        <v>13.2</v>
      </c>
      <c r="S24" s="17">
        <v>13.2</v>
      </c>
      <c r="T24" s="17">
        <v>13.2</v>
      </c>
      <c r="U24" s="17">
        <v>13.2</v>
      </c>
      <c r="V24" s="17">
        <v>13.2</v>
      </c>
      <c r="W24" s="17">
        <v>13.2</v>
      </c>
      <c r="X24" s="18">
        <v>13.2</v>
      </c>
    </row>
    <row r="25" spans="1:24" x14ac:dyDescent="0.25">
      <c r="A25" s="6">
        <v>5600</v>
      </c>
      <c r="B25" s="17">
        <v>13.2</v>
      </c>
      <c r="C25" s="17">
        <v>13.2</v>
      </c>
      <c r="D25" s="17">
        <v>13.2</v>
      </c>
      <c r="E25" s="17">
        <v>13.2</v>
      </c>
      <c r="F25" s="17">
        <v>13.2</v>
      </c>
      <c r="G25" s="17">
        <v>13.2</v>
      </c>
      <c r="H25" s="17">
        <v>13.4</v>
      </c>
      <c r="I25" s="17">
        <v>13.5</v>
      </c>
      <c r="J25" s="17">
        <v>13.5</v>
      </c>
      <c r="K25" s="17">
        <v>13.5</v>
      </c>
      <c r="L25" s="17">
        <v>13.5</v>
      </c>
      <c r="M25" s="17">
        <v>13.5</v>
      </c>
      <c r="N25" s="17">
        <v>13.4</v>
      </c>
      <c r="O25" s="17">
        <v>13.2</v>
      </c>
      <c r="P25" s="17">
        <v>13.2</v>
      </c>
      <c r="Q25" s="17">
        <v>13.2</v>
      </c>
      <c r="R25" s="17">
        <v>13.2</v>
      </c>
      <c r="S25" s="17">
        <v>13.2</v>
      </c>
      <c r="T25" s="17">
        <v>13.2</v>
      </c>
      <c r="U25" s="17">
        <v>13.2</v>
      </c>
      <c r="V25" s="17">
        <v>13.2</v>
      </c>
      <c r="W25" s="17">
        <v>13.2</v>
      </c>
      <c r="X25" s="18">
        <v>13.2</v>
      </c>
    </row>
    <row r="26" spans="1:24" x14ac:dyDescent="0.25">
      <c r="A26" s="6">
        <v>6000</v>
      </c>
      <c r="B26" s="17">
        <v>13.2</v>
      </c>
      <c r="C26" s="17">
        <v>13.2</v>
      </c>
      <c r="D26" s="17">
        <v>13.2</v>
      </c>
      <c r="E26" s="17">
        <v>13.2</v>
      </c>
      <c r="F26" s="17">
        <v>13.2</v>
      </c>
      <c r="G26" s="17">
        <v>13.2</v>
      </c>
      <c r="H26" s="17">
        <v>13.2</v>
      </c>
      <c r="I26" s="17">
        <v>13.4</v>
      </c>
      <c r="J26" s="17">
        <v>13.4</v>
      </c>
      <c r="K26" s="17">
        <v>13.4</v>
      </c>
      <c r="L26" s="17">
        <v>13.4</v>
      </c>
      <c r="M26" s="17">
        <v>13.4</v>
      </c>
      <c r="N26" s="17">
        <v>13.2</v>
      </c>
      <c r="O26" s="17">
        <v>13.2</v>
      </c>
      <c r="P26" s="17">
        <v>13.2</v>
      </c>
      <c r="Q26" s="17">
        <v>13.2</v>
      </c>
      <c r="R26" s="17">
        <v>13.2</v>
      </c>
      <c r="S26" s="17">
        <v>13.2</v>
      </c>
      <c r="T26" s="17">
        <v>13.2</v>
      </c>
      <c r="U26" s="17">
        <v>13.2</v>
      </c>
      <c r="V26" s="17">
        <v>13.2</v>
      </c>
      <c r="W26" s="17">
        <v>13.2</v>
      </c>
      <c r="X26" s="18">
        <v>13.2</v>
      </c>
    </row>
    <row r="27" spans="1:24" x14ac:dyDescent="0.25">
      <c r="A27" s="6">
        <v>6400</v>
      </c>
      <c r="B27" s="17">
        <v>13.2</v>
      </c>
      <c r="C27" s="17">
        <v>13.2</v>
      </c>
      <c r="D27" s="17">
        <v>13.2</v>
      </c>
      <c r="E27" s="17">
        <v>13.2</v>
      </c>
      <c r="F27" s="17">
        <v>13.2</v>
      </c>
      <c r="G27" s="17">
        <v>13.2</v>
      </c>
      <c r="H27" s="17">
        <v>13.2</v>
      </c>
      <c r="I27" s="17">
        <v>13.2</v>
      </c>
      <c r="J27" s="17">
        <v>13.2</v>
      </c>
      <c r="K27" s="17">
        <v>13.2</v>
      </c>
      <c r="L27" s="17">
        <v>13.2</v>
      </c>
      <c r="M27" s="17">
        <v>13.2</v>
      </c>
      <c r="N27" s="17">
        <v>13.2</v>
      </c>
      <c r="O27" s="17">
        <v>13.2</v>
      </c>
      <c r="P27" s="17">
        <v>13.2</v>
      </c>
      <c r="Q27" s="17">
        <v>13.2</v>
      </c>
      <c r="R27" s="17">
        <v>13.2</v>
      </c>
      <c r="S27" s="17">
        <v>13.2</v>
      </c>
      <c r="T27" s="17">
        <v>13.2</v>
      </c>
      <c r="U27" s="17">
        <v>13.2</v>
      </c>
      <c r="V27" s="17">
        <v>13.2</v>
      </c>
      <c r="W27" s="17">
        <v>13.2</v>
      </c>
      <c r="X27" s="18">
        <v>13.2</v>
      </c>
    </row>
    <row r="28" spans="1:24" x14ac:dyDescent="0.25">
      <c r="A28" s="6">
        <v>6800</v>
      </c>
      <c r="B28" s="17">
        <v>13.2</v>
      </c>
      <c r="C28" s="17">
        <v>13.2</v>
      </c>
      <c r="D28" s="17">
        <v>13.2</v>
      </c>
      <c r="E28" s="17">
        <v>13.2</v>
      </c>
      <c r="F28" s="17">
        <v>13.2</v>
      </c>
      <c r="G28" s="17">
        <v>13.2</v>
      </c>
      <c r="H28" s="17">
        <v>13.2</v>
      </c>
      <c r="I28" s="17">
        <v>13.2</v>
      </c>
      <c r="J28" s="17">
        <v>13.2</v>
      </c>
      <c r="K28" s="17">
        <v>13.2</v>
      </c>
      <c r="L28" s="17">
        <v>13.2</v>
      </c>
      <c r="M28" s="17">
        <v>13.2</v>
      </c>
      <c r="N28" s="17">
        <v>13.2</v>
      </c>
      <c r="O28" s="17">
        <v>13.2</v>
      </c>
      <c r="P28" s="17">
        <v>13.2</v>
      </c>
      <c r="Q28" s="17">
        <v>13.2</v>
      </c>
      <c r="R28" s="17">
        <v>13.2</v>
      </c>
      <c r="S28" s="17">
        <v>13.2</v>
      </c>
      <c r="T28" s="17">
        <v>13.2</v>
      </c>
      <c r="U28" s="17">
        <v>13.2</v>
      </c>
      <c r="V28" s="17">
        <v>13.2</v>
      </c>
      <c r="W28" s="17">
        <v>13.2</v>
      </c>
      <c r="X28" s="18">
        <v>13.2</v>
      </c>
    </row>
    <row r="29" spans="1:24" x14ac:dyDescent="0.25">
      <c r="A29" s="6">
        <v>7200</v>
      </c>
      <c r="B29" s="17">
        <v>13.2</v>
      </c>
      <c r="C29" s="17">
        <v>13.2</v>
      </c>
      <c r="D29" s="17">
        <v>13.2</v>
      </c>
      <c r="E29" s="17">
        <v>13.2</v>
      </c>
      <c r="F29" s="17">
        <v>13.2</v>
      </c>
      <c r="G29" s="17">
        <v>13.2</v>
      </c>
      <c r="H29" s="17">
        <v>13.2</v>
      </c>
      <c r="I29" s="17">
        <v>13.2</v>
      </c>
      <c r="J29" s="17">
        <v>13.2</v>
      </c>
      <c r="K29" s="17">
        <v>13.2</v>
      </c>
      <c r="L29" s="17">
        <v>13.2</v>
      </c>
      <c r="M29" s="17">
        <v>13.2</v>
      </c>
      <c r="N29" s="17">
        <v>13.2</v>
      </c>
      <c r="O29" s="17">
        <v>13.2</v>
      </c>
      <c r="P29" s="17">
        <v>13.2</v>
      </c>
      <c r="Q29" s="17">
        <v>13.2</v>
      </c>
      <c r="R29" s="17">
        <v>13.2</v>
      </c>
      <c r="S29" s="17">
        <v>13.2</v>
      </c>
      <c r="T29" s="17">
        <v>13.2</v>
      </c>
      <c r="U29" s="17">
        <v>13.2</v>
      </c>
      <c r="V29" s="17">
        <v>13.2</v>
      </c>
      <c r="W29" s="17">
        <v>13.2</v>
      </c>
      <c r="X29" s="18">
        <v>13.2</v>
      </c>
    </row>
    <row r="30" spans="1:24" x14ac:dyDescent="0.25">
      <c r="A30" s="6">
        <v>7600</v>
      </c>
      <c r="B30" s="17">
        <v>13.2</v>
      </c>
      <c r="C30" s="17">
        <v>13.2</v>
      </c>
      <c r="D30" s="17">
        <v>13.2</v>
      </c>
      <c r="E30" s="17">
        <v>13.2</v>
      </c>
      <c r="F30" s="17">
        <v>13.2</v>
      </c>
      <c r="G30" s="17">
        <v>13.2</v>
      </c>
      <c r="H30" s="17">
        <v>13.2</v>
      </c>
      <c r="I30" s="17">
        <v>13.2</v>
      </c>
      <c r="J30" s="17">
        <v>13.2</v>
      </c>
      <c r="K30" s="17">
        <v>13.2</v>
      </c>
      <c r="L30" s="17">
        <v>13.2</v>
      </c>
      <c r="M30" s="17">
        <v>13.2</v>
      </c>
      <c r="N30" s="17">
        <v>13.2</v>
      </c>
      <c r="O30" s="17">
        <v>13.2</v>
      </c>
      <c r="P30" s="17">
        <v>13.2</v>
      </c>
      <c r="Q30" s="17">
        <v>13.2</v>
      </c>
      <c r="R30" s="17">
        <v>13.2</v>
      </c>
      <c r="S30" s="17">
        <v>13.2</v>
      </c>
      <c r="T30" s="17">
        <v>13.2</v>
      </c>
      <c r="U30" s="17">
        <v>13.2</v>
      </c>
      <c r="V30" s="17">
        <v>13.2</v>
      </c>
      <c r="W30" s="17">
        <v>13.2</v>
      </c>
      <c r="X30" s="18">
        <v>13.2</v>
      </c>
    </row>
    <row r="31" spans="1:24" x14ac:dyDescent="0.25">
      <c r="A31" s="6">
        <v>8000</v>
      </c>
      <c r="B31" s="17">
        <v>13.2</v>
      </c>
      <c r="C31" s="17">
        <v>13.2</v>
      </c>
      <c r="D31" s="17">
        <v>13.2</v>
      </c>
      <c r="E31" s="17">
        <v>13.2</v>
      </c>
      <c r="F31" s="17">
        <v>13.2</v>
      </c>
      <c r="G31" s="17">
        <v>13.2</v>
      </c>
      <c r="H31" s="17">
        <v>13.2</v>
      </c>
      <c r="I31" s="17">
        <v>13.2</v>
      </c>
      <c r="J31" s="17">
        <v>13.2</v>
      </c>
      <c r="K31" s="17">
        <v>13.2</v>
      </c>
      <c r="L31" s="17">
        <v>13.2</v>
      </c>
      <c r="M31" s="17">
        <v>13.2</v>
      </c>
      <c r="N31" s="17">
        <v>13.2</v>
      </c>
      <c r="O31" s="17">
        <v>13.2</v>
      </c>
      <c r="P31" s="17">
        <v>13.2</v>
      </c>
      <c r="Q31" s="17">
        <v>13.2</v>
      </c>
      <c r="R31" s="17">
        <v>13.2</v>
      </c>
      <c r="S31" s="17">
        <v>13.2</v>
      </c>
      <c r="T31" s="17">
        <v>13.2</v>
      </c>
      <c r="U31" s="17">
        <v>13.2</v>
      </c>
      <c r="V31" s="17">
        <v>13.2</v>
      </c>
      <c r="W31" s="17">
        <v>13.2</v>
      </c>
      <c r="X31" s="18">
        <v>13.2</v>
      </c>
    </row>
    <row r="32" spans="1:24" x14ac:dyDescent="0.25">
      <c r="A32" s="6">
        <v>8400</v>
      </c>
      <c r="B32" s="17">
        <v>13.2</v>
      </c>
      <c r="C32" s="17">
        <v>13.2</v>
      </c>
      <c r="D32" s="17">
        <v>13.2</v>
      </c>
      <c r="E32" s="17">
        <v>13.2</v>
      </c>
      <c r="F32" s="17">
        <v>13.2</v>
      </c>
      <c r="G32" s="17">
        <v>13.2</v>
      </c>
      <c r="H32" s="17">
        <v>13.2</v>
      </c>
      <c r="I32" s="17">
        <v>13.2</v>
      </c>
      <c r="J32" s="17">
        <v>13.2</v>
      </c>
      <c r="K32" s="17">
        <v>13.2</v>
      </c>
      <c r="L32" s="17">
        <v>13.2</v>
      </c>
      <c r="M32" s="17">
        <v>13.2</v>
      </c>
      <c r="N32" s="17">
        <v>13.2</v>
      </c>
      <c r="O32" s="17">
        <v>13.2</v>
      </c>
      <c r="P32" s="17">
        <v>13.2</v>
      </c>
      <c r="Q32" s="17">
        <v>13.2</v>
      </c>
      <c r="R32" s="17">
        <v>13.2</v>
      </c>
      <c r="S32" s="17">
        <v>13.2</v>
      </c>
      <c r="T32" s="17">
        <v>13.2</v>
      </c>
      <c r="U32" s="17">
        <v>13.2</v>
      </c>
      <c r="V32" s="17">
        <v>13.2</v>
      </c>
      <c r="W32" s="17">
        <v>13.2</v>
      </c>
      <c r="X32" s="18">
        <v>13.2</v>
      </c>
    </row>
    <row r="33" spans="1:24" x14ac:dyDescent="0.25">
      <c r="A33" s="6">
        <v>8800</v>
      </c>
      <c r="B33" s="17">
        <v>13.2</v>
      </c>
      <c r="C33" s="17">
        <v>13.2</v>
      </c>
      <c r="D33" s="17">
        <v>13.2</v>
      </c>
      <c r="E33" s="17">
        <v>13.2</v>
      </c>
      <c r="F33" s="17">
        <v>13.2</v>
      </c>
      <c r="G33" s="17">
        <v>13.2</v>
      </c>
      <c r="H33" s="17">
        <v>13.2</v>
      </c>
      <c r="I33" s="17">
        <v>13.2</v>
      </c>
      <c r="J33" s="17">
        <v>13.2</v>
      </c>
      <c r="K33" s="17">
        <v>13.2</v>
      </c>
      <c r="L33" s="17">
        <v>13.2</v>
      </c>
      <c r="M33" s="17">
        <v>13.2</v>
      </c>
      <c r="N33" s="17">
        <v>13.2</v>
      </c>
      <c r="O33" s="17">
        <v>13.2</v>
      </c>
      <c r="P33" s="17">
        <v>13.2</v>
      </c>
      <c r="Q33" s="17">
        <v>13.2</v>
      </c>
      <c r="R33" s="17">
        <v>13.2</v>
      </c>
      <c r="S33" s="17">
        <v>13.2</v>
      </c>
      <c r="T33" s="17">
        <v>13.2</v>
      </c>
      <c r="U33" s="17">
        <v>13.2</v>
      </c>
      <c r="V33" s="17">
        <v>13.2</v>
      </c>
      <c r="W33" s="17">
        <v>13.2</v>
      </c>
      <c r="X33" s="18">
        <v>13.2</v>
      </c>
    </row>
    <row r="34" spans="1:24" x14ac:dyDescent="0.25">
      <c r="A34" s="6">
        <v>9200</v>
      </c>
      <c r="B34" s="17">
        <v>13.2</v>
      </c>
      <c r="C34" s="17">
        <v>13.2</v>
      </c>
      <c r="D34" s="17">
        <v>13.2</v>
      </c>
      <c r="E34" s="17">
        <v>13.2</v>
      </c>
      <c r="F34" s="17">
        <v>13.2</v>
      </c>
      <c r="G34" s="17">
        <v>13.2</v>
      </c>
      <c r="H34" s="17">
        <v>13.2</v>
      </c>
      <c r="I34" s="17">
        <v>13.2</v>
      </c>
      <c r="J34" s="17">
        <v>13.2</v>
      </c>
      <c r="K34" s="17">
        <v>13.2</v>
      </c>
      <c r="L34" s="17">
        <v>13.2</v>
      </c>
      <c r="M34" s="17">
        <v>13.2</v>
      </c>
      <c r="N34" s="17">
        <v>13.2</v>
      </c>
      <c r="O34" s="17">
        <v>13.2</v>
      </c>
      <c r="P34" s="17">
        <v>13.2</v>
      </c>
      <c r="Q34" s="17">
        <v>13.2</v>
      </c>
      <c r="R34" s="17">
        <v>13.2</v>
      </c>
      <c r="S34" s="17">
        <v>13.2</v>
      </c>
      <c r="T34" s="17">
        <v>13.2</v>
      </c>
      <c r="U34" s="17">
        <v>13.2</v>
      </c>
      <c r="V34" s="17">
        <v>13.2</v>
      </c>
      <c r="W34" s="17">
        <v>13.2</v>
      </c>
      <c r="X34" s="18">
        <v>13.2</v>
      </c>
    </row>
    <row r="35" spans="1:24" x14ac:dyDescent="0.25">
      <c r="A35" s="6">
        <v>9600</v>
      </c>
      <c r="B35" s="17">
        <v>13.2</v>
      </c>
      <c r="C35" s="17">
        <v>13.2</v>
      </c>
      <c r="D35" s="17">
        <v>13.2</v>
      </c>
      <c r="E35" s="17">
        <v>13.2</v>
      </c>
      <c r="F35" s="17">
        <v>13.2</v>
      </c>
      <c r="G35" s="17">
        <v>13.2</v>
      </c>
      <c r="H35" s="17">
        <v>13.2</v>
      </c>
      <c r="I35" s="17">
        <v>13.2</v>
      </c>
      <c r="J35" s="17">
        <v>13.2</v>
      </c>
      <c r="K35" s="17">
        <v>13.2</v>
      </c>
      <c r="L35" s="17">
        <v>13.2</v>
      </c>
      <c r="M35" s="17">
        <v>13.2</v>
      </c>
      <c r="N35" s="17">
        <v>13.2</v>
      </c>
      <c r="O35" s="17">
        <v>13.2</v>
      </c>
      <c r="P35" s="17">
        <v>13.2</v>
      </c>
      <c r="Q35" s="17">
        <v>13.2</v>
      </c>
      <c r="R35" s="17">
        <v>13.2</v>
      </c>
      <c r="S35" s="17">
        <v>13.2</v>
      </c>
      <c r="T35" s="17">
        <v>13.2</v>
      </c>
      <c r="U35" s="17">
        <v>13.2</v>
      </c>
      <c r="V35" s="17">
        <v>13.2</v>
      </c>
      <c r="W35" s="17">
        <v>13.2</v>
      </c>
      <c r="X35" s="18">
        <v>13.2</v>
      </c>
    </row>
    <row r="36" spans="1:24" x14ac:dyDescent="0.25">
      <c r="A36" s="6">
        <v>10000</v>
      </c>
      <c r="B36" s="17">
        <v>13.2</v>
      </c>
      <c r="C36" s="17">
        <v>13.2</v>
      </c>
      <c r="D36" s="17">
        <v>13.2</v>
      </c>
      <c r="E36" s="17">
        <v>13.2</v>
      </c>
      <c r="F36" s="17">
        <v>13.2</v>
      </c>
      <c r="G36" s="17">
        <v>13.2</v>
      </c>
      <c r="H36" s="17">
        <v>13.2</v>
      </c>
      <c r="I36" s="17">
        <v>13.2</v>
      </c>
      <c r="J36" s="17">
        <v>13.2</v>
      </c>
      <c r="K36" s="17">
        <v>13.2</v>
      </c>
      <c r="L36" s="17">
        <v>13.2</v>
      </c>
      <c r="M36" s="17">
        <v>13.2</v>
      </c>
      <c r="N36" s="17">
        <v>13.2</v>
      </c>
      <c r="O36" s="17">
        <v>13.2</v>
      </c>
      <c r="P36" s="17">
        <v>13.2</v>
      </c>
      <c r="Q36" s="17">
        <v>13.2</v>
      </c>
      <c r="R36" s="17">
        <v>13.2</v>
      </c>
      <c r="S36" s="17">
        <v>13.2</v>
      </c>
      <c r="T36" s="17">
        <v>13.2</v>
      </c>
      <c r="U36" s="17">
        <v>13.2</v>
      </c>
      <c r="V36" s="17">
        <v>13.2</v>
      </c>
      <c r="W36" s="17">
        <v>13.2</v>
      </c>
      <c r="X36" s="18">
        <v>13.2</v>
      </c>
    </row>
    <row r="37" spans="1:24" x14ac:dyDescent="0.25">
      <c r="A37" s="6">
        <v>10400</v>
      </c>
      <c r="B37" s="17">
        <v>13.2</v>
      </c>
      <c r="C37" s="17">
        <v>13.2</v>
      </c>
      <c r="D37" s="17">
        <v>13.2</v>
      </c>
      <c r="E37" s="17">
        <v>13.2</v>
      </c>
      <c r="F37" s="17">
        <v>13.2</v>
      </c>
      <c r="G37" s="17">
        <v>13.2</v>
      </c>
      <c r="H37" s="17">
        <v>13.2</v>
      </c>
      <c r="I37" s="17">
        <v>13.2</v>
      </c>
      <c r="J37" s="17">
        <v>13.2</v>
      </c>
      <c r="K37" s="17">
        <v>13.2</v>
      </c>
      <c r="L37" s="17">
        <v>13.2</v>
      </c>
      <c r="M37" s="17">
        <v>13.2</v>
      </c>
      <c r="N37" s="17">
        <v>13.2</v>
      </c>
      <c r="O37" s="17">
        <v>13.2</v>
      </c>
      <c r="P37" s="17">
        <v>13.2</v>
      </c>
      <c r="Q37" s="17">
        <v>13.2</v>
      </c>
      <c r="R37" s="17">
        <v>13.2</v>
      </c>
      <c r="S37" s="17">
        <v>13.2</v>
      </c>
      <c r="T37" s="17">
        <v>13.2</v>
      </c>
      <c r="U37" s="17">
        <v>13.2</v>
      </c>
      <c r="V37" s="17">
        <v>13.2</v>
      </c>
      <c r="W37" s="17">
        <v>13.2</v>
      </c>
      <c r="X37" s="18">
        <v>13.2</v>
      </c>
    </row>
    <row r="38" spans="1:24" x14ac:dyDescent="0.25">
      <c r="A38" s="6">
        <v>10800</v>
      </c>
      <c r="B38" s="17">
        <v>13.2</v>
      </c>
      <c r="C38" s="17">
        <v>13.2</v>
      </c>
      <c r="D38" s="17">
        <v>13.2</v>
      </c>
      <c r="E38" s="17">
        <v>13.2</v>
      </c>
      <c r="F38" s="17">
        <v>13.2</v>
      </c>
      <c r="G38" s="17">
        <v>13.2</v>
      </c>
      <c r="H38" s="17">
        <v>13.2</v>
      </c>
      <c r="I38" s="17">
        <v>13.2</v>
      </c>
      <c r="J38" s="17">
        <v>13.2</v>
      </c>
      <c r="K38" s="17">
        <v>13.2</v>
      </c>
      <c r="L38" s="17">
        <v>13.2</v>
      </c>
      <c r="M38" s="17">
        <v>13.2</v>
      </c>
      <c r="N38" s="17">
        <v>13.2</v>
      </c>
      <c r="O38" s="17">
        <v>13.2</v>
      </c>
      <c r="P38" s="17">
        <v>13.2</v>
      </c>
      <c r="Q38" s="17">
        <v>13.2</v>
      </c>
      <c r="R38" s="17">
        <v>13.2</v>
      </c>
      <c r="S38" s="17">
        <v>13.2</v>
      </c>
      <c r="T38" s="17">
        <v>13.2</v>
      </c>
      <c r="U38" s="17">
        <v>13.2</v>
      </c>
      <c r="V38" s="17">
        <v>13.2</v>
      </c>
      <c r="W38" s="17">
        <v>13.2</v>
      </c>
      <c r="X38" s="18">
        <v>13.2</v>
      </c>
    </row>
    <row r="39" spans="1:24" x14ac:dyDescent="0.25">
      <c r="A39" s="6">
        <v>11200</v>
      </c>
      <c r="B39" s="17">
        <v>13.2</v>
      </c>
      <c r="C39" s="17">
        <v>13.2</v>
      </c>
      <c r="D39" s="17">
        <v>13.2</v>
      </c>
      <c r="E39" s="17">
        <v>13.2</v>
      </c>
      <c r="F39" s="17">
        <v>13.2</v>
      </c>
      <c r="G39" s="17">
        <v>13.2</v>
      </c>
      <c r="H39" s="17">
        <v>13.2</v>
      </c>
      <c r="I39" s="17">
        <v>13.2</v>
      </c>
      <c r="J39" s="17">
        <v>13.2</v>
      </c>
      <c r="K39" s="17">
        <v>13.2</v>
      </c>
      <c r="L39" s="17">
        <v>13.2</v>
      </c>
      <c r="M39" s="17">
        <v>13.2</v>
      </c>
      <c r="N39" s="17">
        <v>13.2</v>
      </c>
      <c r="O39" s="17">
        <v>13.2</v>
      </c>
      <c r="P39" s="17">
        <v>13.2</v>
      </c>
      <c r="Q39" s="17">
        <v>13.2</v>
      </c>
      <c r="R39" s="17">
        <v>13.2</v>
      </c>
      <c r="S39" s="17">
        <v>13.2</v>
      </c>
      <c r="T39" s="17">
        <v>13.2</v>
      </c>
      <c r="U39" s="17">
        <v>13.2</v>
      </c>
      <c r="V39" s="17">
        <v>13.2</v>
      </c>
      <c r="W39" s="17">
        <v>13.2</v>
      </c>
      <c r="X39" s="18">
        <v>13.2</v>
      </c>
    </row>
    <row r="40" spans="1:24" x14ac:dyDescent="0.25">
      <c r="A40" s="6">
        <v>11600</v>
      </c>
      <c r="B40" s="17">
        <v>13.2</v>
      </c>
      <c r="C40" s="17">
        <v>13.2</v>
      </c>
      <c r="D40" s="17">
        <v>13.2</v>
      </c>
      <c r="E40" s="17">
        <v>13.2</v>
      </c>
      <c r="F40" s="17">
        <v>13.2</v>
      </c>
      <c r="G40" s="17">
        <v>13.2</v>
      </c>
      <c r="H40" s="17">
        <v>13.2</v>
      </c>
      <c r="I40" s="17">
        <v>13.2</v>
      </c>
      <c r="J40" s="17">
        <v>13.2</v>
      </c>
      <c r="K40" s="17">
        <v>13.2</v>
      </c>
      <c r="L40" s="17">
        <v>13.2</v>
      </c>
      <c r="M40" s="17">
        <v>13.2</v>
      </c>
      <c r="N40" s="17">
        <v>13.2</v>
      </c>
      <c r="O40" s="17">
        <v>13.2</v>
      </c>
      <c r="P40" s="17">
        <v>13.2</v>
      </c>
      <c r="Q40" s="17">
        <v>13.2</v>
      </c>
      <c r="R40" s="17">
        <v>13.2</v>
      </c>
      <c r="S40" s="17">
        <v>13.2</v>
      </c>
      <c r="T40" s="17">
        <v>13.2</v>
      </c>
      <c r="U40" s="17">
        <v>13.2</v>
      </c>
      <c r="V40" s="17">
        <v>13.2</v>
      </c>
      <c r="W40" s="17">
        <v>13.2</v>
      </c>
      <c r="X40" s="18">
        <v>13.2</v>
      </c>
    </row>
    <row r="41" spans="1:24" x14ac:dyDescent="0.25">
      <c r="A41" s="6">
        <v>12000</v>
      </c>
      <c r="B41" s="17">
        <v>13.2</v>
      </c>
      <c r="C41" s="17">
        <v>13.2</v>
      </c>
      <c r="D41" s="17">
        <v>13.2</v>
      </c>
      <c r="E41" s="17">
        <v>13.2</v>
      </c>
      <c r="F41" s="17">
        <v>13.2</v>
      </c>
      <c r="G41" s="17">
        <v>13.2</v>
      </c>
      <c r="H41" s="17">
        <v>13.2</v>
      </c>
      <c r="I41" s="17">
        <v>13.2</v>
      </c>
      <c r="J41" s="17">
        <v>13.2</v>
      </c>
      <c r="K41" s="17">
        <v>13.2</v>
      </c>
      <c r="L41" s="17">
        <v>13.2</v>
      </c>
      <c r="M41" s="17">
        <v>13.2</v>
      </c>
      <c r="N41" s="17">
        <v>13.2</v>
      </c>
      <c r="O41" s="17">
        <v>13.2</v>
      </c>
      <c r="P41" s="17">
        <v>13.2</v>
      </c>
      <c r="Q41" s="17">
        <v>13.2</v>
      </c>
      <c r="R41" s="17">
        <v>13.2</v>
      </c>
      <c r="S41" s="17">
        <v>13.2</v>
      </c>
      <c r="T41" s="17">
        <v>13.2</v>
      </c>
      <c r="U41" s="17">
        <v>13.2</v>
      </c>
      <c r="V41" s="17">
        <v>13.2</v>
      </c>
      <c r="W41" s="17">
        <v>13.2</v>
      </c>
      <c r="X41" s="18">
        <v>13.2</v>
      </c>
    </row>
    <row r="42" spans="1:24" x14ac:dyDescent="0.25">
      <c r="A42" s="6">
        <v>12400</v>
      </c>
      <c r="B42" s="17">
        <v>13.2</v>
      </c>
      <c r="C42" s="17">
        <v>13.2</v>
      </c>
      <c r="D42" s="17">
        <v>13.2</v>
      </c>
      <c r="E42" s="17">
        <v>13.2</v>
      </c>
      <c r="F42" s="17">
        <v>13.2</v>
      </c>
      <c r="G42" s="17">
        <v>13.2</v>
      </c>
      <c r="H42" s="17">
        <v>13.2</v>
      </c>
      <c r="I42" s="17">
        <v>13.2</v>
      </c>
      <c r="J42" s="17">
        <v>13.2</v>
      </c>
      <c r="K42" s="17">
        <v>13.2</v>
      </c>
      <c r="L42" s="17">
        <v>13.2</v>
      </c>
      <c r="M42" s="17">
        <v>13.2</v>
      </c>
      <c r="N42" s="17">
        <v>13.2</v>
      </c>
      <c r="O42" s="17">
        <v>13.2</v>
      </c>
      <c r="P42" s="17">
        <v>13.2</v>
      </c>
      <c r="Q42" s="17">
        <v>13.2</v>
      </c>
      <c r="R42" s="17">
        <v>13.2</v>
      </c>
      <c r="S42" s="17">
        <v>13.2</v>
      </c>
      <c r="T42" s="17">
        <v>13.2</v>
      </c>
      <c r="U42" s="17">
        <v>13.2</v>
      </c>
      <c r="V42" s="17">
        <v>13.2</v>
      </c>
      <c r="W42" s="17">
        <v>13.2</v>
      </c>
      <c r="X42" s="18">
        <v>13.2</v>
      </c>
    </row>
    <row r="43" spans="1:24" ht="13.8" thickBot="1" x14ac:dyDescent="0.3">
      <c r="A43" s="7">
        <v>12800</v>
      </c>
      <c r="B43" s="19">
        <v>13.2</v>
      </c>
      <c r="C43" s="19">
        <v>13.2</v>
      </c>
      <c r="D43" s="19">
        <v>13.2</v>
      </c>
      <c r="E43" s="19">
        <v>13.2</v>
      </c>
      <c r="F43" s="19">
        <v>13.2</v>
      </c>
      <c r="G43" s="19">
        <v>13.2</v>
      </c>
      <c r="H43" s="17">
        <v>13.2</v>
      </c>
      <c r="I43" s="19">
        <v>13.2</v>
      </c>
      <c r="J43" s="19">
        <v>13.2</v>
      </c>
      <c r="K43" s="19">
        <v>13.2</v>
      </c>
      <c r="L43" s="19">
        <v>13.2</v>
      </c>
      <c r="M43" s="19">
        <v>13.2</v>
      </c>
      <c r="N43" s="19">
        <v>13.2</v>
      </c>
      <c r="O43" s="19">
        <v>13.2</v>
      </c>
      <c r="P43" s="19">
        <v>13.2</v>
      </c>
      <c r="Q43" s="19">
        <v>13.2</v>
      </c>
      <c r="R43" s="19">
        <v>13.2</v>
      </c>
      <c r="S43" s="19">
        <v>13.2</v>
      </c>
      <c r="T43" s="19">
        <v>13.2</v>
      </c>
      <c r="U43" s="19">
        <v>13.2</v>
      </c>
      <c r="V43" s="19">
        <v>13.2</v>
      </c>
      <c r="W43" s="19">
        <v>13.2</v>
      </c>
      <c r="X43" s="20">
        <v>13.2</v>
      </c>
    </row>
  </sheetData>
  <conditionalFormatting sqref="B2:X43">
    <cfRule type="colorScale" priority="1">
      <colorScale>
        <cfvo type="min"/>
        <cfvo type="percentile" val="50"/>
        <cfvo type="max"/>
        <color rgb="FFF8696B"/>
        <color rgb="FFFCFCFF"/>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V43"/>
  <sheetViews>
    <sheetView zoomScale="70" zoomScaleNormal="70" workbookViewId="0">
      <selection activeCell="V19" sqref="V19"/>
    </sheetView>
  </sheetViews>
  <sheetFormatPr defaultRowHeight="13.2" x14ac:dyDescent="0.25"/>
  <cols>
    <col min="1" max="1" width="6.6640625" bestFit="1" customWidth="1"/>
    <col min="2" max="22" width="4.88671875" bestFit="1" customWidth="1"/>
  </cols>
  <sheetData>
    <row r="1" spans="1:22" x14ac:dyDescent="0.25">
      <c r="A1" s="3" t="s">
        <v>1</v>
      </c>
      <c r="B1" s="4">
        <v>120</v>
      </c>
      <c r="C1" s="4">
        <v>104</v>
      </c>
      <c r="D1" s="4">
        <v>88</v>
      </c>
      <c r="E1" s="4">
        <v>72</v>
      </c>
      <c r="F1" s="4">
        <v>68</v>
      </c>
      <c r="G1" s="4">
        <v>64</v>
      </c>
      <c r="H1" s="4">
        <v>60</v>
      </c>
      <c r="I1" s="4">
        <v>56</v>
      </c>
      <c r="J1" s="4">
        <v>52</v>
      </c>
      <c r="K1" s="4">
        <v>48</v>
      </c>
      <c r="L1" s="4">
        <v>44</v>
      </c>
      <c r="M1" s="4">
        <v>40</v>
      </c>
      <c r="N1" s="4">
        <v>36</v>
      </c>
      <c r="O1" s="4">
        <v>32</v>
      </c>
      <c r="P1" s="4">
        <v>24</v>
      </c>
      <c r="Q1" s="4">
        <v>20</v>
      </c>
      <c r="R1" s="4">
        <v>16</v>
      </c>
      <c r="S1" s="4">
        <v>12</v>
      </c>
      <c r="T1" s="4">
        <v>8</v>
      </c>
      <c r="U1" s="4">
        <v>4</v>
      </c>
      <c r="V1" s="4">
        <v>0</v>
      </c>
    </row>
    <row r="2" spans="1:22" x14ac:dyDescent="0.25">
      <c r="A2" s="6">
        <v>800</v>
      </c>
      <c r="B2" s="17">
        <v>13</v>
      </c>
      <c r="C2" s="17">
        <v>13</v>
      </c>
      <c r="D2" s="17">
        <v>13</v>
      </c>
      <c r="E2" s="17">
        <v>13</v>
      </c>
      <c r="F2" s="17">
        <v>13</v>
      </c>
      <c r="G2" s="17">
        <v>13.4</v>
      </c>
      <c r="H2" s="17">
        <v>13.4</v>
      </c>
      <c r="I2" s="17">
        <v>13.4</v>
      </c>
      <c r="J2" s="17">
        <v>13.4</v>
      </c>
      <c r="K2" s="17">
        <v>13.4</v>
      </c>
      <c r="L2" s="17">
        <v>13.4</v>
      </c>
      <c r="M2" s="17">
        <v>13.4</v>
      </c>
      <c r="N2" s="17">
        <v>13.4</v>
      </c>
      <c r="O2" s="17">
        <v>13.4</v>
      </c>
      <c r="P2" s="17">
        <v>13.4</v>
      </c>
      <c r="Q2" s="17">
        <v>13.4</v>
      </c>
      <c r="R2" s="17">
        <v>13.4</v>
      </c>
      <c r="S2" s="17">
        <v>13.4</v>
      </c>
      <c r="T2" s="17">
        <v>13.4</v>
      </c>
      <c r="U2" s="17">
        <v>13.4</v>
      </c>
      <c r="V2" s="17">
        <v>13.4</v>
      </c>
    </row>
    <row r="3" spans="1:22" x14ac:dyDescent="0.25">
      <c r="A3" s="6">
        <v>1000</v>
      </c>
      <c r="B3" s="17">
        <v>13</v>
      </c>
      <c r="C3" s="17">
        <v>13</v>
      </c>
      <c r="D3" s="17">
        <v>13</v>
      </c>
      <c r="E3" s="17">
        <v>13</v>
      </c>
      <c r="F3" s="17">
        <v>13</v>
      </c>
      <c r="G3" s="17">
        <v>13.4</v>
      </c>
      <c r="H3" s="17">
        <v>13.4</v>
      </c>
      <c r="I3" s="17">
        <v>13.4</v>
      </c>
      <c r="J3" s="17">
        <v>13.4</v>
      </c>
      <c r="K3" s="17">
        <v>13.4</v>
      </c>
      <c r="L3" s="17">
        <v>13.4</v>
      </c>
      <c r="M3" s="17">
        <v>13.4</v>
      </c>
      <c r="N3" s="17">
        <v>13.4</v>
      </c>
      <c r="O3" s="17">
        <v>13.4</v>
      </c>
      <c r="P3" s="17">
        <v>13.4</v>
      </c>
      <c r="Q3" s="17">
        <v>13.4</v>
      </c>
      <c r="R3" s="17">
        <v>13.4</v>
      </c>
      <c r="S3" s="17">
        <v>13.4</v>
      </c>
      <c r="T3" s="17">
        <v>13.4</v>
      </c>
      <c r="U3" s="17">
        <v>13.4</v>
      </c>
      <c r="V3" s="17">
        <v>13.4</v>
      </c>
    </row>
    <row r="4" spans="1:22" x14ac:dyDescent="0.25">
      <c r="A4" s="6">
        <v>1200</v>
      </c>
      <c r="B4" s="17">
        <v>13</v>
      </c>
      <c r="C4" s="17">
        <v>13</v>
      </c>
      <c r="D4" s="17">
        <v>13</v>
      </c>
      <c r="E4" s="17">
        <v>13</v>
      </c>
      <c r="F4" s="17">
        <v>13</v>
      </c>
      <c r="G4" s="17">
        <v>13.4</v>
      </c>
      <c r="H4" s="17">
        <v>13.4</v>
      </c>
      <c r="I4" s="17">
        <v>13.4</v>
      </c>
      <c r="J4" s="17">
        <v>13.4</v>
      </c>
      <c r="K4" s="17">
        <v>13.4</v>
      </c>
      <c r="L4" s="17">
        <v>13.4</v>
      </c>
      <c r="M4" s="17">
        <v>13.4</v>
      </c>
      <c r="N4" s="17">
        <v>13.4</v>
      </c>
      <c r="O4" s="17">
        <v>13.4</v>
      </c>
      <c r="P4" s="17">
        <v>13.4</v>
      </c>
      <c r="Q4" s="17">
        <v>13.4</v>
      </c>
      <c r="R4" s="17">
        <v>13.4</v>
      </c>
      <c r="S4" s="17">
        <v>13.4</v>
      </c>
      <c r="T4" s="17">
        <v>13.4</v>
      </c>
      <c r="U4" s="17">
        <v>13.4</v>
      </c>
      <c r="V4" s="17">
        <v>13.4</v>
      </c>
    </row>
    <row r="5" spans="1:22" x14ac:dyDescent="0.25">
      <c r="A5" s="6">
        <v>1400</v>
      </c>
      <c r="B5" s="17">
        <v>13</v>
      </c>
      <c r="C5" s="17">
        <v>13</v>
      </c>
      <c r="D5" s="17">
        <v>13</v>
      </c>
      <c r="E5" s="17">
        <v>13</v>
      </c>
      <c r="F5" s="17">
        <v>13</v>
      </c>
      <c r="G5" s="17">
        <v>13.4</v>
      </c>
      <c r="H5" s="17">
        <v>13.4</v>
      </c>
      <c r="I5" s="17">
        <v>13.4</v>
      </c>
      <c r="J5" s="17">
        <v>13.4</v>
      </c>
      <c r="K5" s="17">
        <v>13.4</v>
      </c>
      <c r="L5" s="17">
        <v>13.4</v>
      </c>
      <c r="M5" s="17">
        <v>13.4</v>
      </c>
      <c r="N5" s="17">
        <v>13.4</v>
      </c>
      <c r="O5" s="17">
        <v>13.4</v>
      </c>
      <c r="P5" s="17">
        <v>13.4</v>
      </c>
      <c r="Q5" s="17">
        <v>13.4</v>
      </c>
      <c r="R5" s="17">
        <v>13.4</v>
      </c>
      <c r="S5" s="17">
        <v>13.4</v>
      </c>
      <c r="T5" s="17">
        <v>13.4</v>
      </c>
      <c r="U5" s="17">
        <v>13.4</v>
      </c>
      <c r="V5" s="17">
        <v>13.4</v>
      </c>
    </row>
    <row r="6" spans="1:22" x14ac:dyDescent="0.25">
      <c r="A6" s="6">
        <v>1600</v>
      </c>
      <c r="B6" s="17">
        <v>13</v>
      </c>
      <c r="C6" s="17">
        <v>13</v>
      </c>
      <c r="D6" s="17">
        <v>13</v>
      </c>
      <c r="E6" s="17">
        <v>13</v>
      </c>
      <c r="F6" s="17">
        <v>13</v>
      </c>
      <c r="G6" s="17">
        <v>13.4</v>
      </c>
      <c r="H6" s="17">
        <v>13.4</v>
      </c>
      <c r="I6" s="17">
        <v>13.4</v>
      </c>
      <c r="J6" s="17">
        <v>13.4</v>
      </c>
      <c r="K6" s="17">
        <v>13.4</v>
      </c>
      <c r="L6" s="17">
        <v>13.4</v>
      </c>
      <c r="M6" s="17">
        <v>13.4</v>
      </c>
      <c r="N6" s="17">
        <v>13.4</v>
      </c>
      <c r="O6" s="17">
        <v>13.4</v>
      </c>
      <c r="P6" s="17">
        <v>13.4</v>
      </c>
      <c r="Q6" s="17">
        <v>13.4</v>
      </c>
      <c r="R6" s="17">
        <v>13.4</v>
      </c>
      <c r="S6" s="17">
        <v>13.4</v>
      </c>
      <c r="T6" s="17">
        <v>13.4</v>
      </c>
      <c r="U6" s="17">
        <v>13.4</v>
      </c>
      <c r="V6" s="17">
        <v>13.4</v>
      </c>
    </row>
    <row r="7" spans="1:22" x14ac:dyDescent="0.25">
      <c r="A7" s="6">
        <v>1800</v>
      </c>
      <c r="B7" s="17">
        <v>13</v>
      </c>
      <c r="C7" s="17">
        <v>13</v>
      </c>
      <c r="D7" s="17">
        <v>13</v>
      </c>
      <c r="E7" s="17">
        <v>13</v>
      </c>
      <c r="F7" s="17">
        <v>13</v>
      </c>
      <c r="G7" s="17">
        <v>13.4</v>
      </c>
      <c r="H7" s="17">
        <v>13.4</v>
      </c>
      <c r="I7" s="17">
        <v>13.4</v>
      </c>
      <c r="J7" s="17">
        <v>13.4</v>
      </c>
      <c r="K7" s="17">
        <v>13.4</v>
      </c>
      <c r="L7" s="17">
        <v>13.4</v>
      </c>
      <c r="M7" s="17">
        <v>13.4</v>
      </c>
      <c r="N7" s="17">
        <v>13.4</v>
      </c>
      <c r="O7" s="17">
        <v>13.4</v>
      </c>
      <c r="P7" s="17">
        <v>13.4</v>
      </c>
      <c r="Q7" s="17">
        <v>13.4</v>
      </c>
      <c r="R7" s="17">
        <v>13.4</v>
      </c>
      <c r="S7" s="17">
        <v>13.4</v>
      </c>
      <c r="T7" s="17">
        <v>13.4</v>
      </c>
      <c r="U7" s="17">
        <v>13.4</v>
      </c>
      <c r="V7" s="17">
        <v>13.4</v>
      </c>
    </row>
    <row r="8" spans="1:22" x14ac:dyDescent="0.25">
      <c r="A8" s="6">
        <v>2000</v>
      </c>
      <c r="B8" s="17">
        <v>13</v>
      </c>
      <c r="C8" s="17">
        <v>13</v>
      </c>
      <c r="D8" s="17">
        <v>13</v>
      </c>
      <c r="E8" s="17">
        <v>13</v>
      </c>
      <c r="F8" s="17">
        <v>13</v>
      </c>
      <c r="G8" s="17">
        <v>13.4</v>
      </c>
      <c r="H8" s="17">
        <v>13.4</v>
      </c>
      <c r="I8" s="17">
        <v>13.4</v>
      </c>
      <c r="J8" s="17">
        <v>13.4</v>
      </c>
      <c r="K8" s="17">
        <v>13.4</v>
      </c>
      <c r="L8" s="17">
        <v>13.4</v>
      </c>
      <c r="M8" s="17">
        <v>13.4</v>
      </c>
      <c r="N8" s="17">
        <v>13.4</v>
      </c>
      <c r="O8" s="17">
        <v>13.4</v>
      </c>
      <c r="P8" s="17">
        <v>13.4</v>
      </c>
      <c r="Q8" s="17">
        <v>13.4</v>
      </c>
      <c r="R8" s="17">
        <v>13.4</v>
      </c>
      <c r="S8" s="17">
        <v>13.4</v>
      </c>
      <c r="T8" s="17">
        <v>13.4</v>
      </c>
      <c r="U8" s="17">
        <v>13.4</v>
      </c>
      <c r="V8" s="17">
        <v>13.4</v>
      </c>
    </row>
    <row r="9" spans="1:22" x14ac:dyDescent="0.25">
      <c r="A9" s="6">
        <v>2200</v>
      </c>
      <c r="B9" s="17">
        <v>13.4</v>
      </c>
      <c r="C9" s="17">
        <v>13.4</v>
      </c>
      <c r="D9" s="17">
        <v>13.4</v>
      </c>
      <c r="E9" s="17">
        <v>13.4</v>
      </c>
      <c r="F9" s="17">
        <v>13.4</v>
      </c>
      <c r="G9" s="17">
        <v>13.4</v>
      </c>
      <c r="H9" s="17">
        <v>13.4</v>
      </c>
      <c r="I9" s="17">
        <v>13.4</v>
      </c>
      <c r="J9" s="17">
        <v>13.4</v>
      </c>
      <c r="K9" s="17">
        <v>13.4</v>
      </c>
      <c r="L9" s="17">
        <v>13.4</v>
      </c>
      <c r="M9" s="17">
        <v>13.4</v>
      </c>
      <c r="N9" s="17">
        <v>13.4</v>
      </c>
      <c r="O9" s="17">
        <v>13.4</v>
      </c>
      <c r="P9" s="17">
        <v>13.4</v>
      </c>
      <c r="Q9" s="17">
        <v>13.4</v>
      </c>
      <c r="R9" s="17">
        <v>13.4</v>
      </c>
      <c r="S9" s="17">
        <v>13.4</v>
      </c>
      <c r="T9" s="17">
        <v>13.4</v>
      </c>
      <c r="U9" s="17">
        <v>13.4</v>
      </c>
      <c r="V9" s="17">
        <v>13.4</v>
      </c>
    </row>
    <row r="10" spans="1:22" x14ac:dyDescent="0.25">
      <c r="A10" s="6">
        <v>2400</v>
      </c>
      <c r="B10" s="17">
        <v>13.4</v>
      </c>
      <c r="C10" s="17">
        <v>13.4</v>
      </c>
      <c r="D10" s="17">
        <v>13.4</v>
      </c>
      <c r="E10" s="17">
        <v>13.4</v>
      </c>
      <c r="F10" s="17">
        <v>13.4</v>
      </c>
      <c r="G10" s="17">
        <v>13.4</v>
      </c>
      <c r="H10" s="17">
        <v>13.4</v>
      </c>
      <c r="I10" s="17">
        <v>13.4</v>
      </c>
      <c r="J10" s="17">
        <v>13.4</v>
      </c>
      <c r="K10" s="17">
        <v>13.4</v>
      </c>
      <c r="L10" s="17">
        <v>13.4</v>
      </c>
      <c r="M10" s="17">
        <v>13.4</v>
      </c>
      <c r="N10" s="17">
        <v>13.4</v>
      </c>
      <c r="O10" s="17">
        <v>13.4</v>
      </c>
      <c r="P10" s="17">
        <v>13.4</v>
      </c>
      <c r="Q10" s="17">
        <v>13.4</v>
      </c>
      <c r="R10" s="17">
        <v>13.4</v>
      </c>
      <c r="S10" s="17">
        <v>13.4</v>
      </c>
      <c r="T10" s="17">
        <v>13.4</v>
      </c>
      <c r="U10" s="17">
        <v>13.4</v>
      </c>
      <c r="V10" s="17">
        <v>13.4</v>
      </c>
    </row>
    <row r="11" spans="1:22" x14ac:dyDescent="0.25">
      <c r="A11" s="6">
        <v>2600</v>
      </c>
      <c r="B11" s="17">
        <v>13.4</v>
      </c>
      <c r="C11" s="17">
        <v>13.4</v>
      </c>
      <c r="D11" s="17">
        <v>13.4</v>
      </c>
      <c r="E11" s="17">
        <v>13.4</v>
      </c>
      <c r="F11" s="17">
        <v>13.4</v>
      </c>
      <c r="G11" s="17">
        <v>13.4</v>
      </c>
      <c r="H11" s="17">
        <v>13.4</v>
      </c>
      <c r="I11" s="17">
        <v>13.4</v>
      </c>
      <c r="J11" s="17">
        <v>13.4</v>
      </c>
      <c r="K11" s="17">
        <v>13.4</v>
      </c>
      <c r="L11" s="17">
        <v>13.4</v>
      </c>
      <c r="M11" s="17">
        <v>13.4</v>
      </c>
      <c r="N11" s="17">
        <v>13.4</v>
      </c>
      <c r="O11" s="17">
        <v>13.4</v>
      </c>
      <c r="P11" s="17">
        <v>13.4</v>
      </c>
      <c r="Q11" s="17">
        <v>13.4</v>
      </c>
      <c r="R11" s="17">
        <v>13.4</v>
      </c>
      <c r="S11" s="17">
        <v>13.4</v>
      </c>
      <c r="T11" s="17">
        <v>13.4</v>
      </c>
      <c r="U11" s="17">
        <v>13.4</v>
      </c>
      <c r="V11" s="17">
        <v>13.4</v>
      </c>
    </row>
    <row r="12" spans="1:22" x14ac:dyDescent="0.25">
      <c r="A12" s="6">
        <v>2800</v>
      </c>
      <c r="B12" s="17">
        <v>13.4</v>
      </c>
      <c r="C12" s="17">
        <v>13.4</v>
      </c>
      <c r="D12" s="17">
        <v>13.4</v>
      </c>
      <c r="E12" s="17">
        <v>13.4</v>
      </c>
      <c r="F12" s="17">
        <v>13.4</v>
      </c>
      <c r="G12" s="17">
        <v>13.4</v>
      </c>
      <c r="H12" s="17">
        <v>13.4</v>
      </c>
      <c r="I12" s="17">
        <v>13.4</v>
      </c>
      <c r="J12" s="17">
        <v>13.4</v>
      </c>
      <c r="K12" s="17">
        <v>13.4</v>
      </c>
      <c r="L12" s="17">
        <v>13.4</v>
      </c>
      <c r="M12" s="17">
        <v>13.4</v>
      </c>
      <c r="N12" s="17">
        <v>13.4</v>
      </c>
      <c r="O12" s="17">
        <v>13.4</v>
      </c>
      <c r="P12" s="17">
        <v>13.4</v>
      </c>
      <c r="Q12" s="17">
        <v>13.4</v>
      </c>
      <c r="R12" s="17">
        <v>13.4</v>
      </c>
      <c r="S12" s="17">
        <v>13.4</v>
      </c>
      <c r="T12" s="17">
        <v>13.4</v>
      </c>
      <c r="U12" s="17">
        <v>13.4</v>
      </c>
      <c r="V12" s="17">
        <v>13.4</v>
      </c>
    </row>
    <row r="13" spans="1:22" x14ac:dyDescent="0.25">
      <c r="A13" s="6">
        <v>3000</v>
      </c>
      <c r="B13" s="17">
        <v>13.4</v>
      </c>
      <c r="C13" s="17">
        <v>13.4</v>
      </c>
      <c r="D13" s="17">
        <v>13.4</v>
      </c>
      <c r="E13" s="17">
        <v>13.4</v>
      </c>
      <c r="F13" s="17">
        <v>13.4</v>
      </c>
      <c r="G13" s="17">
        <v>13.4</v>
      </c>
      <c r="H13" s="17">
        <v>13.4</v>
      </c>
      <c r="I13" s="17">
        <v>13.4</v>
      </c>
      <c r="J13" s="17">
        <v>13.4</v>
      </c>
      <c r="K13" s="17">
        <v>13.4</v>
      </c>
      <c r="L13" s="17">
        <v>13.4</v>
      </c>
      <c r="M13" s="17">
        <v>13.4</v>
      </c>
      <c r="N13" s="17">
        <v>13.4</v>
      </c>
      <c r="O13" s="17">
        <v>13.4</v>
      </c>
      <c r="P13" s="17">
        <v>13.4</v>
      </c>
      <c r="Q13" s="17">
        <v>13.4</v>
      </c>
      <c r="R13" s="17">
        <v>13.4</v>
      </c>
      <c r="S13" s="17">
        <v>13.4</v>
      </c>
      <c r="T13" s="17">
        <v>13.4</v>
      </c>
      <c r="U13" s="17">
        <v>13.4</v>
      </c>
      <c r="V13" s="17">
        <v>13.4</v>
      </c>
    </row>
    <row r="14" spans="1:22" x14ac:dyDescent="0.25">
      <c r="A14" s="6">
        <v>3200</v>
      </c>
      <c r="B14" s="17">
        <v>13.4</v>
      </c>
      <c r="C14" s="17">
        <v>13.4</v>
      </c>
      <c r="D14" s="17">
        <v>13.4</v>
      </c>
      <c r="E14" s="17">
        <v>13.4</v>
      </c>
      <c r="F14" s="17">
        <v>13.4</v>
      </c>
      <c r="G14" s="17">
        <v>13.4</v>
      </c>
      <c r="H14" s="17">
        <v>13.4</v>
      </c>
      <c r="I14" s="17">
        <v>13.4</v>
      </c>
      <c r="J14" s="17">
        <v>13.4</v>
      </c>
      <c r="K14" s="17">
        <v>13.4</v>
      </c>
      <c r="L14" s="17">
        <v>13.4</v>
      </c>
      <c r="M14" s="17">
        <v>13.4</v>
      </c>
      <c r="N14" s="17">
        <v>13.4</v>
      </c>
      <c r="O14" s="17">
        <v>13.4</v>
      </c>
      <c r="P14" s="17">
        <v>13.4</v>
      </c>
      <c r="Q14" s="17">
        <v>13.4</v>
      </c>
      <c r="R14" s="17">
        <v>13.4</v>
      </c>
      <c r="S14" s="17">
        <v>13.4</v>
      </c>
      <c r="T14" s="17">
        <v>13.4</v>
      </c>
      <c r="U14" s="17">
        <v>13.4</v>
      </c>
      <c r="V14" s="17">
        <v>13.4</v>
      </c>
    </row>
    <row r="15" spans="1:22" x14ac:dyDescent="0.25">
      <c r="A15" s="6">
        <v>3400</v>
      </c>
      <c r="B15" s="17">
        <v>13.4</v>
      </c>
      <c r="C15" s="17">
        <v>13.4</v>
      </c>
      <c r="D15" s="17">
        <v>13.4</v>
      </c>
      <c r="E15" s="17">
        <v>13.4</v>
      </c>
      <c r="F15" s="17">
        <v>13.4</v>
      </c>
      <c r="G15" s="17">
        <v>13.4</v>
      </c>
      <c r="H15" s="17">
        <v>13.4</v>
      </c>
      <c r="I15" s="17">
        <v>13.4</v>
      </c>
      <c r="J15" s="17">
        <v>13.4</v>
      </c>
      <c r="K15" s="17">
        <v>13.4</v>
      </c>
      <c r="L15" s="17">
        <v>13.4</v>
      </c>
      <c r="M15" s="17">
        <v>13.4</v>
      </c>
      <c r="N15" s="17">
        <v>13.4</v>
      </c>
      <c r="O15" s="17">
        <v>13.4</v>
      </c>
      <c r="P15" s="17">
        <v>13.4</v>
      </c>
      <c r="Q15" s="17">
        <v>13.4</v>
      </c>
      <c r="R15" s="17">
        <v>13.4</v>
      </c>
      <c r="S15" s="17">
        <v>13.4</v>
      </c>
      <c r="T15" s="17">
        <v>13.4</v>
      </c>
      <c r="U15" s="17">
        <v>13.4</v>
      </c>
      <c r="V15" s="17">
        <v>13.4</v>
      </c>
    </row>
    <row r="16" spans="1:22" x14ac:dyDescent="0.25">
      <c r="A16" s="6">
        <v>3600</v>
      </c>
      <c r="B16" s="17">
        <v>13.4</v>
      </c>
      <c r="C16" s="17">
        <v>13.4</v>
      </c>
      <c r="D16" s="17">
        <v>13.4</v>
      </c>
      <c r="E16" s="17">
        <v>13.4</v>
      </c>
      <c r="F16" s="17">
        <v>13.4</v>
      </c>
      <c r="G16" s="17">
        <v>13.4</v>
      </c>
      <c r="H16" s="17">
        <v>13.4</v>
      </c>
      <c r="I16" s="17">
        <v>13.4</v>
      </c>
      <c r="J16" s="17">
        <v>13.4</v>
      </c>
      <c r="K16" s="17">
        <v>13.4</v>
      </c>
      <c r="L16" s="17">
        <v>13.4</v>
      </c>
      <c r="M16" s="17">
        <v>13.4</v>
      </c>
      <c r="N16" s="17">
        <v>13.4</v>
      </c>
      <c r="O16" s="17">
        <v>13.4</v>
      </c>
      <c r="P16" s="17">
        <v>13.4</v>
      </c>
      <c r="Q16" s="17">
        <v>13.4</v>
      </c>
      <c r="R16" s="17">
        <v>13.4</v>
      </c>
      <c r="S16" s="17">
        <v>13.4</v>
      </c>
      <c r="T16" s="17">
        <v>13.4</v>
      </c>
      <c r="U16" s="17">
        <v>13.4</v>
      </c>
      <c r="V16" s="17">
        <v>13.4</v>
      </c>
    </row>
    <row r="17" spans="1:22" x14ac:dyDescent="0.25">
      <c r="A17" s="6">
        <v>3800</v>
      </c>
      <c r="B17" s="17">
        <v>13.5</v>
      </c>
      <c r="C17" s="17">
        <v>13.5</v>
      </c>
      <c r="D17" s="17">
        <v>13.5</v>
      </c>
      <c r="E17" s="17">
        <v>13.5</v>
      </c>
      <c r="F17" s="17">
        <v>13.5</v>
      </c>
      <c r="G17" s="17">
        <v>13.5</v>
      </c>
      <c r="H17" s="17">
        <v>13.5</v>
      </c>
      <c r="I17" s="17">
        <v>13.5</v>
      </c>
      <c r="J17" s="17">
        <v>13.5</v>
      </c>
      <c r="K17" s="17">
        <v>13.5</v>
      </c>
      <c r="L17" s="17">
        <v>13.5</v>
      </c>
      <c r="M17" s="17">
        <v>13.5</v>
      </c>
      <c r="N17" s="17">
        <v>13.5</v>
      </c>
      <c r="O17" s="17">
        <v>13.5</v>
      </c>
      <c r="P17" s="17">
        <v>13.5</v>
      </c>
      <c r="Q17" s="17">
        <v>13.5</v>
      </c>
      <c r="R17" s="17">
        <v>13.5</v>
      </c>
      <c r="S17" s="17">
        <v>13.5</v>
      </c>
      <c r="T17" s="17">
        <v>13.4</v>
      </c>
      <c r="U17" s="17">
        <v>13.2</v>
      </c>
      <c r="V17" s="17">
        <v>13.2</v>
      </c>
    </row>
    <row r="18" spans="1:22" x14ac:dyDescent="0.25">
      <c r="A18" s="6">
        <v>4000</v>
      </c>
      <c r="B18" s="17">
        <v>13.5</v>
      </c>
      <c r="C18" s="17">
        <v>13.5</v>
      </c>
      <c r="D18" s="17">
        <v>13.5</v>
      </c>
      <c r="E18" s="17">
        <v>13.5</v>
      </c>
      <c r="F18" s="17">
        <v>13.5</v>
      </c>
      <c r="G18" s="17">
        <v>13.5</v>
      </c>
      <c r="H18" s="17">
        <v>13.5</v>
      </c>
      <c r="I18" s="17">
        <v>13.5</v>
      </c>
      <c r="J18" s="17">
        <v>13.5</v>
      </c>
      <c r="K18" s="17">
        <v>13.5</v>
      </c>
      <c r="L18" s="17">
        <v>13.5</v>
      </c>
      <c r="M18" s="17">
        <v>13.5</v>
      </c>
      <c r="N18" s="17">
        <v>13.5</v>
      </c>
      <c r="O18" s="17">
        <v>13.5</v>
      </c>
      <c r="P18" s="17">
        <v>13.5</v>
      </c>
      <c r="Q18" s="17">
        <v>13.5</v>
      </c>
      <c r="R18" s="17">
        <v>13.5</v>
      </c>
      <c r="S18" s="17">
        <v>13.5</v>
      </c>
      <c r="T18" s="17">
        <v>13.4</v>
      </c>
      <c r="U18" s="17">
        <v>13.2</v>
      </c>
      <c r="V18" s="17">
        <v>13.2</v>
      </c>
    </row>
    <row r="19" spans="1:22" x14ac:dyDescent="0.25">
      <c r="A19" s="6">
        <v>4200</v>
      </c>
      <c r="B19" s="17">
        <v>13.4</v>
      </c>
      <c r="C19" s="17">
        <v>13.4</v>
      </c>
      <c r="D19" s="17">
        <v>13.4</v>
      </c>
      <c r="E19" s="17">
        <v>13.5</v>
      </c>
      <c r="F19" s="17">
        <v>13.5</v>
      </c>
      <c r="G19" s="17">
        <v>13.5</v>
      </c>
      <c r="H19" s="17">
        <v>13.5</v>
      </c>
      <c r="I19" s="17">
        <v>13.6</v>
      </c>
      <c r="J19" s="17">
        <v>13.6</v>
      </c>
      <c r="K19" s="17">
        <v>13.6</v>
      </c>
      <c r="L19" s="17">
        <v>13.6</v>
      </c>
      <c r="M19" s="17">
        <v>13.6</v>
      </c>
      <c r="N19" s="17">
        <v>13.6</v>
      </c>
      <c r="O19" s="17">
        <v>13.6</v>
      </c>
      <c r="P19" s="17">
        <v>13.5</v>
      </c>
      <c r="Q19" s="17">
        <v>13.5</v>
      </c>
      <c r="R19" s="17">
        <v>13.5</v>
      </c>
      <c r="S19" s="17">
        <v>13.5</v>
      </c>
      <c r="T19" s="17">
        <v>13.4</v>
      </c>
      <c r="U19" s="17">
        <v>13.2</v>
      </c>
      <c r="V19" s="17">
        <v>13.2</v>
      </c>
    </row>
    <row r="20" spans="1:22" x14ac:dyDescent="0.25">
      <c r="A20" s="6">
        <v>4400</v>
      </c>
      <c r="B20" s="17">
        <v>13.4</v>
      </c>
      <c r="C20" s="17">
        <v>13.4</v>
      </c>
      <c r="D20" s="17">
        <v>13.4</v>
      </c>
      <c r="E20" s="17">
        <v>13.5</v>
      </c>
      <c r="F20" s="17">
        <v>13.5</v>
      </c>
      <c r="G20" s="17">
        <v>13.5</v>
      </c>
      <c r="H20" s="17">
        <v>13.5</v>
      </c>
      <c r="I20" s="17">
        <v>13.6</v>
      </c>
      <c r="J20" s="17">
        <v>13.6</v>
      </c>
      <c r="K20" s="17">
        <v>13.6</v>
      </c>
      <c r="L20" s="17">
        <v>13.6</v>
      </c>
      <c r="M20" s="17">
        <v>13.6</v>
      </c>
      <c r="N20" s="17">
        <v>13.6</v>
      </c>
      <c r="O20" s="17">
        <v>13.6</v>
      </c>
      <c r="P20" s="17">
        <v>13.5</v>
      </c>
      <c r="Q20" s="17">
        <v>13.5</v>
      </c>
      <c r="R20" s="17">
        <v>13.5</v>
      </c>
      <c r="S20" s="17">
        <v>13.4</v>
      </c>
      <c r="T20" s="17">
        <v>13.2</v>
      </c>
      <c r="U20" s="17">
        <v>13.2</v>
      </c>
      <c r="V20" s="17">
        <v>13.2</v>
      </c>
    </row>
    <row r="21" spans="1:22" x14ac:dyDescent="0.25">
      <c r="A21" s="6">
        <v>4600</v>
      </c>
      <c r="B21" s="17">
        <v>13.2</v>
      </c>
      <c r="C21" s="17">
        <v>13.4</v>
      </c>
      <c r="D21" s="17">
        <v>13.4</v>
      </c>
      <c r="E21" s="17">
        <v>13.5</v>
      </c>
      <c r="F21" s="17">
        <v>13.5</v>
      </c>
      <c r="G21" s="17">
        <v>13.5</v>
      </c>
      <c r="H21" s="17">
        <v>13.5</v>
      </c>
      <c r="I21" s="17">
        <v>13.6</v>
      </c>
      <c r="J21" s="17">
        <v>13.6</v>
      </c>
      <c r="K21" s="17">
        <v>13.6</v>
      </c>
      <c r="L21" s="17">
        <v>13.6</v>
      </c>
      <c r="M21" s="17">
        <v>13.6</v>
      </c>
      <c r="N21" s="17">
        <v>13.6</v>
      </c>
      <c r="O21" s="17">
        <v>13.6</v>
      </c>
      <c r="P21" s="17">
        <v>13.5</v>
      </c>
      <c r="Q21" s="17">
        <v>13.5</v>
      </c>
      <c r="R21" s="17">
        <v>13.5</v>
      </c>
      <c r="S21" s="17">
        <v>13.4</v>
      </c>
      <c r="T21" s="17">
        <v>13.2</v>
      </c>
      <c r="U21" s="17">
        <v>13.2</v>
      </c>
      <c r="V21" s="17">
        <v>13.2</v>
      </c>
    </row>
    <row r="22" spans="1:22" x14ac:dyDescent="0.25">
      <c r="A22" s="6">
        <v>4800</v>
      </c>
      <c r="B22" s="17">
        <v>13.2</v>
      </c>
      <c r="C22" s="17">
        <v>13.2</v>
      </c>
      <c r="D22" s="17">
        <v>13.4</v>
      </c>
      <c r="E22" s="17">
        <v>13.5</v>
      </c>
      <c r="F22" s="17">
        <v>13.5</v>
      </c>
      <c r="G22" s="17">
        <v>13.5</v>
      </c>
      <c r="H22" s="17">
        <v>13.5</v>
      </c>
      <c r="I22" s="17">
        <v>13.6</v>
      </c>
      <c r="J22" s="17">
        <v>13.6</v>
      </c>
      <c r="K22" s="17">
        <v>13.6</v>
      </c>
      <c r="L22" s="17">
        <v>13.6</v>
      </c>
      <c r="M22" s="17">
        <v>13.6</v>
      </c>
      <c r="N22" s="17">
        <v>13.6</v>
      </c>
      <c r="O22" s="17">
        <v>13.6</v>
      </c>
      <c r="P22" s="17">
        <v>13.5</v>
      </c>
      <c r="Q22" s="17">
        <v>13.5</v>
      </c>
      <c r="R22" s="17">
        <v>13.5</v>
      </c>
      <c r="S22" s="17">
        <v>13.4</v>
      </c>
      <c r="T22" s="17">
        <v>13.2</v>
      </c>
      <c r="U22" s="17">
        <v>13.2</v>
      </c>
      <c r="V22" s="17">
        <v>13.2</v>
      </c>
    </row>
    <row r="23" spans="1:22" x14ac:dyDescent="0.25">
      <c r="A23" s="6">
        <v>5000</v>
      </c>
      <c r="B23" s="17">
        <v>13.2</v>
      </c>
      <c r="C23" s="17">
        <v>13.2</v>
      </c>
      <c r="D23" s="17">
        <v>13.4</v>
      </c>
      <c r="E23" s="17">
        <v>13.5</v>
      </c>
      <c r="F23" s="17">
        <v>13.5</v>
      </c>
      <c r="G23" s="17">
        <v>13.5</v>
      </c>
      <c r="H23" s="17">
        <v>13.5</v>
      </c>
      <c r="I23" s="17">
        <v>13.6</v>
      </c>
      <c r="J23" s="17">
        <v>13.6</v>
      </c>
      <c r="K23" s="17">
        <v>13.6</v>
      </c>
      <c r="L23" s="17">
        <v>13.6</v>
      </c>
      <c r="M23" s="17">
        <v>13.6</v>
      </c>
      <c r="N23" s="17">
        <v>13.6</v>
      </c>
      <c r="O23" s="17">
        <v>13.6</v>
      </c>
      <c r="P23" s="17">
        <v>13.5</v>
      </c>
      <c r="Q23" s="17">
        <v>13.5</v>
      </c>
      <c r="R23" s="17">
        <v>13.5</v>
      </c>
      <c r="S23" s="17">
        <v>13.4</v>
      </c>
      <c r="T23" s="17">
        <v>13.2</v>
      </c>
      <c r="U23" s="17">
        <v>13.2</v>
      </c>
      <c r="V23" s="17">
        <v>13.2</v>
      </c>
    </row>
    <row r="24" spans="1:22" x14ac:dyDescent="0.25">
      <c r="A24" s="6">
        <v>5200</v>
      </c>
      <c r="B24" s="17">
        <v>13.2</v>
      </c>
      <c r="C24" s="17">
        <v>13.2</v>
      </c>
      <c r="D24" s="17">
        <v>13.4</v>
      </c>
      <c r="E24" s="17">
        <v>13.4</v>
      </c>
      <c r="F24" s="17">
        <v>13.5</v>
      </c>
      <c r="G24" s="17">
        <v>13.5</v>
      </c>
      <c r="H24" s="17">
        <v>13.5</v>
      </c>
      <c r="I24" s="17">
        <v>13.6</v>
      </c>
      <c r="J24" s="17">
        <v>13.6</v>
      </c>
      <c r="K24" s="17">
        <v>13.6</v>
      </c>
      <c r="L24" s="17">
        <v>13.6</v>
      </c>
      <c r="M24" s="17">
        <v>13.6</v>
      </c>
      <c r="N24" s="17">
        <v>13.6</v>
      </c>
      <c r="O24" s="17">
        <v>13.6</v>
      </c>
      <c r="P24" s="17">
        <v>13.5</v>
      </c>
      <c r="Q24" s="17">
        <v>13.5</v>
      </c>
      <c r="R24" s="17">
        <v>13.5</v>
      </c>
      <c r="S24" s="17">
        <v>13.4</v>
      </c>
      <c r="T24" s="17">
        <v>13.2</v>
      </c>
      <c r="U24" s="17">
        <v>13.2</v>
      </c>
      <c r="V24" s="17">
        <v>13.2</v>
      </c>
    </row>
    <row r="25" spans="1:22" x14ac:dyDescent="0.25">
      <c r="A25" s="6">
        <v>5600</v>
      </c>
      <c r="B25" s="17">
        <v>13.2</v>
      </c>
      <c r="C25" s="17">
        <v>13.2</v>
      </c>
      <c r="D25" s="17">
        <v>13.2</v>
      </c>
      <c r="E25" s="17">
        <v>13.4</v>
      </c>
      <c r="F25" s="17">
        <v>13.4</v>
      </c>
      <c r="G25" s="17">
        <v>13.4</v>
      </c>
      <c r="H25" s="17">
        <v>13.4</v>
      </c>
      <c r="I25" s="17">
        <v>13.4</v>
      </c>
      <c r="J25" s="17">
        <v>13.4</v>
      </c>
      <c r="K25" s="17">
        <v>13.4</v>
      </c>
      <c r="L25" s="17">
        <v>13.5</v>
      </c>
      <c r="M25" s="17">
        <v>13.5</v>
      </c>
      <c r="N25" s="17">
        <v>13.5</v>
      </c>
      <c r="O25" s="17">
        <v>13.5</v>
      </c>
      <c r="P25" s="17">
        <v>13.4</v>
      </c>
      <c r="Q25" s="17">
        <v>13.4</v>
      </c>
      <c r="R25" s="17">
        <v>13.4</v>
      </c>
      <c r="S25" s="17">
        <v>13.4</v>
      </c>
      <c r="T25" s="17">
        <v>13.2</v>
      </c>
      <c r="U25" s="17">
        <v>13.2</v>
      </c>
      <c r="V25" s="17">
        <v>13.2</v>
      </c>
    </row>
    <row r="26" spans="1:22" x14ac:dyDescent="0.25">
      <c r="A26" s="6">
        <v>6000</v>
      </c>
      <c r="B26" s="17">
        <v>13.2</v>
      </c>
      <c r="C26" s="17">
        <v>13.2</v>
      </c>
      <c r="D26" s="17">
        <v>13.2</v>
      </c>
      <c r="E26" s="17">
        <v>13.2</v>
      </c>
      <c r="F26" s="17">
        <v>13.2</v>
      </c>
      <c r="G26" s="17">
        <v>13.2</v>
      </c>
      <c r="H26" s="17">
        <v>13.2</v>
      </c>
      <c r="I26" s="17">
        <v>13.2</v>
      </c>
      <c r="J26" s="17">
        <v>13.2</v>
      </c>
      <c r="K26" s="17">
        <v>13.4</v>
      </c>
      <c r="L26" s="17">
        <v>13.4</v>
      </c>
      <c r="M26" s="17">
        <v>13.4</v>
      </c>
      <c r="N26" s="17">
        <v>13.4</v>
      </c>
      <c r="O26" s="17">
        <v>13.4</v>
      </c>
      <c r="P26" s="17">
        <v>13.4</v>
      </c>
      <c r="Q26" s="17">
        <v>13.2</v>
      </c>
      <c r="R26" s="17">
        <v>13.2</v>
      </c>
      <c r="S26" s="17">
        <v>13.2</v>
      </c>
      <c r="T26" s="17">
        <v>13.2</v>
      </c>
      <c r="U26" s="17">
        <v>13.2</v>
      </c>
      <c r="V26" s="17">
        <v>13.2</v>
      </c>
    </row>
    <row r="27" spans="1:22" x14ac:dyDescent="0.25">
      <c r="A27" s="6">
        <v>6400</v>
      </c>
      <c r="B27" s="17">
        <v>13.2</v>
      </c>
      <c r="C27" s="17">
        <v>13.2</v>
      </c>
      <c r="D27" s="17">
        <v>13.2</v>
      </c>
      <c r="E27" s="17">
        <v>13.2</v>
      </c>
      <c r="F27" s="17">
        <v>13.2</v>
      </c>
      <c r="G27" s="17">
        <v>13.2</v>
      </c>
      <c r="H27" s="17">
        <v>13.2</v>
      </c>
      <c r="I27" s="17">
        <v>13.2</v>
      </c>
      <c r="J27" s="17">
        <v>13.2</v>
      </c>
      <c r="K27" s="17">
        <v>13.2</v>
      </c>
      <c r="L27" s="17">
        <v>13.2</v>
      </c>
      <c r="M27" s="17">
        <v>13.2</v>
      </c>
      <c r="N27" s="17">
        <v>13.2</v>
      </c>
      <c r="O27" s="17">
        <v>13.2</v>
      </c>
      <c r="P27" s="17">
        <v>13.2</v>
      </c>
      <c r="Q27" s="17">
        <v>13.2</v>
      </c>
      <c r="R27" s="17">
        <v>13.2</v>
      </c>
      <c r="S27" s="17">
        <v>13.2</v>
      </c>
      <c r="T27" s="17">
        <v>13.2</v>
      </c>
      <c r="U27" s="17">
        <v>13.2</v>
      </c>
      <c r="V27" s="17">
        <v>13.2</v>
      </c>
    </row>
    <row r="28" spans="1:22" x14ac:dyDescent="0.25">
      <c r="A28" s="6">
        <v>6800</v>
      </c>
      <c r="B28" s="17">
        <v>13.2</v>
      </c>
      <c r="C28" s="17">
        <v>13.2</v>
      </c>
      <c r="D28" s="17">
        <v>13.2</v>
      </c>
      <c r="E28" s="17">
        <v>13.2</v>
      </c>
      <c r="F28" s="17">
        <v>13.2</v>
      </c>
      <c r="G28" s="17">
        <v>13.2</v>
      </c>
      <c r="H28" s="17">
        <v>13.2</v>
      </c>
      <c r="I28" s="17">
        <v>13.2</v>
      </c>
      <c r="J28" s="17">
        <v>13.2</v>
      </c>
      <c r="K28" s="17">
        <v>13.2</v>
      </c>
      <c r="L28" s="17">
        <v>13.2</v>
      </c>
      <c r="M28" s="17">
        <v>13.2</v>
      </c>
      <c r="N28" s="17">
        <v>13.2</v>
      </c>
      <c r="O28" s="17">
        <v>13.2</v>
      </c>
      <c r="P28" s="17">
        <v>13.2</v>
      </c>
      <c r="Q28" s="17">
        <v>13.2</v>
      </c>
      <c r="R28" s="17">
        <v>13.2</v>
      </c>
      <c r="S28" s="17">
        <v>13.2</v>
      </c>
      <c r="T28" s="17">
        <v>13.2</v>
      </c>
      <c r="U28" s="17">
        <v>13.2</v>
      </c>
      <c r="V28" s="17">
        <v>13.2</v>
      </c>
    </row>
    <row r="29" spans="1:22" x14ac:dyDescent="0.25">
      <c r="A29" s="6">
        <v>7200</v>
      </c>
      <c r="B29" s="17">
        <v>13.2</v>
      </c>
      <c r="C29" s="17">
        <v>13.2</v>
      </c>
      <c r="D29" s="17">
        <v>13.2</v>
      </c>
      <c r="E29" s="17">
        <v>13.2</v>
      </c>
      <c r="F29" s="17">
        <v>13.2</v>
      </c>
      <c r="G29" s="17">
        <v>13.2</v>
      </c>
      <c r="H29" s="17">
        <v>13.2</v>
      </c>
      <c r="I29" s="17">
        <v>13.2</v>
      </c>
      <c r="J29" s="17">
        <v>13.2</v>
      </c>
      <c r="K29" s="17">
        <v>13.2</v>
      </c>
      <c r="L29" s="17">
        <v>13.2</v>
      </c>
      <c r="M29" s="17">
        <v>13.2</v>
      </c>
      <c r="N29" s="17">
        <v>13.2</v>
      </c>
      <c r="O29" s="17">
        <v>13.2</v>
      </c>
      <c r="P29" s="17">
        <v>13.2</v>
      </c>
      <c r="Q29" s="17">
        <v>13.2</v>
      </c>
      <c r="R29" s="17">
        <v>13.2</v>
      </c>
      <c r="S29" s="17">
        <v>13.2</v>
      </c>
      <c r="T29" s="17">
        <v>13.2</v>
      </c>
      <c r="U29" s="17">
        <v>13.2</v>
      </c>
      <c r="V29" s="17">
        <v>13.2</v>
      </c>
    </row>
    <row r="30" spans="1:22" x14ac:dyDescent="0.25">
      <c r="A30" s="6">
        <v>7600</v>
      </c>
      <c r="B30" s="17">
        <v>13.2</v>
      </c>
      <c r="C30" s="17">
        <v>13.2</v>
      </c>
      <c r="D30" s="17">
        <v>13.2</v>
      </c>
      <c r="E30" s="17">
        <v>13.2</v>
      </c>
      <c r="F30" s="17">
        <v>13.2</v>
      </c>
      <c r="G30" s="17">
        <v>13.2</v>
      </c>
      <c r="H30" s="17">
        <v>13.2</v>
      </c>
      <c r="I30" s="17">
        <v>13.2</v>
      </c>
      <c r="J30" s="17">
        <v>13.2</v>
      </c>
      <c r="K30" s="17">
        <v>13.2</v>
      </c>
      <c r="L30" s="17">
        <v>13.2</v>
      </c>
      <c r="M30" s="17">
        <v>13.2</v>
      </c>
      <c r="N30" s="17">
        <v>13.2</v>
      </c>
      <c r="O30" s="17">
        <v>13.2</v>
      </c>
      <c r="P30" s="17">
        <v>13.2</v>
      </c>
      <c r="Q30" s="17">
        <v>13.2</v>
      </c>
      <c r="R30" s="17">
        <v>13.2</v>
      </c>
      <c r="S30" s="17">
        <v>13.2</v>
      </c>
      <c r="T30" s="17">
        <v>13.2</v>
      </c>
      <c r="U30" s="17">
        <v>13.2</v>
      </c>
      <c r="V30" s="17">
        <v>13.2</v>
      </c>
    </row>
    <row r="31" spans="1:22" x14ac:dyDescent="0.25">
      <c r="A31" s="6">
        <v>8000</v>
      </c>
      <c r="B31" s="17">
        <v>13.2</v>
      </c>
      <c r="C31" s="17">
        <v>13.2</v>
      </c>
      <c r="D31" s="17">
        <v>13.2</v>
      </c>
      <c r="E31" s="17">
        <v>13.2</v>
      </c>
      <c r="F31" s="17">
        <v>13.2</v>
      </c>
      <c r="G31" s="17">
        <v>13.2</v>
      </c>
      <c r="H31" s="17">
        <v>13.2</v>
      </c>
      <c r="I31" s="17">
        <v>13.2</v>
      </c>
      <c r="J31" s="17">
        <v>13.2</v>
      </c>
      <c r="K31" s="17">
        <v>13.2</v>
      </c>
      <c r="L31" s="17">
        <v>13.2</v>
      </c>
      <c r="M31" s="17">
        <v>13.2</v>
      </c>
      <c r="N31" s="17">
        <v>13.2</v>
      </c>
      <c r="O31" s="17">
        <v>13.2</v>
      </c>
      <c r="P31" s="17">
        <v>13.2</v>
      </c>
      <c r="Q31" s="17">
        <v>13.2</v>
      </c>
      <c r="R31" s="17">
        <v>13.2</v>
      </c>
      <c r="S31" s="17">
        <v>13.2</v>
      </c>
      <c r="T31" s="17">
        <v>13.2</v>
      </c>
      <c r="U31" s="17">
        <v>13.2</v>
      </c>
      <c r="V31" s="17">
        <v>13.2</v>
      </c>
    </row>
    <row r="32" spans="1:22" x14ac:dyDescent="0.25">
      <c r="A32" s="6">
        <v>8400</v>
      </c>
      <c r="B32" s="17">
        <v>13.2</v>
      </c>
      <c r="C32" s="17">
        <v>13.2</v>
      </c>
      <c r="D32" s="17">
        <v>13.2</v>
      </c>
      <c r="E32" s="17">
        <v>13.2</v>
      </c>
      <c r="F32" s="17">
        <v>13.2</v>
      </c>
      <c r="G32" s="17">
        <v>13.2</v>
      </c>
      <c r="H32" s="17">
        <v>13.2</v>
      </c>
      <c r="I32" s="17">
        <v>13.2</v>
      </c>
      <c r="J32" s="17">
        <v>13.2</v>
      </c>
      <c r="K32" s="17">
        <v>13.2</v>
      </c>
      <c r="L32" s="17">
        <v>13.2</v>
      </c>
      <c r="M32" s="17">
        <v>13.2</v>
      </c>
      <c r="N32" s="17">
        <v>13.2</v>
      </c>
      <c r="O32" s="17">
        <v>13.2</v>
      </c>
      <c r="P32" s="17">
        <v>13.2</v>
      </c>
      <c r="Q32" s="17">
        <v>13.2</v>
      </c>
      <c r="R32" s="17">
        <v>13.2</v>
      </c>
      <c r="S32" s="17">
        <v>13.2</v>
      </c>
      <c r="T32" s="17">
        <v>13.2</v>
      </c>
      <c r="U32" s="17">
        <v>13.2</v>
      </c>
      <c r="V32" s="17">
        <v>13.2</v>
      </c>
    </row>
    <row r="33" spans="1:22" x14ac:dyDescent="0.25">
      <c r="A33" s="6">
        <v>8800</v>
      </c>
      <c r="B33" s="17">
        <v>13.2</v>
      </c>
      <c r="C33" s="17">
        <v>13.2</v>
      </c>
      <c r="D33" s="17">
        <v>13.2</v>
      </c>
      <c r="E33" s="17">
        <v>13.2</v>
      </c>
      <c r="F33" s="17">
        <v>13.2</v>
      </c>
      <c r="G33" s="17">
        <v>13.2</v>
      </c>
      <c r="H33" s="17">
        <v>13.2</v>
      </c>
      <c r="I33" s="17">
        <v>13.2</v>
      </c>
      <c r="J33" s="17">
        <v>13.2</v>
      </c>
      <c r="K33" s="17">
        <v>13.2</v>
      </c>
      <c r="L33" s="17">
        <v>13.2</v>
      </c>
      <c r="M33" s="17">
        <v>13.2</v>
      </c>
      <c r="N33" s="17">
        <v>13.2</v>
      </c>
      <c r="O33" s="17">
        <v>13.2</v>
      </c>
      <c r="P33" s="17">
        <v>13.2</v>
      </c>
      <c r="Q33" s="17">
        <v>13.2</v>
      </c>
      <c r="R33" s="17">
        <v>13.2</v>
      </c>
      <c r="S33" s="17">
        <v>13.2</v>
      </c>
      <c r="T33" s="17">
        <v>13.2</v>
      </c>
      <c r="U33" s="17">
        <v>13.2</v>
      </c>
      <c r="V33" s="17">
        <v>13.2</v>
      </c>
    </row>
    <row r="34" spans="1:22" x14ac:dyDescent="0.25">
      <c r="A34" s="6">
        <v>9200</v>
      </c>
      <c r="B34" s="17">
        <v>13.2</v>
      </c>
      <c r="C34" s="17">
        <v>13.2</v>
      </c>
      <c r="D34" s="17">
        <v>13.2</v>
      </c>
      <c r="E34" s="17">
        <v>13.2</v>
      </c>
      <c r="F34" s="17">
        <v>13.2</v>
      </c>
      <c r="G34" s="17">
        <v>13.2</v>
      </c>
      <c r="H34" s="17">
        <v>13.2</v>
      </c>
      <c r="I34" s="17">
        <v>13.2</v>
      </c>
      <c r="J34" s="17">
        <v>13.2</v>
      </c>
      <c r="K34" s="17">
        <v>13.2</v>
      </c>
      <c r="L34" s="17">
        <v>13.2</v>
      </c>
      <c r="M34" s="17">
        <v>13.2</v>
      </c>
      <c r="N34" s="17">
        <v>13.2</v>
      </c>
      <c r="O34" s="17">
        <v>13.2</v>
      </c>
      <c r="P34" s="17">
        <v>13.2</v>
      </c>
      <c r="Q34" s="17">
        <v>13.2</v>
      </c>
      <c r="R34" s="17">
        <v>13.2</v>
      </c>
      <c r="S34" s="17">
        <v>13.2</v>
      </c>
      <c r="T34" s="17">
        <v>13.2</v>
      </c>
      <c r="U34" s="17">
        <v>13.2</v>
      </c>
      <c r="V34" s="17">
        <v>13.2</v>
      </c>
    </row>
    <row r="35" spans="1:22" x14ac:dyDescent="0.25">
      <c r="A35" s="6">
        <v>9600</v>
      </c>
      <c r="B35" s="17">
        <v>13.2</v>
      </c>
      <c r="C35" s="17">
        <v>13.2</v>
      </c>
      <c r="D35" s="17">
        <v>13.2</v>
      </c>
      <c r="E35" s="17">
        <v>13.2</v>
      </c>
      <c r="F35" s="17">
        <v>13.2</v>
      </c>
      <c r="G35" s="17">
        <v>13.2</v>
      </c>
      <c r="H35" s="17">
        <v>13.2</v>
      </c>
      <c r="I35" s="17">
        <v>13.2</v>
      </c>
      <c r="J35" s="17">
        <v>13.2</v>
      </c>
      <c r="K35" s="17">
        <v>13.2</v>
      </c>
      <c r="L35" s="17">
        <v>13.2</v>
      </c>
      <c r="M35" s="17">
        <v>13.2</v>
      </c>
      <c r="N35" s="17">
        <v>13.2</v>
      </c>
      <c r="O35" s="17">
        <v>13.2</v>
      </c>
      <c r="P35" s="17">
        <v>13.2</v>
      </c>
      <c r="Q35" s="17">
        <v>13.2</v>
      </c>
      <c r="R35" s="17">
        <v>13.2</v>
      </c>
      <c r="S35" s="17">
        <v>13.2</v>
      </c>
      <c r="T35" s="17">
        <v>13.2</v>
      </c>
      <c r="U35" s="17">
        <v>13.2</v>
      </c>
      <c r="V35" s="17">
        <v>13.2</v>
      </c>
    </row>
    <row r="36" spans="1:22" x14ac:dyDescent="0.25">
      <c r="A36" s="6">
        <v>10000</v>
      </c>
      <c r="B36" s="17">
        <v>13.2</v>
      </c>
      <c r="C36" s="17">
        <v>13.2</v>
      </c>
      <c r="D36" s="17">
        <v>13.2</v>
      </c>
      <c r="E36" s="17">
        <v>13.2</v>
      </c>
      <c r="F36" s="17">
        <v>13.2</v>
      </c>
      <c r="G36" s="17">
        <v>13.2</v>
      </c>
      <c r="H36" s="17">
        <v>13.2</v>
      </c>
      <c r="I36" s="17">
        <v>13.2</v>
      </c>
      <c r="J36" s="17">
        <v>13.2</v>
      </c>
      <c r="K36" s="17">
        <v>13.2</v>
      </c>
      <c r="L36" s="17">
        <v>13.2</v>
      </c>
      <c r="M36" s="17">
        <v>13.2</v>
      </c>
      <c r="N36" s="17">
        <v>13.2</v>
      </c>
      <c r="O36" s="17">
        <v>13.2</v>
      </c>
      <c r="P36" s="17">
        <v>13.2</v>
      </c>
      <c r="Q36" s="17">
        <v>13.2</v>
      </c>
      <c r="R36" s="17">
        <v>13.2</v>
      </c>
      <c r="S36" s="17">
        <v>13.2</v>
      </c>
      <c r="T36" s="17">
        <v>13.2</v>
      </c>
      <c r="U36" s="17">
        <v>13.2</v>
      </c>
      <c r="V36" s="17">
        <v>13.2</v>
      </c>
    </row>
    <row r="37" spans="1:22" x14ac:dyDescent="0.25">
      <c r="A37" s="6">
        <v>10400</v>
      </c>
      <c r="B37" s="17">
        <v>13.2</v>
      </c>
      <c r="C37" s="17">
        <v>13.2</v>
      </c>
      <c r="D37" s="17">
        <v>13.2</v>
      </c>
      <c r="E37" s="17">
        <v>13.2</v>
      </c>
      <c r="F37" s="17">
        <v>13.2</v>
      </c>
      <c r="G37" s="17">
        <v>13.2</v>
      </c>
      <c r="H37" s="17">
        <v>13.2</v>
      </c>
      <c r="I37" s="17">
        <v>13.2</v>
      </c>
      <c r="J37" s="17">
        <v>13.2</v>
      </c>
      <c r="K37" s="17">
        <v>13.2</v>
      </c>
      <c r="L37" s="17">
        <v>13.2</v>
      </c>
      <c r="M37" s="17">
        <v>13.2</v>
      </c>
      <c r="N37" s="17">
        <v>13.2</v>
      </c>
      <c r="O37" s="17">
        <v>13.2</v>
      </c>
      <c r="P37" s="17">
        <v>13.2</v>
      </c>
      <c r="Q37" s="17">
        <v>13.2</v>
      </c>
      <c r="R37" s="17">
        <v>13.2</v>
      </c>
      <c r="S37" s="17">
        <v>13.2</v>
      </c>
      <c r="T37" s="17">
        <v>13.2</v>
      </c>
      <c r="U37" s="17">
        <v>13.2</v>
      </c>
      <c r="V37" s="17">
        <v>13.2</v>
      </c>
    </row>
    <row r="38" spans="1:22" x14ac:dyDescent="0.25">
      <c r="A38" s="6">
        <v>10800</v>
      </c>
      <c r="B38" s="17">
        <v>13.2</v>
      </c>
      <c r="C38" s="17">
        <v>13.2</v>
      </c>
      <c r="D38" s="17">
        <v>13.2</v>
      </c>
      <c r="E38" s="17">
        <v>13.2</v>
      </c>
      <c r="F38" s="17">
        <v>13.2</v>
      </c>
      <c r="G38" s="17">
        <v>13.2</v>
      </c>
      <c r="H38" s="17">
        <v>13.2</v>
      </c>
      <c r="I38" s="17">
        <v>13.2</v>
      </c>
      <c r="J38" s="17">
        <v>13.2</v>
      </c>
      <c r="K38" s="17">
        <v>13.2</v>
      </c>
      <c r="L38" s="17">
        <v>13.2</v>
      </c>
      <c r="M38" s="17">
        <v>13.2</v>
      </c>
      <c r="N38" s="17">
        <v>13.2</v>
      </c>
      <c r="O38" s="17">
        <v>13.2</v>
      </c>
      <c r="P38" s="17">
        <v>13.2</v>
      </c>
      <c r="Q38" s="17">
        <v>13.2</v>
      </c>
      <c r="R38" s="17">
        <v>13.2</v>
      </c>
      <c r="S38" s="17">
        <v>13.2</v>
      </c>
      <c r="T38" s="17">
        <v>13.2</v>
      </c>
      <c r="U38" s="17">
        <v>13.2</v>
      </c>
      <c r="V38" s="17">
        <v>13.2</v>
      </c>
    </row>
    <row r="39" spans="1:22" x14ac:dyDescent="0.25">
      <c r="A39" s="6">
        <v>11200</v>
      </c>
      <c r="B39" s="17">
        <v>13.2</v>
      </c>
      <c r="C39" s="17">
        <v>13.2</v>
      </c>
      <c r="D39" s="17">
        <v>13.2</v>
      </c>
      <c r="E39" s="17">
        <v>13.2</v>
      </c>
      <c r="F39" s="17">
        <v>13.2</v>
      </c>
      <c r="G39" s="17">
        <v>13.2</v>
      </c>
      <c r="H39" s="17">
        <v>13.2</v>
      </c>
      <c r="I39" s="17">
        <v>13.2</v>
      </c>
      <c r="J39" s="17">
        <v>13.2</v>
      </c>
      <c r="K39" s="17">
        <v>13.2</v>
      </c>
      <c r="L39" s="17">
        <v>13.2</v>
      </c>
      <c r="M39" s="17">
        <v>13.2</v>
      </c>
      <c r="N39" s="17">
        <v>13.2</v>
      </c>
      <c r="O39" s="17">
        <v>13.2</v>
      </c>
      <c r="P39" s="17">
        <v>13.2</v>
      </c>
      <c r="Q39" s="17">
        <v>13.2</v>
      </c>
      <c r="R39" s="17">
        <v>13.2</v>
      </c>
      <c r="S39" s="17">
        <v>13.2</v>
      </c>
      <c r="T39" s="17">
        <v>13.2</v>
      </c>
      <c r="U39" s="17">
        <v>13.2</v>
      </c>
      <c r="V39" s="17">
        <v>13.2</v>
      </c>
    </row>
    <row r="40" spans="1:22" x14ac:dyDescent="0.25">
      <c r="A40" s="6">
        <v>11600</v>
      </c>
      <c r="B40" s="17">
        <v>13.2</v>
      </c>
      <c r="C40" s="17">
        <v>13.2</v>
      </c>
      <c r="D40" s="17">
        <v>13.2</v>
      </c>
      <c r="E40" s="17">
        <v>13.2</v>
      </c>
      <c r="F40" s="17">
        <v>13.2</v>
      </c>
      <c r="G40" s="17">
        <v>13.2</v>
      </c>
      <c r="H40" s="17">
        <v>13.2</v>
      </c>
      <c r="I40" s="17">
        <v>13.2</v>
      </c>
      <c r="J40" s="17">
        <v>13.2</v>
      </c>
      <c r="K40" s="17">
        <v>13.2</v>
      </c>
      <c r="L40" s="17">
        <v>13.2</v>
      </c>
      <c r="M40" s="17">
        <v>13.2</v>
      </c>
      <c r="N40" s="17">
        <v>13.2</v>
      </c>
      <c r="O40" s="17">
        <v>13.2</v>
      </c>
      <c r="P40" s="17">
        <v>13.2</v>
      </c>
      <c r="Q40" s="17">
        <v>13.2</v>
      </c>
      <c r="R40" s="17">
        <v>13.2</v>
      </c>
      <c r="S40" s="17">
        <v>13.2</v>
      </c>
      <c r="T40" s="17">
        <v>13.2</v>
      </c>
      <c r="U40" s="17">
        <v>13.2</v>
      </c>
      <c r="V40" s="17">
        <v>13.2</v>
      </c>
    </row>
    <row r="41" spans="1:22" x14ac:dyDescent="0.25">
      <c r="A41" s="6">
        <v>12000</v>
      </c>
      <c r="B41" s="17">
        <v>13.2</v>
      </c>
      <c r="C41" s="17">
        <v>13.2</v>
      </c>
      <c r="D41" s="17">
        <v>13.2</v>
      </c>
      <c r="E41" s="17">
        <v>13.2</v>
      </c>
      <c r="F41" s="17">
        <v>13.2</v>
      </c>
      <c r="G41" s="17">
        <v>13.2</v>
      </c>
      <c r="H41" s="17">
        <v>13.2</v>
      </c>
      <c r="I41" s="17">
        <v>13.2</v>
      </c>
      <c r="J41" s="17">
        <v>13.2</v>
      </c>
      <c r="K41" s="17">
        <v>13.2</v>
      </c>
      <c r="L41" s="17">
        <v>13.2</v>
      </c>
      <c r="M41" s="17">
        <v>13.2</v>
      </c>
      <c r="N41" s="17">
        <v>13.2</v>
      </c>
      <c r="O41" s="17">
        <v>13.2</v>
      </c>
      <c r="P41" s="17">
        <v>13.2</v>
      </c>
      <c r="Q41" s="17">
        <v>13.2</v>
      </c>
      <c r="R41" s="17">
        <v>13.2</v>
      </c>
      <c r="S41" s="17">
        <v>13.2</v>
      </c>
      <c r="T41" s="17">
        <v>13.2</v>
      </c>
      <c r="U41" s="17">
        <v>13.2</v>
      </c>
      <c r="V41" s="17">
        <v>13.2</v>
      </c>
    </row>
    <row r="42" spans="1:22" x14ac:dyDescent="0.25">
      <c r="A42" s="6">
        <v>12400</v>
      </c>
      <c r="B42" s="17">
        <v>13.2</v>
      </c>
      <c r="C42" s="17">
        <v>13.2</v>
      </c>
      <c r="D42" s="17">
        <v>13.2</v>
      </c>
      <c r="E42" s="17">
        <v>13.2</v>
      </c>
      <c r="F42" s="17">
        <v>13.2</v>
      </c>
      <c r="G42" s="17">
        <v>13.2</v>
      </c>
      <c r="H42" s="17">
        <v>13.2</v>
      </c>
      <c r="I42" s="17">
        <v>13.2</v>
      </c>
      <c r="J42" s="17">
        <v>13.2</v>
      </c>
      <c r="K42" s="17">
        <v>13.2</v>
      </c>
      <c r="L42" s="17">
        <v>13.2</v>
      </c>
      <c r="M42" s="17">
        <v>13.2</v>
      </c>
      <c r="N42" s="17">
        <v>13.2</v>
      </c>
      <c r="O42" s="17">
        <v>13.2</v>
      </c>
      <c r="P42" s="17">
        <v>13.2</v>
      </c>
      <c r="Q42" s="17">
        <v>13.2</v>
      </c>
      <c r="R42" s="17">
        <v>13.2</v>
      </c>
      <c r="S42" s="17">
        <v>13.2</v>
      </c>
      <c r="T42" s="17">
        <v>13.2</v>
      </c>
      <c r="U42" s="17">
        <v>13.2</v>
      </c>
      <c r="V42" s="17">
        <v>13.2</v>
      </c>
    </row>
    <row r="43" spans="1:22" ht="13.8" thickBot="1" x14ac:dyDescent="0.3">
      <c r="A43" s="7">
        <v>12800</v>
      </c>
      <c r="B43" s="19">
        <v>13.2</v>
      </c>
      <c r="C43" s="19">
        <v>13.2</v>
      </c>
      <c r="D43" s="19">
        <v>13.2</v>
      </c>
      <c r="E43" s="19">
        <v>13.2</v>
      </c>
      <c r="F43" s="19">
        <v>13.2</v>
      </c>
      <c r="G43" s="19">
        <v>13.2</v>
      </c>
      <c r="H43" s="19">
        <v>13.2</v>
      </c>
      <c r="I43" s="19">
        <v>13.2</v>
      </c>
      <c r="J43" s="19">
        <v>13.2</v>
      </c>
      <c r="K43" s="19">
        <v>13.2</v>
      </c>
      <c r="L43" s="19">
        <v>13.2</v>
      </c>
      <c r="M43" s="19">
        <v>13.2</v>
      </c>
      <c r="N43" s="19">
        <v>13.2</v>
      </c>
      <c r="O43" s="19">
        <v>13.2</v>
      </c>
      <c r="P43" s="19">
        <v>13.2</v>
      </c>
      <c r="Q43" s="19">
        <v>13.2</v>
      </c>
      <c r="R43" s="19">
        <v>13.2</v>
      </c>
      <c r="S43" s="19">
        <v>13.2</v>
      </c>
      <c r="T43" s="19">
        <v>13.2</v>
      </c>
      <c r="U43" s="19">
        <v>13.2</v>
      </c>
      <c r="V43" s="19">
        <v>13.2</v>
      </c>
    </row>
  </sheetData>
  <conditionalFormatting sqref="B2:V43">
    <cfRule type="colorScale" priority="2">
      <colorScale>
        <cfvo type="min"/>
        <cfvo type="percentile" val="50"/>
        <cfvo type="max"/>
        <color rgb="FFF8696B"/>
        <color rgb="FFFCFCFF"/>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X43"/>
  <sheetViews>
    <sheetView zoomScale="70" zoomScaleNormal="70" workbookViewId="0">
      <selection activeCell="V48" sqref="V48"/>
    </sheetView>
  </sheetViews>
  <sheetFormatPr defaultRowHeight="13.2" x14ac:dyDescent="0.25"/>
  <cols>
    <col min="1" max="1" width="6.6640625" bestFit="1" customWidth="1"/>
    <col min="2" max="12" width="4.44140625" bestFit="1" customWidth="1"/>
    <col min="13" max="13" width="5" bestFit="1" customWidth="1"/>
    <col min="14" max="23" width="4.88671875" bestFit="1" customWidth="1"/>
    <col min="24" max="24" width="4.44140625" bestFit="1" customWidth="1"/>
  </cols>
  <sheetData>
    <row r="1" spans="1:24" x14ac:dyDescent="0.25">
      <c r="A1" s="12" t="s">
        <v>0</v>
      </c>
      <c r="B1" s="13">
        <v>0</v>
      </c>
      <c r="C1" s="13">
        <v>0.6</v>
      </c>
      <c r="D1" s="13">
        <v>1.2</v>
      </c>
      <c r="E1" s="13">
        <v>1.9</v>
      </c>
      <c r="F1" s="13">
        <v>2.5</v>
      </c>
      <c r="G1" s="13">
        <v>3.1</v>
      </c>
      <c r="H1" s="13">
        <v>3.7</v>
      </c>
      <c r="I1" s="13">
        <v>4.4000000000000004</v>
      </c>
      <c r="J1" s="13">
        <v>5.6</v>
      </c>
      <c r="K1" s="13">
        <v>6.8</v>
      </c>
      <c r="L1" s="13">
        <v>8.1</v>
      </c>
      <c r="M1" s="13">
        <v>9.3000000000000007</v>
      </c>
      <c r="N1" s="13">
        <v>10.6</v>
      </c>
      <c r="O1" s="13">
        <v>15.5</v>
      </c>
      <c r="P1" s="13">
        <v>20.5</v>
      </c>
      <c r="Q1" s="13">
        <v>25.5</v>
      </c>
      <c r="R1" s="13">
        <v>30.5</v>
      </c>
      <c r="S1" s="13">
        <v>40.4</v>
      </c>
      <c r="T1" s="13">
        <v>50.4</v>
      </c>
      <c r="U1" s="13">
        <v>60.3</v>
      </c>
      <c r="V1" s="13">
        <v>70.3</v>
      </c>
      <c r="W1" s="13">
        <v>90.2</v>
      </c>
      <c r="X1" s="14">
        <v>100</v>
      </c>
    </row>
    <row r="2" spans="1:24" x14ac:dyDescent="0.25">
      <c r="A2" s="15">
        <v>800</v>
      </c>
      <c r="B2" s="21" t="str">
        <f>IF(ISNUMBER('TPS data'!B2),('TPS data'!B2/'Des TPS AFR'!B2)-1,"")</f>
        <v/>
      </c>
      <c r="C2" s="21" t="str">
        <f>IF(ISNUMBER('TPS data'!C2),('TPS data'!C2/'Des TPS AFR'!C2)-1,"")</f>
        <v/>
      </c>
      <c r="D2" s="21" t="str">
        <f>IF(ISNUMBER('TPS data'!D2),('TPS data'!D2/'Des TPS AFR'!D2)-1,"")</f>
        <v/>
      </c>
      <c r="E2" s="21" t="str">
        <f>IF(ISNUMBER('TPS data'!E2),('TPS data'!E2/'Des TPS AFR'!E2)-1,"")</f>
        <v/>
      </c>
      <c r="F2" s="21" t="str">
        <f>IF(ISNUMBER('TPS data'!F2),('TPS data'!F2/'Des TPS AFR'!F2)-1,"")</f>
        <v/>
      </c>
      <c r="G2" s="21" t="str">
        <f>IF(ISNUMBER('TPS data'!G2),('TPS data'!G2/'Des TPS AFR'!G2)-1,"")</f>
        <v/>
      </c>
      <c r="H2" s="21" t="str">
        <f>IF(ISNUMBER('TPS data'!H2),('TPS data'!H2/'Des TPS AFR'!H2)-1,"")</f>
        <v/>
      </c>
      <c r="I2" s="21" t="str">
        <f>IF(ISNUMBER('TPS data'!I2),('TPS data'!I2/'Des TPS AFR'!I2)-1,"")</f>
        <v/>
      </c>
      <c r="J2" s="21" t="str">
        <f>IF(ISNUMBER('TPS data'!J2),('TPS data'!J2/'Des TPS AFR'!J2)-1,"")</f>
        <v/>
      </c>
      <c r="K2" s="21" t="str">
        <f>IF(ISNUMBER('TPS data'!K2),('TPS data'!K2/'Des TPS AFR'!K2)-1,"")</f>
        <v/>
      </c>
      <c r="L2" s="21" t="str">
        <f>IF(ISNUMBER('TPS data'!L2),('TPS data'!L2/'Des TPS AFR'!L2)-1,"")</f>
        <v/>
      </c>
      <c r="M2" s="21" t="str">
        <f>IF(ISNUMBER('TPS data'!M2),('TPS data'!M2/'Des TPS AFR'!M2)-1,"")</f>
        <v/>
      </c>
      <c r="N2" s="21" t="str">
        <f>IF(ISNUMBER('TPS data'!N2),('TPS data'!N2/'Des TPS AFR'!N2)-1,"")</f>
        <v/>
      </c>
      <c r="O2" s="21" t="str">
        <f>IF(ISNUMBER('TPS data'!O2),('TPS data'!O2/'Des TPS AFR'!O2)-1,"")</f>
        <v/>
      </c>
      <c r="P2" s="21" t="str">
        <f>IF(ISNUMBER('TPS data'!P2),('TPS data'!P2/'Des TPS AFR'!P2)-1,"")</f>
        <v/>
      </c>
      <c r="Q2" s="21" t="str">
        <f>IF(ISNUMBER('TPS data'!Q2),('TPS data'!Q2/'Des TPS AFR'!Q2)-1,"")</f>
        <v/>
      </c>
      <c r="R2" s="21" t="str">
        <f>IF(ISNUMBER('TPS data'!R2),('TPS data'!R2/'Des TPS AFR'!R2)-1,"")</f>
        <v/>
      </c>
      <c r="S2" s="21" t="str">
        <f>IF(ISNUMBER('TPS data'!S2),('TPS data'!S2/'Des TPS AFR'!S2)-1,"")</f>
        <v/>
      </c>
      <c r="T2" s="21" t="str">
        <f>IF(ISNUMBER('TPS data'!T2),('TPS data'!T2/'Des TPS AFR'!T2)-1,"")</f>
        <v/>
      </c>
      <c r="U2" s="21" t="str">
        <f>IF(ISNUMBER('TPS data'!U2),('TPS data'!U2/'Des TPS AFR'!U2)-1,"")</f>
        <v/>
      </c>
      <c r="V2" s="21" t="str">
        <f>IF(ISNUMBER('TPS data'!V2),('TPS data'!V2/'Des TPS AFR'!V2)-1,"")</f>
        <v/>
      </c>
      <c r="W2" s="21" t="str">
        <f>IF(ISNUMBER('TPS data'!W2),('TPS data'!W2/'Des TPS AFR'!W2)-1,"")</f>
        <v/>
      </c>
      <c r="X2" s="21" t="str">
        <f>IF(ISNUMBER('TPS data'!X2),('TPS data'!X2/'Des TPS AFR'!X2)-1,"")</f>
        <v/>
      </c>
    </row>
    <row r="3" spans="1:24" x14ac:dyDescent="0.25">
      <c r="A3" s="15">
        <v>1000</v>
      </c>
      <c r="B3" s="21" t="str">
        <f>IF(ISNUMBER('TPS data'!B3),('TPS data'!B3/'Des TPS AFR'!B3)-1,"")</f>
        <v/>
      </c>
      <c r="C3" s="21" t="str">
        <f>IF(ISNUMBER('TPS data'!C3),('TPS data'!C3/'Des TPS AFR'!C3)-1,"")</f>
        <v/>
      </c>
      <c r="D3" s="21" t="str">
        <f>IF(ISNUMBER('TPS data'!D3),('TPS data'!D3/'Des TPS AFR'!D3)-1,"")</f>
        <v/>
      </c>
      <c r="E3" s="21" t="str">
        <f>IF(ISNUMBER('TPS data'!E3),('TPS data'!E3/'Des TPS AFR'!E3)-1,"")</f>
        <v/>
      </c>
      <c r="F3" s="21" t="str">
        <f>IF(ISNUMBER('TPS data'!F3),('TPS data'!F3/'Des TPS AFR'!F3)-1,"")</f>
        <v/>
      </c>
      <c r="G3" s="21" t="str">
        <f>IF(ISNUMBER('TPS data'!G3),('TPS data'!G3/'Des TPS AFR'!G3)-1,"")</f>
        <v/>
      </c>
      <c r="H3" s="21" t="str">
        <f>IF(ISNUMBER('TPS data'!H3),('TPS data'!H3/'Des TPS AFR'!H3)-1,"")</f>
        <v/>
      </c>
      <c r="I3" s="21" t="str">
        <f>IF(ISNUMBER('TPS data'!I3),('TPS data'!I3/'Des TPS AFR'!I3)-1,"")</f>
        <v/>
      </c>
      <c r="J3" s="21" t="str">
        <f>IF(ISNUMBER('TPS data'!J3),('TPS data'!J3/'Des TPS AFR'!J3)-1,"")</f>
        <v/>
      </c>
      <c r="K3" s="21" t="str">
        <f>IF(ISNUMBER('TPS data'!K3),('TPS data'!K3/'Des TPS AFR'!K3)-1,"")</f>
        <v/>
      </c>
      <c r="L3" s="21" t="str">
        <f>IF(ISNUMBER('TPS data'!L3),('TPS data'!L3/'Des TPS AFR'!L3)-1,"")</f>
        <v/>
      </c>
      <c r="M3" s="21" t="str">
        <f>IF(ISNUMBER('TPS data'!M3),('TPS data'!M3/'Des TPS AFR'!M3)-1,"")</f>
        <v/>
      </c>
      <c r="N3" s="21" t="str">
        <f>IF(ISNUMBER('TPS data'!N3),('TPS data'!N3/'Des TPS AFR'!N3)-1,"")</f>
        <v/>
      </c>
      <c r="O3" s="21" t="str">
        <f>IF(ISNUMBER('TPS data'!O3),('TPS data'!O3/'Des TPS AFR'!O3)-1,"")</f>
        <v/>
      </c>
      <c r="P3" s="21" t="str">
        <f>IF(ISNUMBER('TPS data'!P3),('TPS data'!P3/'Des TPS AFR'!P3)-1,"")</f>
        <v/>
      </c>
      <c r="Q3" s="21" t="str">
        <f>IF(ISNUMBER('TPS data'!Q3),('TPS data'!Q3/'Des TPS AFR'!Q3)-1,"")</f>
        <v/>
      </c>
      <c r="R3" s="21" t="str">
        <f>IF(ISNUMBER('TPS data'!R3),('TPS data'!R3/'Des TPS AFR'!R3)-1,"")</f>
        <v/>
      </c>
      <c r="S3" s="21" t="str">
        <f>IF(ISNUMBER('TPS data'!S3),('TPS data'!S3/'Des TPS AFR'!S3)-1,"")</f>
        <v/>
      </c>
      <c r="T3" s="21" t="str">
        <f>IF(ISNUMBER('TPS data'!T3),('TPS data'!T3/'Des TPS AFR'!T3)-1,"")</f>
        <v/>
      </c>
      <c r="U3" s="21" t="str">
        <f>IF(ISNUMBER('TPS data'!U3),('TPS data'!U3/'Des TPS AFR'!U3)-1,"")</f>
        <v/>
      </c>
      <c r="V3" s="21" t="str">
        <f>IF(ISNUMBER('TPS data'!V3),('TPS data'!V3/'Des TPS AFR'!V3)-1,"")</f>
        <v/>
      </c>
      <c r="W3" s="21" t="str">
        <f>IF(ISNUMBER('TPS data'!W3),('TPS data'!W3/'Des TPS AFR'!W3)-1,"")</f>
        <v/>
      </c>
      <c r="X3" s="21" t="str">
        <f>IF(ISNUMBER('TPS data'!X3),('TPS data'!X3/'Des TPS AFR'!X3)-1,"")</f>
        <v/>
      </c>
    </row>
    <row r="4" spans="1:24" x14ac:dyDescent="0.25">
      <c r="A4" s="15">
        <v>1200</v>
      </c>
      <c r="B4" s="21" t="str">
        <f>IF(ISNUMBER('TPS data'!B4),('TPS data'!B4/'Des TPS AFR'!B4)-1,"")</f>
        <v/>
      </c>
      <c r="C4" s="21" t="str">
        <f>IF(ISNUMBER('TPS data'!C4),('TPS data'!C4/'Des TPS AFR'!C4)-1,"")</f>
        <v/>
      </c>
      <c r="D4" s="21" t="str">
        <f>IF(ISNUMBER('TPS data'!D4),('TPS data'!D4/'Des TPS AFR'!D4)-1,"")</f>
        <v/>
      </c>
      <c r="E4" s="21" t="str">
        <f>IF(ISNUMBER('TPS data'!E4),('TPS data'!E4/'Des TPS AFR'!E4)-1,"")</f>
        <v/>
      </c>
      <c r="F4" s="21" t="str">
        <f>IF(ISNUMBER('TPS data'!F4),('TPS data'!F4/'Des TPS AFR'!F4)-1,"")</f>
        <v/>
      </c>
      <c r="G4" s="21" t="str">
        <f>IF(ISNUMBER('TPS data'!G4),('TPS data'!G4/'Des TPS AFR'!G4)-1,"")</f>
        <v/>
      </c>
      <c r="H4" s="21" t="str">
        <f>IF(ISNUMBER('TPS data'!H4),('TPS data'!H4/'Des TPS AFR'!H4)-1,"")</f>
        <v/>
      </c>
      <c r="I4" s="21" t="str">
        <f>IF(ISNUMBER('TPS data'!I4),('TPS data'!I4/'Des TPS AFR'!I4)-1,"")</f>
        <v/>
      </c>
      <c r="J4" s="21" t="str">
        <f>IF(ISNUMBER('TPS data'!J4),('TPS data'!J4/'Des TPS AFR'!J4)-1,"")</f>
        <v/>
      </c>
      <c r="K4" s="21" t="str">
        <f>IF(ISNUMBER('TPS data'!K4),('TPS data'!K4/'Des TPS AFR'!K4)-1,"")</f>
        <v/>
      </c>
      <c r="L4" s="21" t="str">
        <f>IF(ISNUMBER('TPS data'!L4),('TPS data'!L4/'Des TPS AFR'!L4)-1,"")</f>
        <v/>
      </c>
      <c r="M4" s="21" t="str">
        <f>IF(ISNUMBER('TPS data'!M4),('TPS data'!M4/'Des TPS AFR'!M4)-1,"")</f>
        <v/>
      </c>
      <c r="N4" s="21" t="str">
        <f>IF(ISNUMBER('TPS data'!N4),('TPS data'!N4/'Des TPS AFR'!N4)-1,"")</f>
        <v/>
      </c>
      <c r="O4" s="21" t="str">
        <f>IF(ISNUMBER('TPS data'!O4),('TPS data'!O4/'Des TPS AFR'!O4)-1,"")</f>
        <v/>
      </c>
      <c r="P4" s="21" t="str">
        <f>IF(ISNUMBER('TPS data'!P4),('TPS data'!P4/'Des TPS AFR'!P4)-1,"")</f>
        <v/>
      </c>
      <c r="Q4" s="21" t="str">
        <f>IF(ISNUMBER('TPS data'!Q4),('TPS data'!Q4/'Des TPS AFR'!Q4)-1,"")</f>
        <v/>
      </c>
      <c r="R4" s="21" t="str">
        <f>IF(ISNUMBER('TPS data'!R4),('TPS data'!R4/'Des TPS AFR'!R4)-1,"")</f>
        <v/>
      </c>
      <c r="S4" s="21" t="str">
        <f>IF(ISNUMBER('TPS data'!S4),('TPS data'!S4/'Des TPS AFR'!S4)-1,"")</f>
        <v/>
      </c>
      <c r="T4" s="21" t="str">
        <f>IF(ISNUMBER('TPS data'!T4),('TPS data'!T4/'Des TPS AFR'!T4)-1,"")</f>
        <v/>
      </c>
      <c r="U4" s="21" t="str">
        <f>IF(ISNUMBER('TPS data'!U4),('TPS data'!U4/'Des TPS AFR'!U4)-1,"")</f>
        <v/>
      </c>
      <c r="V4" s="21" t="str">
        <f>IF(ISNUMBER('TPS data'!V4),('TPS data'!V4/'Des TPS AFR'!V4)-1,"")</f>
        <v/>
      </c>
      <c r="W4" s="21" t="str">
        <f>IF(ISNUMBER('TPS data'!W4),('TPS data'!W4/'Des TPS AFR'!W4)-1,"")</f>
        <v/>
      </c>
      <c r="X4" s="21" t="str">
        <f>IF(ISNUMBER('TPS data'!X4),('TPS data'!X4/'Des TPS AFR'!X4)-1,"")</f>
        <v/>
      </c>
    </row>
    <row r="5" spans="1:24" x14ac:dyDescent="0.25">
      <c r="A5" s="15">
        <v>1400</v>
      </c>
      <c r="B5" s="21" t="str">
        <f>IF(ISNUMBER('TPS data'!B5),('TPS data'!B5/'Des TPS AFR'!B5)-1,"")</f>
        <v/>
      </c>
      <c r="C5" s="21" t="str">
        <f>IF(ISNUMBER('TPS data'!C5),('TPS data'!C5/'Des TPS AFR'!C5)-1,"")</f>
        <v/>
      </c>
      <c r="D5" s="21" t="str">
        <f>IF(ISNUMBER('TPS data'!D5),('TPS data'!D5/'Des TPS AFR'!D5)-1,"")</f>
        <v/>
      </c>
      <c r="E5" s="21" t="str">
        <f>IF(ISNUMBER('TPS data'!E5),('TPS data'!E5/'Des TPS AFR'!E5)-1,"")</f>
        <v/>
      </c>
      <c r="F5" s="21" t="str">
        <f>IF(ISNUMBER('TPS data'!F5),('TPS data'!F5/'Des TPS AFR'!F5)-1,"")</f>
        <v/>
      </c>
      <c r="G5" s="21" t="str">
        <f>IF(ISNUMBER('TPS data'!G5),('TPS data'!G5/'Des TPS AFR'!G5)-1,"")</f>
        <v/>
      </c>
      <c r="H5" s="21" t="str">
        <f>IF(ISNUMBER('TPS data'!H5),('TPS data'!H5/'Des TPS AFR'!H5)-1,"")</f>
        <v/>
      </c>
      <c r="I5" s="21" t="str">
        <f>IF(ISNUMBER('TPS data'!I5),('TPS data'!I5/'Des TPS AFR'!I5)-1,"")</f>
        <v/>
      </c>
      <c r="J5" s="21" t="str">
        <f>IF(ISNUMBER('TPS data'!J5),('TPS data'!J5/'Des TPS AFR'!J5)-1,"")</f>
        <v/>
      </c>
      <c r="K5" s="21" t="str">
        <f>IF(ISNUMBER('TPS data'!K5),('TPS data'!K5/'Des TPS AFR'!K5)-1,"")</f>
        <v/>
      </c>
      <c r="L5" s="21" t="str">
        <f>IF(ISNUMBER('TPS data'!L5),('TPS data'!L5/'Des TPS AFR'!L5)-1,"")</f>
        <v/>
      </c>
      <c r="M5" s="21" t="str">
        <f>IF(ISNUMBER('TPS data'!M5),('TPS data'!M5/'Des TPS AFR'!M5)-1,"")</f>
        <v/>
      </c>
      <c r="N5" s="21" t="str">
        <f>IF(ISNUMBER('TPS data'!N5),('TPS data'!N5/'Des TPS AFR'!N5)-1,"")</f>
        <v/>
      </c>
      <c r="O5" s="21" t="str">
        <f>IF(ISNUMBER('TPS data'!O5),('TPS data'!O5/'Des TPS AFR'!O5)-1,"")</f>
        <v/>
      </c>
      <c r="P5" s="21" t="str">
        <f>IF(ISNUMBER('TPS data'!P5),('TPS data'!P5/'Des TPS AFR'!P5)-1,"")</f>
        <v/>
      </c>
      <c r="Q5" s="21" t="str">
        <f>IF(ISNUMBER('TPS data'!Q5),('TPS data'!Q5/'Des TPS AFR'!Q5)-1,"")</f>
        <v/>
      </c>
      <c r="R5" s="21" t="str">
        <f>IF(ISNUMBER('TPS data'!R5),('TPS data'!R5/'Des TPS AFR'!R5)-1,"")</f>
        <v/>
      </c>
      <c r="S5" s="21" t="str">
        <f>IF(ISNUMBER('TPS data'!S5),('TPS data'!S5/'Des TPS AFR'!S5)-1,"")</f>
        <v/>
      </c>
      <c r="T5" s="21" t="str">
        <f>IF(ISNUMBER('TPS data'!T5),('TPS data'!T5/'Des TPS AFR'!T5)-1,"")</f>
        <v/>
      </c>
      <c r="U5" s="21" t="str">
        <f>IF(ISNUMBER('TPS data'!U5),('TPS data'!U5/'Des TPS AFR'!U5)-1,"")</f>
        <v/>
      </c>
      <c r="V5" s="21" t="str">
        <f>IF(ISNUMBER('TPS data'!V5),('TPS data'!V5/'Des TPS AFR'!V5)-1,"")</f>
        <v/>
      </c>
      <c r="W5" s="21" t="str">
        <f>IF(ISNUMBER('TPS data'!W5),('TPS data'!W5/'Des TPS AFR'!W5)-1,"")</f>
        <v/>
      </c>
      <c r="X5" s="21" t="str">
        <f>IF(ISNUMBER('TPS data'!X5),('TPS data'!X5/'Des TPS AFR'!X5)-1,"")</f>
        <v/>
      </c>
    </row>
    <row r="6" spans="1:24" x14ac:dyDescent="0.25">
      <c r="A6" s="15">
        <v>1600</v>
      </c>
      <c r="B6" s="21" t="str">
        <f>IF(ISNUMBER('TPS data'!B6),('TPS data'!B6/'Des TPS AFR'!B6)-1,"")</f>
        <v/>
      </c>
      <c r="C6" s="21" t="str">
        <f>IF(ISNUMBER('TPS data'!C6),('TPS data'!C6/'Des TPS AFR'!C6)-1,"")</f>
        <v/>
      </c>
      <c r="D6" s="21" t="str">
        <f>IF(ISNUMBER('TPS data'!D6),('TPS data'!D6/'Des TPS AFR'!D6)-1,"")</f>
        <v/>
      </c>
      <c r="E6" s="21" t="str">
        <f>IF(ISNUMBER('TPS data'!E6),('TPS data'!E6/'Des TPS AFR'!E6)-1,"")</f>
        <v/>
      </c>
      <c r="F6" s="21" t="str">
        <f>IF(ISNUMBER('TPS data'!F6),('TPS data'!F6/'Des TPS AFR'!F6)-1,"")</f>
        <v/>
      </c>
      <c r="G6" s="21" t="str">
        <f>IF(ISNUMBER('TPS data'!G6),('TPS data'!G6/'Des TPS AFR'!G6)-1,"")</f>
        <v/>
      </c>
      <c r="H6" s="21" t="str">
        <f>IF(ISNUMBER('TPS data'!H6),('TPS data'!H6/'Des TPS AFR'!H6)-1,"")</f>
        <v/>
      </c>
      <c r="I6" s="21" t="str">
        <f>IF(ISNUMBER('TPS data'!I6),('TPS data'!I6/'Des TPS AFR'!I6)-1,"")</f>
        <v/>
      </c>
      <c r="J6" s="21" t="str">
        <f>IF(ISNUMBER('TPS data'!J6),('TPS data'!J6/'Des TPS AFR'!J6)-1,"")</f>
        <v/>
      </c>
      <c r="K6" s="21" t="str">
        <f>IF(ISNUMBER('TPS data'!K6),('TPS data'!K6/'Des TPS AFR'!K6)-1,"")</f>
        <v/>
      </c>
      <c r="L6" s="21" t="str">
        <f>IF(ISNUMBER('TPS data'!L6),('TPS data'!L6/'Des TPS AFR'!L6)-1,"")</f>
        <v/>
      </c>
      <c r="M6" s="21" t="str">
        <f>IF(ISNUMBER('TPS data'!M6),('TPS data'!M6/'Des TPS AFR'!M6)-1,"")</f>
        <v/>
      </c>
      <c r="N6" s="21" t="str">
        <f>IF(ISNUMBER('TPS data'!N6),('TPS data'!N6/'Des TPS AFR'!N6)-1,"")</f>
        <v/>
      </c>
      <c r="O6" s="21" t="str">
        <f>IF(ISNUMBER('TPS data'!O6),('TPS data'!O6/'Des TPS AFR'!O6)-1,"")</f>
        <v/>
      </c>
      <c r="P6" s="21" t="str">
        <f>IF(ISNUMBER('TPS data'!P6),('TPS data'!P6/'Des TPS AFR'!P6)-1,"")</f>
        <v/>
      </c>
      <c r="Q6" s="21" t="str">
        <f>IF(ISNUMBER('TPS data'!Q6),('TPS data'!Q6/'Des TPS AFR'!Q6)-1,"")</f>
        <v/>
      </c>
      <c r="R6" s="21" t="str">
        <f>IF(ISNUMBER('TPS data'!R6),('TPS data'!R6/'Des TPS AFR'!R6)-1,"")</f>
        <v/>
      </c>
      <c r="S6" s="21" t="str">
        <f>IF(ISNUMBER('TPS data'!S6),('TPS data'!S6/'Des TPS AFR'!S6)-1,"")</f>
        <v/>
      </c>
      <c r="T6" s="21" t="str">
        <f>IF(ISNUMBER('TPS data'!T6),('TPS data'!T6/'Des TPS AFR'!T6)-1,"")</f>
        <v/>
      </c>
      <c r="U6" s="21" t="str">
        <f>IF(ISNUMBER('TPS data'!U6),('TPS data'!U6/'Des TPS AFR'!U6)-1,"")</f>
        <v/>
      </c>
      <c r="V6" s="21" t="str">
        <f>IF(ISNUMBER('TPS data'!V6),('TPS data'!V6/'Des TPS AFR'!V6)-1,"")</f>
        <v/>
      </c>
      <c r="W6" s="21" t="str">
        <f>IF(ISNUMBER('TPS data'!W6),('TPS data'!W6/'Des TPS AFR'!W6)-1,"")</f>
        <v/>
      </c>
      <c r="X6" s="21" t="str">
        <f>IF(ISNUMBER('TPS data'!X6),('TPS data'!X6/'Des TPS AFR'!X6)-1,"")</f>
        <v/>
      </c>
    </row>
    <row r="7" spans="1:24" x14ac:dyDescent="0.25">
      <c r="A7" s="15">
        <v>1800</v>
      </c>
      <c r="B7" s="21" t="str">
        <f>IF(ISNUMBER('TPS data'!B7),('TPS data'!B7/'Des TPS AFR'!B7)-1,"")</f>
        <v/>
      </c>
      <c r="C7" s="21" t="str">
        <f>IF(ISNUMBER('TPS data'!C7),('TPS data'!C7/'Des TPS AFR'!C7)-1,"")</f>
        <v/>
      </c>
      <c r="D7" s="21" t="str">
        <f>IF(ISNUMBER('TPS data'!D7),('TPS data'!D7/'Des TPS AFR'!D7)-1,"")</f>
        <v/>
      </c>
      <c r="E7" s="21" t="str">
        <f>IF(ISNUMBER('TPS data'!E7),('TPS data'!E7/'Des TPS AFR'!E7)-1,"")</f>
        <v/>
      </c>
      <c r="F7" s="21" t="str">
        <f>IF(ISNUMBER('TPS data'!F7),('TPS data'!F7/'Des TPS AFR'!F7)-1,"")</f>
        <v/>
      </c>
      <c r="G7" s="21" t="str">
        <f>IF(ISNUMBER('TPS data'!G7),('TPS data'!G7/'Des TPS AFR'!G7)-1,"")</f>
        <v/>
      </c>
      <c r="H7" s="21" t="str">
        <f>IF(ISNUMBER('TPS data'!H7),('TPS data'!H7/'Des TPS AFR'!H7)-1,"")</f>
        <v/>
      </c>
      <c r="I7" s="21" t="str">
        <f>IF(ISNUMBER('TPS data'!I7),('TPS data'!I7/'Des TPS AFR'!I7)-1,"")</f>
        <v/>
      </c>
      <c r="J7" s="21" t="str">
        <f>IF(ISNUMBER('TPS data'!J7),('TPS data'!J7/'Des TPS AFR'!J7)-1,"")</f>
        <v/>
      </c>
      <c r="K7" s="21" t="str">
        <f>IF(ISNUMBER('TPS data'!K7),('TPS data'!K7/'Des TPS AFR'!K7)-1,"")</f>
        <v/>
      </c>
      <c r="L7" s="21" t="str">
        <f>IF(ISNUMBER('TPS data'!L7),('TPS data'!L7/'Des TPS AFR'!L7)-1,"")</f>
        <v/>
      </c>
      <c r="M7" s="21" t="str">
        <f>IF(ISNUMBER('TPS data'!M7),('TPS data'!M7/'Des TPS AFR'!M7)-1,"")</f>
        <v/>
      </c>
      <c r="N7" s="21" t="str">
        <f>IF(ISNUMBER('TPS data'!N7),('TPS data'!N7/'Des TPS AFR'!N7)-1,"")</f>
        <v/>
      </c>
      <c r="O7" s="21" t="str">
        <f>IF(ISNUMBER('TPS data'!O7),('TPS data'!O7/'Des TPS AFR'!O7)-1,"")</f>
        <v/>
      </c>
      <c r="P7" s="21" t="str">
        <f>IF(ISNUMBER('TPS data'!P7),('TPS data'!P7/'Des TPS AFR'!P7)-1,"")</f>
        <v/>
      </c>
      <c r="Q7" s="21" t="str">
        <f>IF(ISNUMBER('TPS data'!Q7),('TPS data'!Q7/'Des TPS AFR'!Q7)-1,"")</f>
        <v/>
      </c>
      <c r="R7" s="21" t="str">
        <f>IF(ISNUMBER('TPS data'!R7),('TPS data'!R7/'Des TPS AFR'!R7)-1,"")</f>
        <v/>
      </c>
      <c r="S7" s="21" t="str">
        <f>IF(ISNUMBER('TPS data'!S7),('TPS data'!S7/'Des TPS AFR'!S7)-1,"")</f>
        <v/>
      </c>
      <c r="T7" s="21" t="str">
        <f>IF(ISNUMBER('TPS data'!T7),('TPS data'!T7/'Des TPS AFR'!T7)-1,"")</f>
        <v/>
      </c>
      <c r="U7" s="21" t="str">
        <f>IF(ISNUMBER('TPS data'!U7),('TPS data'!U7/'Des TPS AFR'!U7)-1,"")</f>
        <v/>
      </c>
      <c r="V7" s="21" t="str">
        <f>IF(ISNUMBER('TPS data'!V7),('TPS data'!V7/'Des TPS AFR'!V7)-1,"")</f>
        <v/>
      </c>
      <c r="W7" s="21" t="str">
        <f>IF(ISNUMBER('TPS data'!W7),('TPS data'!W7/'Des TPS AFR'!W7)-1,"")</f>
        <v/>
      </c>
      <c r="X7" s="21" t="str">
        <f>IF(ISNUMBER('TPS data'!X7),('TPS data'!X7/'Des TPS AFR'!X7)-1,"")</f>
        <v/>
      </c>
    </row>
    <row r="8" spans="1:24" x14ac:dyDescent="0.25">
      <c r="A8" s="15">
        <v>2000</v>
      </c>
      <c r="B8" s="21" t="str">
        <f>IF(ISNUMBER('TPS data'!B8),('TPS data'!B8/'Des TPS AFR'!B8)-1,"")</f>
        <v/>
      </c>
      <c r="C8" s="21" t="str">
        <f>IF(ISNUMBER('TPS data'!C8),('TPS data'!C8/'Des TPS AFR'!C8)-1,"")</f>
        <v/>
      </c>
      <c r="D8" s="21" t="str">
        <f>IF(ISNUMBER('TPS data'!D8),('TPS data'!D8/'Des TPS AFR'!D8)-1,"")</f>
        <v/>
      </c>
      <c r="E8" s="21" t="str">
        <f>IF(ISNUMBER('TPS data'!E8),('TPS data'!E8/'Des TPS AFR'!E8)-1,"")</f>
        <v/>
      </c>
      <c r="F8" s="21" t="str">
        <f>IF(ISNUMBER('TPS data'!F8),('TPS data'!F8/'Des TPS AFR'!F8)-1,"")</f>
        <v/>
      </c>
      <c r="G8" s="21" t="str">
        <f>IF(ISNUMBER('TPS data'!G8),('TPS data'!G8/'Des TPS AFR'!G8)-1,"")</f>
        <v/>
      </c>
      <c r="H8" s="21" t="str">
        <f>IF(ISNUMBER('TPS data'!H8),('TPS data'!H8/'Des TPS AFR'!H8)-1,"")</f>
        <v/>
      </c>
      <c r="I8" s="21" t="str">
        <f>IF(ISNUMBER('TPS data'!I8),('TPS data'!I8/'Des TPS AFR'!I8)-1,"")</f>
        <v/>
      </c>
      <c r="J8" s="21" t="str">
        <f>IF(ISNUMBER('TPS data'!J8),('TPS data'!J8/'Des TPS AFR'!J8)-1,"")</f>
        <v/>
      </c>
      <c r="K8" s="21" t="str">
        <f>IF(ISNUMBER('TPS data'!K8),('TPS data'!K8/'Des TPS AFR'!K8)-1,"")</f>
        <v/>
      </c>
      <c r="L8" s="21" t="str">
        <f>IF(ISNUMBER('TPS data'!L8),('TPS data'!L8/'Des TPS AFR'!L8)-1,"")</f>
        <v/>
      </c>
      <c r="M8" s="21" t="str">
        <f>IF(ISNUMBER('TPS data'!M8),('TPS data'!M8/'Des TPS AFR'!M8)-1,"")</f>
        <v/>
      </c>
      <c r="N8" s="21" t="str">
        <f>IF(ISNUMBER('TPS data'!N8),('TPS data'!N8/'Des TPS AFR'!N8)-1,"")</f>
        <v/>
      </c>
      <c r="O8" s="21" t="str">
        <f>IF(ISNUMBER('TPS data'!O8),('TPS data'!O8/'Des TPS AFR'!O8)-1,"")</f>
        <v/>
      </c>
      <c r="P8" s="21" t="str">
        <f>IF(ISNUMBER('TPS data'!P8),('TPS data'!P8/'Des TPS AFR'!P8)-1,"")</f>
        <v/>
      </c>
      <c r="Q8" s="21" t="str">
        <f>IF(ISNUMBER('TPS data'!Q8),('TPS data'!Q8/'Des TPS AFR'!Q8)-1,"")</f>
        <v/>
      </c>
      <c r="R8" s="21" t="str">
        <f>IF(ISNUMBER('TPS data'!R8),('TPS data'!R8/'Des TPS AFR'!R8)-1,"")</f>
        <v/>
      </c>
      <c r="S8" s="21" t="str">
        <f>IF(ISNUMBER('TPS data'!S8),('TPS data'!S8/'Des TPS AFR'!S8)-1,"")</f>
        <v/>
      </c>
      <c r="T8" s="21" t="str">
        <f>IF(ISNUMBER('TPS data'!T8),('TPS data'!T8/'Des TPS AFR'!T8)-1,"")</f>
        <v/>
      </c>
      <c r="U8" s="21" t="str">
        <f>IF(ISNUMBER('TPS data'!U8),('TPS data'!U8/'Des TPS AFR'!U8)-1,"")</f>
        <v/>
      </c>
      <c r="V8" s="21" t="str">
        <f>IF(ISNUMBER('TPS data'!V8),('TPS data'!V8/'Des TPS AFR'!V8)-1,"")</f>
        <v/>
      </c>
      <c r="W8" s="21" t="str">
        <f>IF(ISNUMBER('TPS data'!W8),('TPS data'!W8/'Des TPS AFR'!W8)-1,"")</f>
        <v/>
      </c>
      <c r="X8" s="21" t="str">
        <f>IF(ISNUMBER('TPS data'!X8),('TPS data'!X8/'Des TPS AFR'!X8)-1,"")</f>
        <v/>
      </c>
    </row>
    <row r="9" spans="1:24" x14ac:dyDescent="0.25">
      <c r="A9" s="15">
        <v>2200</v>
      </c>
      <c r="B9" s="21" t="str">
        <f>IF(ISNUMBER('TPS data'!B9),('TPS data'!B9/'Des TPS AFR'!B9)-1,"")</f>
        <v/>
      </c>
      <c r="C9" s="21" t="str">
        <f>IF(ISNUMBER('TPS data'!C9),('TPS data'!C9/'Des TPS AFR'!C9)-1,"")</f>
        <v/>
      </c>
      <c r="D9" s="21" t="str">
        <f>IF(ISNUMBER('TPS data'!D9),('TPS data'!D9/'Des TPS AFR'!D9)-1,"")</f>
        <v/>
      </c>
      <c r="E9" s="21" t="str">
        <f>IF(ISNUMBER('TPS data'!E9),('TPS data'!E9/'Des TPS AFR'!E9)-1,"")</f>
        <v/>
      </c>
      <c r="F9" s="21" t="str">
        <f>IF(ISNUMBER('TPS data'!F9),('TPS data'!F9/'Des TPS AFR'!F9)-1,"")</f>
        <v/>
      </c>
      <c r="G9" s="21" t="str">
        <f>IF(ISNUMBER('TPS data'!G9),('TPS data'!G9/'Des TPS AFR'!G9)-1,"")</f>
        <v/>
      </c>
      <c r="H9" s="21" t="str">
        <f>IF(ISNUMBER('TPS data'!H9),('TPS data'!H9/'Des TPS AFR'!H9)-1,"")</f>
        <v/>
      </c>
      <c r="I9" s="21" t="str">
        <f>IF(ISNUMBER('TPS data'!I9),('TPS data'!I9/'Des TPS AFR'!I9)-1,"")</f>
        <v/>
      </c>
      <c r="J9" s="21" t="str">
        <f>IF(ISNUMBER('TPS data'!J9),('TPS data'!J9/'Des TPS AFR'!J9)-1,"")</f>
        <v/>
      </c>
      <c r="K9" s="21" t="str">
        <f>IF(ISNUMBER('TPS data'!K9),('TPS data'!K9/'Des TPS AFR'!K9)-1,"")</f>
        <v/>
      </c>
      <c r="L9" s="21" t="str">
        <f>IF(ISNUMBER('TPS data'!L9),('TPS data'!L9/'Des TPS AFR'!L9)-1,"")</f>
        <v/>
      </c>
      <c r="M9" s="21" t="str">
        <f>IF(ISNUMBER('TPS data'!M9),('TPS data'!M9/'Des TPS AFR'!M9)-1,"")</f>
        <v/>
      </c>
      <c r="N9" s="21" t="str">
        <f>IF(ISNUMBER('TPS data'!N9),('TPS data'!N9/'Des TPS AFR'!N9)-1,"")</f>
        <v/>
      </c>
      <c r="O9" s="21" t="str">
        <f>IF(ISNUMBER('TPS data'!O9),('TPS data'!O9/'Des TPS AFR'!O9)-1,"")</f>
        <v/>
      </c>
      <c r="P9" s="21" t="str">
        <f>IF(ISNUMBER('TPS data'!P9),('TPS data'!P9/'Des TPS AFR'!P9)-1,"")</f>
        <v/>
      </c>
      <c r="Q9" s="21" t="str">
        <f>IF(ISNUMBER('TPS data'!Q9),('TPS data'!Q9/'Des TPS AFR'!Q9)-1,"")</f>
        <v/>
      </c>
      <c r="R9" s="21" t="str">
        <f>IF(ISNUMBER('TPS data'!R9),('TPS data'!R9/'Des TPS AFR'!R9)-1,"")</f>
        <v/>
      </c>
      <c r="S9" s="21" t="str">
        <f>IF(ISNUMBER('TPS data'!S9),('TPS data'!S9/'Des TPS AFR'!S9)-1,"")</f>
        <v/>
      </c>
      <c r="T9" s="21" t="str">
        <f>IF(ISNUMBER('TPS data'!T9),('TPS data'!T9/'Des TPS AFR'!T9)-1,"")</f>
        <v/>
      </c>
      <c r="U9" s="21" t="str">
        <f>IF(ISNUMBER('TPS data'!U9),('TPS data'!U9/'Des TPS AFR'!U9)-1,"")</f>
        <v/>
      </c>
      <c r="V9" s="21" t="str">
        <f>IF(ISNUMBER('TPS data'!V9),('TPS data'!V9/'Des TPS AFR'!V9)-1,"")</f>
        <v/>
      </c>
      <c r="W9" s="21" t="str">
        <f>IF(ISNUMBER('TPS data'!W9),('TPS data'!W9/'Des TPS AFR'!W9)-1,"")</f>
        <v/>
      </c>
      <c r="X9" s="21" t="str">
        <f>IF(ISNUMBER('TPS data'!X9),('TPS data'!X9/'Des TPS AFR'!X9)-1,"")</f>
        <v/>
      </c>
    </row>
    <row r="10" spans="1:24" x14ac:dyDescent="0.25">
      <c r="A10" s="15">
        <v>2400</v>
      </c>
      <c r="B10" s="21" t="str">
        <f>IF(ISNUMBER('TPS data'!B10),('TPS data'!B10/'Des TPS AFR'!B10)-1,"")</f>
        <v/>
      </c>
      <c r="C10" s="21" t="str">
        <f>IF(ISNUMBER('TPS data'!C10),('TPS data'!C10/'Des TPS AFR'!C10)-1,"")</f>
        <v/>
      </c>
      <c r="D10" s="21" t="str">
        <f>IF(ISNUMBER('TPS data'!D10),('TPS data'!D10/'Des TPS AFR'!D10)-1,"")</f>
        <v/>
      </c>
      <c r="E10" s="21" t="str">
        <f>IF(ISNUMBER('TPS data'!E10),('TPS data'!E10/'Des TPS AFR'!E10)-1,"")</f>
        <v/>
      </c>
      <c r="F10" s="21" t="str">
        <f>IF(ISNUMBER('TPS data'!F10),('TPS data'!F10/'Des TPS AFR'!F10)-1,"")</f>
        <v/>
      </c>
      <c r="G10" s="21" t="str">
        <f>IF(ISNUMBER('TPS data'!G10),('TPS data'!G10/'Des TPS AFR'!G10)-1,"")</f>
        <v/>
      </c>
      <c r="H10" s="21" t="str">
        <f>IF(ISNUMBER('TPS data'!H10),('TPS data'!H10/'Des TPS AFR'!H10)-1,"")</f>
        <v/>
      </c>
      <c r="I10" s="21" t="str">
        <f>IF(ISNUMBER('TPS data'!I10),('TPS data'!I10/'Des TPS AFR'!I10)-1,"")</f>
        <v/>
      </c>
      <c r="J10" s="21" t="str">
        <f>IF(ISNUMBER('TPS data'!J10),('TPS data'!J10/'Des TPS AFR'!J10)-1,"")</f>
        <v/>
      </c>
      <c r="K10" s="21" t="str">
        <f>IF(ISNUMBER('TPS data'!K10),('TPS data'!K10/'Des TPS AFR'!K10)-1,"")</f>
        <v/>
      </c>
      <c r="L10" s="21" t="str">
        <f>IF(ISNUMBER('TPS data'!L10),('TPS data'!L10/'Des TPS AFR'!L10)-1,"")</f>
        <v/>
      </c>
      <c r="M10" s="21" t="str">
        <f>IF(ISNUMBER('TPS data'!M10),('TPS data'!M10/'Des TPS AFR'!M10)-1,"")</f>
        <v/>
      </c>
      <c r="N10" s="21" t="str">
        <f>IF(ISNUMBER('TPS data'!N10),('TPS data'!N10/'Des TPS AFR'!N10)-1,"")</f>
        <v/>
      </c>
      <c r="O10" s="21" t="str">
        <f>IF(ISNUMBER('TPS data'!O10),('TPS data'!O10/'Des TPS AFR'!O10)-1,"")</f>
        <v/>
      </c>
      <c r="P10" s="21" t="str">
        <f>IF(ISNUMBER('TPS data'!P10),('TPS data'!P10/'Des TPS AFR'!P10)-1,"")</f>
        <v/>
      </c>
      <c r="Q10" s="21" t="str">
        <f>IF(ISNUMBER('TPS data'!Q10),('TPS data'!Q10/'Des TPS AFR'!Q10)-1,"")</f>
        <v/>
      </c>
      <c r="R10" s="21" t="str">
        <f>IF(ISNUMBER('TPS data'!R10),('TPS data'!R10/'Des TPS AFR'!R10)-1,"")</f>
        <v/>
      </c>
      <c r="S10" s="21" t="str">
        <f>IF(ISNUMBER('TPS data'!S10),('TPS data'!S10/'Des TPS AFR'!S10)-1,"")</f>
        <v/>
      </c>
      <c r="T10" s="21" t="str">
        <f>IF(ISNUMBER('TPS data'!T10),('TPS data'!T10/'Des TPS AFR'!T10)-1,"")</f>
        <v/>
      </c>
      <c r="U10" s="21" t="str">
        <f>IF(ISNUMBER('TPS data'!U10),('TPS data'!U10/'Des TPS AFR'!U10)-1,"")</f>
        <v/>
      </c>
      <c r="V10" s="21" t="str">
        <f>IF(ISNUMBER('TPS data'!V10),('TPS data'!V10/'Des TPS AFR'!V10)-1,"")</f>
        <v/>
      </c>
      <c r="W10" s="21" t="str">
        <f>IF(ISNUMBER('TPS data'!W10),('TPS data'!W10/'Des TPS AFR'!W10)-1,"")</f>
        <v/>
      </c>
      <c r="X10" s="21" t="str">
        <f>IF(ISNUMBER('TPS data'!X10),('TPS data'!X10/'Des TPS AFR'!X10)-1,"")</f>
        <v/>
      </c>
    </row>
    <row r="11" spans="1:24" x14ac:dyDescent="0.25">
      <c r="A11" s="15">
        <v>2600</v>
      </c>
      <c r="B11" s="21" t="str">
        <f>IF(ISNUMBER('TPS data'!B11),('TPS data'!B11/'Des TPS AFR'!B11)-1,"")</f>
        <v/>
      </c>
      <c r="C11" s="21" t="str">
        <f>IF(ISNUMBER('TPS data'!C11),('TPS data'!C11/'Des TPS AFR'!C11)-1,"")</f>
        <v/>
      </c>
      <c r="D11" s="21" t="str">
        <f>IF(ISNUMBER('TPS data'!D11),('TPS data'!D11/'Des TPS AFR'!D11)-1,"")</f>
        <v/>
      </c>
      <c r="E11" s="21" t="str">
        <f>IF(ISNUMBER('TPS data'!E11),('TPS data'!E11/'Des TPS AFR'!E11)-1,"")</f>
        <v/>
      </c>
      <c r="F11" s="21" t="str">
        <f>IF(ISNUMBER('TPS data'!F11),('TPS data'!F11/'Des TPS AFR'!F11)-1,"")</f>
        <v/>
      </c>
      <c r="G11" s="21" t="str">
        <f>IF(ISNUMBER('TPS data'!G11),('TPS data'!G11/'Des TPS AFR'!G11)-1,"")</f>
        <v/>
      </c>
      <c r="H11" s="21" t="str">
        <f>IF(ISNUMBER('TPS data'!H11),('TPS data'!H11/'Des TPS AFR'!H11)-1,"")</f>
        <v/>
      </c>
      <c r="I11" s="21" t="str">
        <f>IF(ISNUMBER('TPS data'!I11),('TPS data'!I11/'Des TPS AFR'!I11)-1,"")</f>
        <v/>
      </c>
      <c r="J11" s="21" t="str">
        <f>IF(ISNUMBER('TPS data'!J11),('TPS data'!J11/'Des TPS AFR'!J11)-1,"")</f>
        <v/>
      </c>
      <c r="K11" s="21" t="str">
        <f>IF(ISNUMBER('TPS data'!K11),('TPS data'!K11/'Des TPS AFR'!K11)-1,"")</f>
        <v/>
      </c>
      <c r="L11" s="21" t="str">
        <f>IF(ISNUMBER('TPS data'!L11),('TPS data'!L11/'Des TPS AFR'!L11)-1,"")</f>
        <v/>
      </c>
      <c r="M11" s="21" t="str">
        <f>IF(ISNUMBER('TPS data'!M11),('TPS data'!M11/'Des TPS AFR'!M11)-1,"")</f>
        <v/>
      </c>
      <c r="N11" s="21" t="str">
        <f>IF(ISNUMBER('TPS data'!N11),('TPS data'!N11/'Des TPS AFR'!N11)-1,"")</f>
        <v/>
      </c>
      <c r="O11" s="21" t="str">
        <f>IF(ISNUMBER('TPS data'!O11),('TPS data'!O11/'Des TPS AFR'!O11)-1,"")</f>
        <v/>
      </c>
      <c r="P11" s="21" t="str">
        <f>IF(ISNUMBER('TPS data'!P11),('TPS data'!P11/'Des TPS AFR'!P11)-1,"")</f>
        <v/>
      </c>
      <c r="Q11" s="21" t="str">
        <f>IF(ISNUMBER('TPS data'!Q11),('TPS data'!Q11/'Des TPS AFR'!Q11)-1,"")</f>
        <v/>
      </c>
      <c r="R11" s="21" t="str">
        <f>IF(ISNUMBER('TPS data'!R11),('TPS data'!R11/'Des TPS AFR'!R11)-1,"")</f>
        <v/>
      </c>
      <c r="S11" s="21" t="str">
        <f>IF(ISNUMBER('TPS data'!S11),('TPS data'!S11/'Des TPS AFR'!S11)-1,"")</f>
        <v/>
      </c>
      <c r="T11" s="21" t="str">
        <f>IF(ISNUMBER('TPS data'!T11),('TPS data'!T11/'Des TPS AFR'!T11)-1,"")</f>
        <v/>
      </c>
      <c r="U11" s="21" t="str">
        <f>IF(ISNUMBER('TPS data'!U11),('TPS data'!U11/'Des TPS AFR'!U11)-1,"")</f>
        <v/>
      </c>
      <c r="V11" s="21" t="str">
        <f>IF(ISNUMBER('TPS data'!V11),('TPS data'!V11/'Des TPS AFR'!V11)-1,"")</f>
        <v/>
      </c>
      <c r="W11" s="21" t="str">
        <f>IF(ISNUMBER('TPS data'!W11),('TPS data'!W11/'Des TPS AFR'!W11)-1,"")</f>
        <v/>
      </c>
      <c r="X11" s="21" t="str">
        <f>IF(ISNUMBER('TPS data'!X11),('TPS data'!X11/'Des TPS AFR'!X11)-1,"")</f>
        <v/>
      </c>
    </row>
    <row r="12" spans="1:24" x14ac:dyDescent="0.25">
      <c r="A12" s="15">
        <v>2800</v>
      </c>
      <c r="B12" s="21" t="str">
        <f>IF(ISNUMBER('TPS data'!B12),('TPS data'!B12/'Des TPS AFR'!B12)-1,"")</f>
        <v/>
      </c>
      <c r="C12" s="21" t="str">
        <f>IF(ISNUMBER('TPS data'!C12),('TPS data'!C12/'Des TPS AFR'!C12)-1,"")</f>
        <v/>
      </c>
      <c r="D12" s="21" t="str">
        <f>IF(ISNUMBER('TPS data'!D12),('TPS data'!D12/'Des TPS AFR'!D12)-1,"")</f>
        <v/>
      </c>
      <c r="E12" s="21" t="str">
        <f>IF(ISNUMBER('TPS data'!E12),('TPS data'!E12/'Des TPS AFR'!E12)-1,"")</f>
        <v/>
      </c>
      <c r="F12" s="21" t="str">
        <f>IF(ISNUMBER('TPS data'!F12),('TPS data'!F12/'Des TPS AFR'!F12)-1,"")</f>
        <v/>
      </c>
      <c r="G12" s="21" t="str">
        <f>IF(ISNUMBER('TPS data'!G12),('TPS data'!G12/'Des TPS AFR'!G12)-1,"")</f>
        <v/>
      </c>
      <c r="H12" s="21" t="str">
        <f>IF(ISNUMBER('TPS data'!H12),('TPS data'!H12/'Des TPS AFR'!H12)-1,"")</f>
        <v/>
      </c>
      <c r="I12" s="21" t="str">
        <f>IF(ISNUMBER('TPS data'!I12),('TPS data'!I12/'Des TPS AFR'!I12)-1,"")</f>
        <v/>
      </c>
      <c r="J12" s="21" t="str">
        <f>IF(ISNUMBER('TPS data'!J12),('TPS data'!J12/'Des TPS AFR'!J12)-1,"")</f>
        <v/>
      </c>
      <c r="K12" s="21" t="str">
        <f>IF(ISNUMBER('TPS data'!K12),('TPS data'!K12/'Des TPS AFR'!K12)-1,"")</f>
        <v/>
      </c>
      <c r="L12" s="21" t="str">
        <f>IF(ISNUMBER('TPS data'!L12),('TPS data'!L12/'Des TPS AFR'!L12)-1,"")</f>
        <v/>
      </c>
      <c r="M12" s="21" t="str">
        <f>IF(ISNUMBER('TPS data'!M12),('TPS data'!M12/'Des TPS AFR'!M12)-1,"")</f>
        <v/>
      </c>
      <c r="N12" s="21" t="str">
        <f>IF(ISNUMBER('TPS data'!N12),('TPS data'!N12/'Des TPS AFR'!N12)-1,"")</f>
        <v/>
      </c>
      <c r="O12" s="21" t="str">
        <f>IF(ISNUMBER('TPS data'!O12),('TPS data'!O12/'Des TPS AFR'!O12)-1,"")</f>
        <v/>
      </c>
      <c r="P12" s="21" t="str">
        <f>IF(ISNUMBER('TPS data'!P12),('TPS data'!P12/'Des TPS AFR'!P12)-1,"")</f>
        <v/>
      </c>
      <c r="Q12" s="21" t="str">
        <f>IF(ISNUMBER('TPS data'!Q12),('TPS data'!Q12/'Des TPS AFR'!Q12)-1,"")</f>
        <v/>
      </c>
      <c r="R12" s="21" t="str">
        <f>IF(ISNUMBER('TPS data'!R12),('TPS data'!R12/'Des TPS AFR'!R12)-1,"")</f>
        <v/>
      </c>
      <c r="S12" s="21" t="str">
        <f>IF(ISNUMBER('TPS data'!S12),('TPS data'!S12/'Des TPS AFR'!S12)-1,"")</f>
        <v/>
      </c>
      <c r="T12" s="21" t="str">
        <f>IF(ISNUMBER('TPS data'!T12),('TPS data'!T12/'Des TPS AFR'!T12)-1,"")</f>
        <v/>
      </c>
      <c r="U12" s="21" t="str">
        <f>IF(ISNUMBER('TPS data'!U12),('TPS data'!U12/'Des TPS AFR'!U12)-1,"")</f>
        <v/>
      </c>
      <c r="V12" s="21" t="str">
        <f>IF(ISNUMBER('TPS data'!V12),('TPS data'!V12/'Des TPS AFR'!V12)-1,"")</f>
        <v/>
      </c>
      <c r="W12" s="21" t="str">
        <f>IF(ISNUMBER('TPS data'!W12),('TPS data'!W12/'Des TPS AFR'!W12)-1,"")</f>
        <v/>
      </c>
      <c r="X12" s="21" t="str">
        <f>IF(ISNUMBER('TPS data'!X12),('TPS data'!X12/'Des TPS AFR'!X12)-1,"")</f>
        <v/>
      </c>
    </row>
    <row r="13" spans="1:24" x14ac:dyDescent="0.25">
      <c r="A13" s="15">
        <v>3000</v>
      </c>
      <c r="B13" s="21" t="str">
        <f>IF(ISNUMBER('TPS data'!B13),('TPS data'!B13/'Des TPS AFR'!B13)-1,"")</f>
        <v/>
      </c>
      <c r="C13" s="21" t="str">
        <f>IF(ISNUMBER('TPS data'!C13),('TPS data'!C13/'Des TPS AFR'!C13)-1,"")</f>
        <v/>
      </c>
      <c r="D13" s="21" t="str">
        <f>IF(ISNUMBER('TPS data'!D13),('TPS data'!D13/'Des TPS AFR'!D13)-1,"")</f>
        <v/>
      </c>
      <c r="E13" s="21" t="str">
        <f>IF(ISNUMBER('TPS data'!E13),('TPS data'!E13/'Des TPS AFR'!E13)-1,"")</f>
        <v/>
      </c>
      <c r="F13" s="21" t="str">
        <f>IF(ISNUMBER('TPS data'!F13),('TPS data'!F13/'Des TPS AFR'!F13)-1,"")</f>
        <v/>
      </c>
      <c r="G13" s="21" t="str">
        <f>IF(ISNUMBER('TPS data'!G13),('TPS data'!G13/'Des TPS AFR'!G13)-1,"")</f>
        <v/>
      </c>
      <c r="H13" s="21" t="str">
        <f>IF(ISNUMBER('TPS data'!H13),('TPS data'!H13/'Des TPS AFR'!H13)-1,"")</f>
        <v/>
      </c>
      <c r="I13" s="21" t="str">
        <f>IF(ISNUMBER('TPS data'!I13),('TPS data'!I13/'Des TPS AFR'!I13)-1,"")</f>
        <v/>
      </c>
      <c r="J13" s="21" t="str">
        <f>IF(ISNUMBER('TPS data'!J13),('TPS data'!J13/'Des TPS AFR'!J13)-1,"")</f>
        <v/>
      </c>
      <c r="K13" s="21" t="str">
        <f>IF(ISNUMBER('TPS data'!K13),('TPS data'!K13/'Des TPS AFR'!K13)-1,"")</f>
        <v/>
      </c>
      <c r="L13" s="21" t="str">
        <f>IF(ISNUMBER('TPS data'!L13),('TPS data'!L13/'Des TPS AFR'!L13)-1,"")</f>
        <v/>
      </c>
      <c r="M13" s="21" t="str">
        <f>IF(ISNUMBER('TPS data'!M13),('TPS data'!M13/'Des TPS AFR'!M13)-1,"")</f>
        <v/>
      </c>
      <c r="N13" s="21" t="str">
        <f>IF(ISNUMBER('TPS data'!N13),('TPS data'!N13/'Des TPS AFR'!N13)-1,"")</f>
        <v/>
      </c>
      <c r="O13" s="21" t="str">
        <f>IF(ISNUMBER('TPS data'!O13),('TPS data'!O13/'Des TPS AFR'!O13)-1,"")</f>
        <v/>
      </c>
      <c r="P13" s="21" t="str">
        <f>IF(ISNUMBER('TPS data'!P13),('TPS data'!P13/'Des TPS AFR'!P13)-1,"")</f>
        <v/>
      </c>
      <c r="Q13" s="21" t="str">
        <f>IF(ISNUMBER('TPS data'!Q13),('TPS data'!Q13/'Des TPS AFR'!Q13)-1,"")</f>
        <v/>
      </c>
      <c r="R13" s="21" t="str">
        <f>IF(ISNUMBER('TPS data'!R13),('TPS data'!R13/'Des TPS AFR'!R13)-1,"")</f>
        <v/>
      </c>
      <c r="S13" s="21" t="str">
        <f>IF(ISNUMBER('TPS data'!S13),('TPS data'!S13/'Des TPS AFR'!S13)-1,"")</f>
        <v/>
      </c>
      <c r="T13" s="21" t="str">
        <f>IF(ISNUMBER('TPS data'!T13),('TPS data'!T13/'Des TPS AFR'!T13)-1,"")</f>
        <v/>
      </c>
      <c r="U13" s="21" t="str">
        <f>IF(ISNUMBER('TPS data'!U13),('TPS data'!U13/'Des TPS AFR'!U13)-1,"")</f>
        <v/>
      </c>
      <c r="V13" s="21" t="str">
        <f>IF(ISNUMBER('TPS data'!V13),('TPS data'!V13/'Des TPS AFR'!V13)-1,"")</f>
        <v/>
      </c>
      <c r="W13" s="21" t="str">
        <f>IF(ISNUMBER('TPS data'!W13),('TPS data'!W13/'Des TPS AFR'!W13)-1,"")</f>
        <v/>
      </c>
      <c r="X13" s="21" t="str">
        <f>IF(ISNUMBER('TPS data'!X13),('TPS data'!X13/'Des TPS AFR'!X13)-1,"")</f>
        <v/>
      </c>
    </row>
    <row r="14" spans="1:24" x14ac:dyDescent="0.25">
      <c r="A14" s="15">
        <v>3200</v>
      </c>
      <c r="B14" s="21" t="str">
        <f>IF(ISNUMBER('TPS data'!B14),('TPS data'!B14/'Des TPS AFR'!B14)-1,"")</f>
        <v/>
      </c>
      <c r="C14" s="21" t="str">
        <f>IF(ISNUMBER('TPS data'!C14),('TPS data'!C14/'Des TPS AFR'!C14)-1,"")</f>
        <v/>
      </c>
      <c r="D14" s="21" t="str">
        <f>IF(ISNUMBER('TPS data'!D14),('TPS data'!D14/'Des TPS AFR'!D14)-1,"")</f>
        <v/>
      </c>
      <c r="E14" s="21" t="str">
        <f>IF(ISNUMBER('TPS data'!E14),('TPS data'!E14/'Des TPS AFR'!E14)-1,"")</f>
        <v/>
      </c>
      <c r="F14" s="21" t="str">
        <f>IF(ISNUMBER('TPS data'!F14),('TPS data'!F14/'Des TPS AFR'!F14)-1,"")</f>
        <v/>
      </c>
      <c r="G14" s="21" t="str">
        <f>IF(ISNUMBER('TPS data'!G14),('TPS data'!G14/'Des TPS AFR'!G14)-1,"")</f>
        <v/>
      </c>
      <c r="H14" s="21" t="str">
        <f>IF(ISNUMBER('TPS data'!H14),('TPS data'!H14/'Des TPS AFR'!H14)-1,"")</f>
        <v/>
      </c>
      <c r="I14" s="21" t="str">
        <f>IF(ISNUMBER('TPS data'!I14),('TPS data'!I14/'Des TPS AFR'!I14)-1,"")</f>
        <v/>
      </c>
      <c r="J14" s="21" t="str">
        <f>IF(ISNUMBER('TPS data'!J14),('TPS data'!J14/'Des TPS AFR'!J14)-1,"")</f>
        <v/>
      </c>
      <c r="K14" s="21" t="str">
        <f>IF(ISNUMBER('TPS data'!K14),('TPS data'!K14/'Des TPS AFR'!K14)-1,"")</f>
        <v/>
      </c>
      <c r="L14" s="21" t="str">
        <f>IF(ISNUMBER('TPS data'!L14),('TPS data'!L14/'Des TPS AFR'!L14)-1,"")</f>
        <v/>
      </c>
      <c r="M14" s="21" t="str">
        <f>IF(ISNUMBER('TPS data'!M14),('TPS data'!M14/'Des TPS AFR'!M14)-1,"")</f>
        <v/>
      </c>
      <c r="N14" s="21" t="str">
        <f>IF(ISNUMBER('TPS data'!N14),('TPS data'!N14/'Des TPS AFR'!N14)-1,"")</f>
        <v/>
      </c>
      <c r="O14" s="21" t="str">
        <f>IF(ISNUMBER('TPS data'!O14),('TPS data'!O14/'Des TPS AFR'!O14)-1,"")</f>
        <v/>
      </c>
      <c r="P14" s="21" t="str">
        <f>IF(ISNUMBER('TPS data'!P14),('TPS data'!P14/'Des TPS AFR'!P14)-1,"")</f>
        <v/>
      </c>
      <c r="Q14" s="21" t="str">
        <f>IF(ISNUMBER('TPS data'!Q14),('TPS data'!Q14/'Des TPS AFR'!Q14)-1,"")</f>
        <v/>
      </c>
      <c r="R14" s="21" t="str">
        <f>IF(ISNUMBER('TPS data'!R14),('TPS data'!R14/'Des TPS AFR'!R14)-1,"")</f>
        <v/>
      </c>
      <c r="S14" s="21" t="str">
        <f>IF(ISNUMBER('TPS data'!S14),('TPS data'!S14/'Des TPS AFR'!S14)-1,"")</f>
        <v/>
      </c>
      <c r="T14" s="21" t="str">
        <f>IF(ISNUMBER('TPS data'!T14),('TPS data'!T14/'Des TPS AFR'!T14)-1,"")</f>
        <v/>
      </c>
      <c r="U14" s="21" t="str">
        <f>IF(ISNUMBER('TPS data'!U14),('TPS data'!U14/'Des TPS AFR'!U14)-1,"")</f>
        <v/>
      </c>
      <c r="V14" s="21" t="str">
        <f>IF(ISNUMBER('TPS data'!V14),('TPS data'!V14/'Des TPS AFR'!V14)-1,"")</f>
        <v/>
      </c>
      <c r="W14" s="21" t="str">
        <f>IF(ISNUMBER('TPS data'!W14),('TPS data'!W14/'Des TPS AFR'!W14)-1,"")</f>
        <v/>
      </c>
      <c r="X14" s="21" t="str">
        <f>IF(ISNUMBER('TPS data'!X14),('TPS data'!X14/'Des TPS AFR'!X14)-1,"")</f>
        <v/>
      </c>
    </row>
    <row r="15" spans="1:24" x14ac:dyDescent="0.25">
      <c r="A15" s="15">
        <v>3400</v>
      </c>
      <c r="B15" s="21" t="str">
        <f>IF(ISNUMBER('TPS data'!B15),('TPS data'!B15/'Des TPS AFR'!B15)-1,"")</f>
        <v/>
      </c>
      <c r="C15" s="21" t="str">
        <f>IF(ISNUMBER('TPS data'!C15),('TPS data'!C15/'Des TPS AFR'!C15)-1,"")</f>
        <v/>
      </c>
      <c r="D15" s="21" t="str">
        <f>IF(ISNUMBER('TPS data'!D15),('TPS data'!D15/'Des TPS AFR'!D15)-1,"")</f>
        <v/>
      </c>
      <c r="E15" s="21" t="str">
        <f>IF(ISNUMBER('TPS data'!E15),('TPS data'!E15/'Des TPS AFR'!E15)-1,"")</f>
        <v/>
      </c>
      <c r="F15" s="21" t="str">
        <f>IF(ISNUMBER('TPS data'!F15),('TPS data'!F15/'Des TPS AFR'!F15)-1,"")</f>
        <v/>
      </c>
      <c r="G15" s="21" t="str">
        <f>IF(ISNUMBER('TPS data'!G15),('TPS data'!G15/'Des TPS AFR'!G15)-1,"")</f>
        <v/>
      </c>
      <c r="H15" s="21" t="str">
        <f>IF(ISNUMBER('TPS data'!H15),('TPS data'!H15/'Des TPS AFR'!H15)-1,"")</f>
        <v/>
      </c>
      <c r="I15" s="21" t="str">
        <f>IF(ISNUMBER('TPS data'!I15),('TPS data'!I15/'Des TPS AFR'!I15)-1,"")</f>
        <v/>
      </c>
      <c r="J15" s="21" t="str">
        <f>IF(ISNUMBER('TPS data'!J15),('TPS data'!J15/'Des TPS AFR'!J15)-1,"")</f>
        <v/>
      </c>
      <c r="K15" s="21" t="str">
        <f>IF(ISNUMBER('TPS data'!K15),('TPS data'!K15/'Des TPS AFR'!K15)-1,"")</f>
        <v/>
      </c>
      <c r="L15" s="21" t="str">
        <f>IF(ISNUMBER('TPS data'!L15),('TPS data'!L15/'Des TPS AFR'!L15)-1,"")</f>
        <v/>
      </c>
      <c r="M15" s="21" t="str">
        <f>IF(ISNUMBER('TPS data'!M15),('TPS data'!M15/'Des TPS AFR'!M15)-1,"")</f>
        <v/>
      </c>
      <c r="N15" s="21" t="str">
        <f>IF(ISNUMBER('TPS data'!N15),('TPS data'!N15/'Des TPS AFR'!N15)-1,"")</f>
        <v/>
      </c>
      <c r="O15" s="21" t="str">
        <f>IF(ISNUMBER('TPS data'!O15),('TPS data'!O15/'Des TPS AFR'!O15)-1,"")</f>
        <v/>
      </c>
      <c r="P15" s="21" t="str">
        <f>IF(ISNUMBER('TPS data'!P15),('TPS data'!P15/'Des TPS AFR'!P15)-1,"")</f>
        <v/>
      </c>
      <c r="Q15" s="21" t="str">
        <f>IF(ISNUMBER('TPS data'!Q15),('TPS data'!Q15/'Des TPS AFR'!Q15)-1,"")</f>
        <v/>
      </c>
      <c r="R15" s="21" t="str">
        <f>IF(ISNUMBER('TPS data'!R15),('TPS data'!R15/'Des TPS AFR'!R15)-1,"")</f>
        <v/>
      </c>
      <c r="S15" s="21" t="str">
        <f>IF(ISNUMBER('TPS data'!S15),('TPS data'!S15/'Des TPS AFR'!S15)-1,"")</f>
        <v/>
      </c>
      <c r="T15" s="21" t="str">
        <f>IF(ISNUMBER('TPS data'!T15),('TPS data'!T15/'Des TPS AFR'!T15)-1,"")</f>
        <v/>
      </c>
      <c r="U15" s="21" t="str">
        <f>IF(ISNUMBER('TPS data'!U15),('TPS data'!U15/'Des TPS AFR'!U15)-1,"")</f>
        <v/>
      </c>
      <c r="V15" s="21" t="str">
        <f>IF(ISNUMBER('TPS data'!V15),('TPS data'!V15/'Des TPS AFR'!V15)-1,"")</f>
        <v/>
      </c>
      <c r="W15" s="21" t="str">
        <f>IF(ISNUMBER('TPS data'!W15),('TPS data'!W15/'Des TPS AFR'!W15)-1,"")</f>
        <v/>
      </c>
      <c r="X15" s="21" t="str">
        <f>IF(ISNUMBER('TPS data'!X15),('TPS data'!X15/'Des TPS AFR'!X15)-1,"")</f>
        <v/>
      </c>
    </row>
    <row r="16" spans="1:24" x14ac:dyDescent="0.25">
      <c r="A16" s="15">
        <v>3600</v>
      </c>
      <c r="B16" s="21" t="str">
        <f>IF(ISNUMBER('TPS data'!B16),('TPS data'!B16/'Des TPS AFR'!B16)-1,"")</f>
        <v/>
      </c>
      <c r="C16" s="21" t="str">
        <f>IF(ISNUMBER('TPS data'!C16),('TPS data'!C16/'Des TPS AFR'!C16)-1,"")</f>
        <v/>
      </c>
      <c r="D16" s="21" t="str">
        <f>IF(ISNUMBER('TPS data'!D16),('TPS data'!D16/'Des TPS AFR'!D16)-1,"")</f>
        <v/>
      </c>
      <c r="E16" s="21" t="str">
        <f>IF(ISNUMBER('TPS data'!E16),('TPS data'!E16/'Des TPS AFR'!E16)-1,"")</f>
        <v/>
      </c>
      <c r="F16" s="21" t="str">
        <f>IF(ISNUMBER('TPS data'!F16),('TPS data'!F16/'Des TPS AFR'!F16)-1,"")</f>
        <v/>
      </c>
      <c r="G16" s="21" t="str">
        <f>IF(ISNUMBER('TPS data'!G16),('TPS data'!G16/'Des TPS AFR'!G16)-1,"")</f>
        <v/>
      </c>
      <c r="H16" s="21" t="str">
        <f>IF(ISNUMBER('TPS data'!H16),('TPS data'!H16/'Des TPS AFR'!H16)-1,"")</f>
        <v/>
      </c>
      <c r="I16" s="21" t="str">
        <f>IF(ISNUMBER('TPS data'!I16),('TPS data'!I16/'Des TPS AFR'!I16)-1,"")</f>
        <v/>
      </c>
      <c r="J16" s="21" t="str">
        <f>IF(ISNUMBER('TPS data'!J16),('TPS data'!J16/'Des TPS AFR'!J16)-1,"")</f>
        <v/>
      </c>
      <c r="K16" s="21" t="str">
        <f>IF(ISNUMBER('TPS data'!K16),('TPS data'!K16/'Des TPS AFR'!K16)-1,"")</f>
        <v/>
      </c>
      <c r="L16" s="21" t="str">
        <f>IF(ISNUMBER('TPS data'!L16),('TPS data'!L16/'Des TPS AFR'!L16)-1,"")</f>
        <v/>
      </c>
      <c r="M16" s="21" t="str">
        <f>IF(ISNUMBER('TPS data'!M16),('TPS data'!M16/'Des TPS AFR'!M16)-1,"")</f>
        <v/>
      </c>
      <c r="N16" s="21" t="str">
        <f>IF(ISNUMBER('TPS data'!N16),('TPS data'!N16/'Des TPS AFR'!N16)-1,"")</f>
        <v/>
      </c>
      <c r="O16" s="21" t="str">
        <f>IF(ISNUMBER('TPS data'!O16),('TPS data'!O16/'Des TPS AFR'!O16)-1,"")</f>
        <v/>
      </c>
      <c r="P16" s="21" t="str">
        <f>IF(ISNUMBER('TPS data'!P16),('TPS data'!P16/'Des TPS AFR'!P16)-1,"")</f>
        <v/>
      </c>
      <c r="Q16" s="21" t="str">
        <f>IF(ISNUMBER('TPS data'!Q16),('TPS data'!Q16/'Des TPS AFR'!Q16)-1,"")</f>
        <v/>
      </c>
      <c r="R16" s="21" t="str">
        <f>IF(ISNUMBER('TPS data'!R16),('TPS data'!R16/'Des TPS AFR'!R16)-1,"")</f>
        <v/>
      </c>
      <c r="S16" s="21" t="str">
        <f>IF(ISNUMBER('TPS data'!S16),('TPS data'!S16/'Des TPS AFR'!S16)-1,"")</f>
        <v/>
      </c>
      <c r="T16" s="21" t="str">
        <f>IF(ISNUMBER('TPS data'!T16),('TPS data'!T16/'Des TPS AFR'!T16)-1,"")</f>
        <v/>
      </c>
      <c r="U16" s="21" t="str">
        <f>IF(ISNUMBER('TPS data'!U16),('TPS data'!U16/'Des TPS AFR'!U16)-1,"")</f>
        <v/>
      </c>
      <c r="V16" s="21" t="str">
        <f>IF(ISNUMBER('TPS data'!V16),('TPS data'!V16/'Des TPS AFR'!V16)-1,"")</f>
        <v/>
      </c>
      <c r="W16" s="21" t="str">
        <f>IF(ISNUMBER('TPS data'!W16),('TPS data'!W16/'Des TPS AFR'!W16)-1,"")</f>
        <v/>
      </c>
      <c r="X16" s="21" t="str">
        <f>IF(ISNUMBER('TPS data'!X16),('TPS data'!X16/'Des TPS AFR'!X16)-1,"")</f>
        <v/>
      </c>
    </row>
    <row r="17" spans="1:24" x14ac:dyDescent="0.25">
      <c r="A17" s="15">
        <v>3800</v>
      </c>
      <c r="B17" s="21" t="str">
        <f>IF(ISNUMBER('TPS data'!B17),('TPS data'!B17/'Des TPS AFR'!B17)-1,"")</f>
        <v/>
      </c>
      <c r="C17" s="21" t="str">
        <f>IF(ISNUMBER('TPS data'!C17),('TPS data'!C17/'Des TPS AFR'!C17)-1,"")</f>
        <v/>
      </c>
      <c r="D17" s="21" t="str">
        <f>IF(ISNUMBER('TPS data'!D17),('TPS data'!D17/'Des TPS AFR'!D17)-1,"")</f>
        <v/>
      </c>
      <c r="E17" s="21" t="str">
        <f>IF(ISNUMBER('TPS data'!E17),('TPS data'!E17/'Des TPS AFR'!E17)-1,"")</f>
        <v/>
      </c>
      <c r="F17" s="21" t="str">
        <f>IF(ISNUMBER('TPS data'!F17),('TPS data'!F17/'Des TPS AFR'!F17)-1,"")</f>
        <v/>
      </c>
      <c r="G17" s="21" t="str">
        <f>IF(ISNUMBER('TPS data'!G17),('TPS data'!G17/'Des TPS AFR'!G17)-1,"")</f>
        <v/>
      </c>
      <c r="H17" s="21" t="str">
        <f>IF(ISNUMBER('TPS data'!H17),('TPS data'!H17/'Des TPS AFR'!H17)-1,"")</f>
        <v/>
      </c>
      <c r="I17" s="21" t="str">
        <f>IF(ISNUMBER('TPS data'!I17),('TPS data'!I17/'Des TPS AFR'!I17)-1,"")</f>
        <v/>
      </c>
      <c r="J17" s="21" t="str">
        <f>IF(ISNUMBER('TPS data'!J17),('TPS data'!J17/'Des TPS AFR'!J17)-1,"")</f>
        <v/>
      </c>
      <c r="K17" s="21" t="str">
        <f>IF(ISNUMBER('TPS data'!K17),('TPS data'!K17/'Des TPS AFR'!K17)-1,"")</f>
        <v/>
      </c>
      <c r="L17" s="21" t="str">
        <f>IF(ISNUMBER('TPS data'!L17),('TPS data'!L17/'Des TPS AFR'!L17)-1,"")</f>
        <v/>
      </c>
      <c r="M17" s="21" t="str">
        <f>IF(ISNUMBER('TPS data'!M17),('TPS data'!M17/'Des TPS AFR'!M17)-1,"")</f>
        <v/>
      </c>
      <c r="N17" s="21" t="str">
        <f>IF(ISNUMBER('TPS data'!N17),('TPS data'!N17/'Des TPS AFR'!N17)-1,"")</f>
        <v/>
      </c>
      <c r="O17" s="21" t="str">
        <f>IF(ISNUMBER('TPS data'!O17),('TPS data'!O17/'Des TPS AFR'!O17)-1,"")</f>
        <v/>
      </c>
      <c r="P17" s="21" t="str">
        <f>IF(ISNUMBER('TPS data'!P17),('TPS data'!P17/'Des TPS AFR'!P17)-1,"")</f>
        <v/>
      </c>
      <c r="Q17" s="21" t="str">
        <f>IF(ISNUMBER('TPS data'!Q17),('TPS data'!Q17/'Des TPS AFR'!Q17)-1,"")</f>
        <v/>
      </c>
      <c r="R17" s="21" t="str">
        <f>IF(ISNUMBER('TPS data'!R17),('TPS data'!R17/'Des TPS AFR'!R17)-1,"")</f>
        <v/>
      </c>
      <c r="S17" s="21" t="str">
        <f>IF(ISNUMBER('TPS data'!S17),('TPS data'!S17/'Des TPS AFR'!S17)-1,"")</f>
        <v/>
      </c>
      <c r="T17" s="21" t="str">
        <f>IF(ISNUMBER('TPS data'!T17),('TPS data'!T17/'Des TPS AFR'!T17)-1,"")</f>
        <v/>
      </c>
      <c r="U17" s="21" t="str">
        <f>IF(ISNUMBER('TPS data'!U17),('TPS data'!U17/'Des TPS AFR'!U17)-1,"")</f>
        <v/>
      </c>
      <c r="V17" s="21" t="str">
        <f>IF(ISNUMBER('TPS data'!V17),('TPS data'!V17/'Des TPS AFR'!V17)-1,"")</f>
        <v/>
      </c>
      <c r="W17" s="21" t="str">
        <f>IF(ISNUMBER('TPS data'!W17),('TPS data'!W17/'Des TPS AFR'!W17)-1,"")</f>
        <v/>
      </c>
      <c r="X17" s="21" t="str">
        <f>IF(ISNUMBER('TPS data'!X17),('TPS data'!X17/'Des TPS AFR'!X17)-1,"")</f>
        <v/>
      </c>
    </row>
    <row r="18" spans="1:24" x14ac:dyDescent="0.25">
      <c r="A18" s="15">
        <v>4000</v>
      </c>
      <c r="B18" s="21" t="str">
        <f>IF(ISNUMBER('TPS data'!B18),('TPS data'!B18/'Des TPS AFR'!B18)-1,"")</f>
        <v/>
      </c>
      <c r="C18" s="21" t="str">
        <f>IF(ISNUMBER('TPS data'!C18),('TPS data'!C18/'Des TPS AFR'!C18)-1,"")</f>
        <v/>
      </c>
      <c r="D18" s="21" t="str">
        <f>IF(ISNUMBER('TPS data'!D18),('TPS data'!D18/'Des TPS AFR'!D18)-1,"")</f>
        <v/>
      </c>
      <c r="E18" s="21" t="str">
        <f>IF(ISNUMBER('TPS data'!E18),('TPS data'!E18/'Des TPS AFR'!E18)-1,"")</f>
        <v/>
      </c>
      <c r="F18" s="21" t="str">
        <f>IF(ISNUMBER('TPS data'!F18),('TPS data'!F18/'Des TPS AFR'!F18)-1,"")</f>
        <v/>
      </c>
      <c r="G18" s="21" t="str">
        <f>IF(ISNUMBER('TPS data'!G18),('TPS data'!G18/'Des TPS AFR'!G18)-1,"")</f>
        <v/>
      </c>
      <c r="H18" s="21" t="str">
        <f>IF(ISNUMBER('TPS data'!H18),('TPS data'!H18/'Des TPS AFR'!H18)-1,"")</f>
        <v/>
      </c>
      <c r="I18" s="21" t="str">
        <f>IF(ISNUMBER('TPS data'!I18),('TPS data'!I18/'Des TPS AFR'!I18)-1,"")</f>
        <v/>
      </c>
      <c r="J18" s="21" t="str">
        <f>IF(ISNUMBER('TPS data'!J18),('TPS data'!J18/'Des TPS AFR'!J18)-1,"")</f>
        <v/>
      </c>
      <c r="K18" s="21" t="str">
        <f>IF(ISNUMBER('TPS data'!K18),('TPS data'!K18/'Des TPS AFR'!K18)-1,"")</f>
        <v/>
      </c>
      <c r="L18" s="21" t="str">
        <f>IF(ISNUMBER('TPS data'!L18),('TPS data'!L18/'Des TPS AFR'!L18)-1,"")</f>
        <v/>
      </c>
      <c r="M18" s="21" t="str">
        <f>IF(ISNUMBER('TPS data'!M18),('TPS data'!M18/'Des TPS AFR'!M18)-1,"")</f>
        <v/>
      </c>
      <c r="N18" s="21" t="str">
        <f>IF(ISNUMBER('TPS data'!N18),('TPS data'!N18/'Des TPS AFR'!N18)-1,"")</f>
        <v/>
      </c>
      <c r="O18" s="21" t="str">
        <f>IF(ISNUMBER('TPS data'!O18),('TPS data'!O18/'Des TPS AFR'!O18)-1,"")</f>
        <v/>
      </c>
      <c r="P18" s="21" t="str">
        <f>IF(ISNUMBER('TPS data'!P18),('TPS data'!P18/'Des TPS AFR'!P18)-1,"")</f>
        <v/>
      </c>
      <c r="Q18" s="21" t="str">
        <f>IF(ISNUMBER('TPS data'!Q18),('TPS data'!Q18/'Des TPS AFR'!Q18)-1,"")</f>
        <v/>
      </c>
      <c r="R18" s="21" t="str">
        <f>IF(ISNUMBER('TPS data'!R18),('TPS data'!R18/'Des TPS AFR'!R18)-1,"")</f>
        <v/>
      </c>
      <c r="S18" s="21" t="str">
        <f>IF(ISNUMBER('TPS data'!S18),('TPS data'!S18/'Des TPS AFR'!S18)-1,"")</f>
        <v/>
      </c>
      <c r="T18" s="21" t="str">
        <f>IF(ISNUMBER('TPS data'!T18),('TPS data'!T18/'Des TPS AFR'!T18)-1,"")</f>
        <v/>
      </c>
      <c r="U18" s="21" t="str">
        <f>IF(ISNUMBER('TPS data'!U18),('TPS data'!U18/'Des TPS AFR'!U18)-1,"")</f>
        <v/>
      </c>
      <c r="V18" s="21" t="str">
        <f>IF(ISNUMBER('TPS data'!V18),('TPS data'!V18/'Des TPS AFR'!V18)-1,"")</f>
        <v/>
      </c>
      <c r="W18" s="21" t="str">
        <f>IF(ISNUMBER('TPS data'!W18),('TPS data'!W18/'Des TPS AFR'!W18)-1,"")</f>
        <v/>
      </c>
      <c r="X18" s="21" t="str">
        <f>IF(ISNUMBER('TPS data'!X18),('TPS data'!X18/'Des TPS AFR'!X18)-1,"")</f>
        <v/>
      </c>
    </row>
    <row r="19" spans="1:24" x14ac:dyDescent="0.25">
      <c r="A19" s="15">
        <v>4200</v>
      </c>
      <c r="B19" s="21" t="str">
        <f>IF(ISNUMBER('TPS data'!B19),('TPS data'!B19/'Des TPS AFR'!B19)-1,"")</f>
        <v/>
      </c>
      <c r="C19" s="21" t="str">
        <f>IF(ISNUMBER('TPS data'!C19),('TPS data'!C19/'Des TPS AFR'!C19)-1,"")</f>
        <v/>
      </c>
      <c r="D19" s="21" t="str">
        <f>IF(ISNUMBER('TPS data'!D19),('TPS data'!D19/'Des TPS AFR'!D19)-1,"")</f>
        <v/>
      </c>
      <c r="E19" s="21" t="str">
        <f>IF(ISNUMBER('TPS data'!E19),('TPS data'!E19/'Des TPS AFR'!E19)-1,"")</f>
        <v/>
      </c>
      <c r="F19" s="21" t="str">
        <f>IF(ISNUMBER('TPS data'!F19),('TPS data'!F19/'Des TPS AFR'!F19)-1,"")</f>
        <v/>
      </c>
      <c r="G19" s="21" t="str">
        <f>IF(ISNUMBER('TPS data'!G19),('TPS data'!G19/'Des TPS AFR'!G19)-1,"")</f>
        <v/>
      </c>
      <c r="H19" s="21" t="str">
        <f>IF(ISNUMBER('TPS data'!H19),('TPS data'!H19/'Des TPS AFR'!H19)-1,"")</f>
        <v/>
      </c>
      <c r="I19" s="21" t="str">
        <f>IF(ISNUMBER('TPS data'!I19),('TPS data'!I19/'Des TPS AFR'!I19)-1,"")</f>
        <v/>
      </c>
      <c r="J19" s="21" t="str">
        <f>IF(ISNUMBER('TPS data'!J19),('TPS data'!J19/'Des TPS AFR'!J19)-1,"")</f>
        <v/>
      </c>
      <c r="K19" s="21" t="str">
        <f>IF(ISNUMBER('TPS data'!K19),('TPS data'!K19/'Des TPS AFR'!K19)-1,"")</f>
        <v/>
      </c>
      <c r="L19" s="21" t="str">
        <f>IF(ISNUMBER('TPS data'!L19),('TPS data'!L19/'Des TPS AFR'!L19)-1,"")</f>
        <v/>
      </c>
      <c r="M19" s="21" t="str">
        <f>IF(ISNUMBER('TPS data'!M19),('TPS data'!M19/'Des TPS AFR'!M19)-1,"")</f>
        <v/>
      </c>
      <c r="N19" s="21" t="str">
        <f>IF(ISNUMBER('TPS data'!N19),('TPS data'!N19/'Des TPS AFR'!N19)-1,"")</f>
        <v/>
      </c>
      <c r="O19" s="21" t="str">
        <f>IF(ISNUMBER('TPS data'!O19),('TPS data'!O19/'Des TPS AFR'!O19)-1,"")</f>
        <v/>
      </c>
      <c r="P19" s="21" t="str">
        <f>IF(ISNUMBER('TPS data'!P19),('TPS data'!P19/'Des TPS AFR'!P19)-1,"")</f>
        <v/>
      </c>
      <c r="Q19" s="21" t="str">
        <f>IF(ISNUMBER('TPS data'!Q19),('TPS data'!Q19/'Des TPS AFR'!Q19)-1,"")</f>
        <v/>
      </c>
      <c r="R19" s="21" t="str">
        <f>IF(ISNUMBER('TPS data'!R19),('TPS data'!R19/'Des TPS AFR'!R19)-1,"")</f>
        <v/>
      </c>
      <c r="S19" s="21" t="str">
        <f>IF(ISNUMBER('TPS data'!S19),('TPS data'!S19/'Des TPS AFR'!S19)-1,"")</f>
        <v/>
      </c>
      <c r="T19" s="21" t="str">
        <f>IF(ISNUMBER('TPS data'!T19),('TPS data'!T19/'Des TPS AFR'!T19)-1,"")</f>
        <v/>
      </c>
      <c r="U19" s="21" t="str">
        <f>IF(ISNUMBER('TPS data'!U19),('TPS data'!U19/'Des TPS AFR'!U19)-1,"")</f>
        <v/>
      </c>
      <c r="V19" s="21" t="str">
        <f>IF(ISNUMBER('TPS data'!V19),('TPS data'!V19/'Des TPS AFR'!V19)-1,"")</f>
        <v/>
      </c>
      <c r="W19" s="21" t="str">
        <f>IF(ISNUMBER('TPS data'!W19),('TPS data'!W19/'Des TPS AFR'!W19)-1,"")</f>
        <v/>
      </c>
      <c r="X19" s="21" t="str">
        <f>IF(ISNUMBER('TPS data'!X19),('TPS data'!X19/'Des TPS AFR'!X19)-1,"")</f>
        <v/>
      </c>
    </row>
    <row r="20" spans="1:24" x14ac:dyDescent="0.25">
      <c r="A20" s="15">
        <v>4400</v>
      </c>
      <c r="B20" s="21" t="str">
        <f>IF(ISNUMBER('TPS data'!B20),('TPS data'!B20/'Des TPS AFR'!B20)-1,"")</f>
        <v/>
      </c>
      <c r="C20" s="21" t="str">
        <f>IF(ISNUMBER('TPS data'!C20),('TPS data'!C20/'Des TPS AFR'!C20)-1,"")</f>
        <v/>
      </c>
      <c r="D20" s="21" t="str">
        <f>IF(ISNUMBER('TPS data'!D20),('TPS data'!D20/'Des TPS AFR'!D20)-1,"")</f>
        <v/>
      </c>
      <c r="E20" s="21" t="str">
        <f>IF(ISNUMBER('TPS data'!E20),('TPS data'!E20/'Des TPS AFR'!E20)-1,"")</f>
        <v/>
      </c>
      <c r="F20" s="21" t="str">
        <f>IF(ISNUMBER('TPS data'!F20),('TPS data'!F20/'Des TPS AFR'!F20)-1,"")</f>
        <v/>
      </c>
      <c r="G20" s="21" t="str">
        <f>IF(ISNUMBER('TPS data'!G20),('TPS data'!G20/'Des TPS AFR'!G20)-1,"")</f>
        <v/>
      </c>
      <c r="H20" s="21" t="str">
        <f>IF(ISNUMBER('TPS data'!H20),('TPS data'!H20/'Des TPS AFR'!H20)-1,"")</f>
        <v/>
      </c>
      <c r="I20" s="21" t="str">
        <f>IF(ISNUMBER('TPS data'!I20),('TPS data'!I20/'Des TPS AFR'!I20)-1,"")</f>
        <v/>
      </c>
      <c r="J20" s="21" t="str">
        <f>IF(ISNUMBER('TPS data'!J20),('TPS data'!J20/'Des TPS AFR'!J20)-1,"")</f>
        <v/>
      </c>
      <c r="K20" s="21" t="str">
        <f>IF(ISNUMBER('TPS data'!K20),('TPS data'!K20/'Des TPS AFR'!K20)-1,"")</f>
        <v/>
      </c>
      <c r="L20" s="21" t="str">
        <f>IF(ISNUMBER('TPS data'!L20),('TPS data'!L20/'Des TPS AFR'!L20)-1,"")</f>
        <v/>
      </c>
      <c r="M20" s="21" t="str">
        <f>IF(ISNUMBER('TPS data'!M20),('TPS data'!M20/'Des TPS AFR'!M20)-1,"")</f>
        <v/>
      </c>
      <c r="N20" s="21" t="str">
        <f>IF(ISNUMBER('TPS data'!N20),('TPS data'!N20/'Des TPS AFR'!N20)-1,"")</f>
        <v/>
      </c>
      <c r="O20" s="21" t="str">
        <f>IF(ISNUMBER('TPS data'!O20),('TPS data'!O20/'Des TPS AFR'!O20)-1,"")</f>
        <v/>
      </c>
      <c r="P20" s="21" t="str">
        <f>IF(ISNUMBER('TPS data'!P20),('TPS data'!P20/'Des TPS AFR'!P20)-1,"")</f>
        <v/>
      </c>
      <c r="Q20" s="21" t="str">
        <f>IF(ISNUMBER('TPS data'!Q20),('TPS data'!Q20/'Des TPS AFR'!Q20)-1,"")</f>
        <v/>
      </c>
      <c r="R20" s="21" t="str">
        <f>IF(ISNUMBER('TPS data'!R20),('TPS data'!R20/'Des TPS AFR'!R20)-1,"")</f>
        <v/>
      </c>
      <c r="S20" s="21" t="str">
        <f>IF(ISNUMBER('TPS data'!S20),('TPS data'!S20/'Des TPS AFR'!S20)-1,"")</f>
        <v/>
      </c>
      <c r="T20" s="21" t="str">
        <f>IF(ISNUMBER('TPS data'!T20),('TPS data'!T20/'Des TPS AFR'!T20)-1,"")</f>
        <v/>
      </c>
      <c r="U20" s="21" t="str">
        <f>IF(ISNUMBER('TPS data'!U20),('TPS data'!U20/'Des TPS AFR'!U20)-1,"")</f>
        <v/>
      </c>
      <c r="V20" s="21" t="str">
        <f>IF(ISNUMBER('TPS data'!V20),('TPS data'!V20/'Des TPS AFR'!V20)-1,"")</f>
        <v/>
      </c>
      <c r="W20" s="21" t="str">
        <f>IF(ISNUMBER('TPS data'!W20),('TPS data'!W20/'Des TPS AFR'!W20)-1,"")</f>
        <v/>
      </c>
      <c r="X20" s="21" t="str">
        <f>IF(ISNUMBER('TPS data'!X20),('TPS data'!X20/'Des TPS AFR'!X20)-1,"")</f>
        <v/>
      </c>
    </row>
    <row r="21" spans="1:24" x14ac:dyDescent="0.25">
      <c r="A21" s="15">
        <v>4600</v>
      </c>
      <c r="B21" s="21" t="str">
        <f>IF(ISNUMBER('TPS data'!B21),('TPS data'!B21/'Des TPS AFR'!B21)-1,"")</f>
        <v/>
      </c>
      <c r="C21" s="21" t="str">
        <f>IF(ISNUMBER('TPS data'!C21),('TPS data'!C21/'Des TPS AFR'!C21)-1,"")</f>
        <v/>
      </c>
      <c r="D21" s="21" t="str">
        <f>IF(ISNUMBER('TPS data'!D21),('TPS data'!D21/'Des TPS AFR'!D21)-1,"")</f>
        <v/>
      </c>
      <c r="E21" s="21" t="str">
        <f>IF(ISNUMBER('TPS data'!E21),('TPS data'!E21/'Des TPS AFR'!E21)-1,"")</f>
        <v/>
      </c>
      <c r="F21" s="21" t="str">
        <f>IF(ISNUMBER('TPS data'!F21),('TPS data'!F21/'Des TPS AFR'!F21)-1,"")</f>
        <v/>
      </c>
      <c r="G21" s="21" t="str">
        <f>IF(ISNUMBER('TPS data'!G21),('TPS data'!G21/'Des TPS AFR'!G21)-1,"")</f>
        <v/>
      </c>
      <c r="H21" s="21" t="str">
        <f>IF(ISNUMBER('TPS data'!H21),('TPS data'!H21/'Des TPS AFR'!H21)-1,"")</f>
        <v/>
      </c>
      <c r="I21" s="21" t="str">
        <f>IF(ISNUMBER('TPS data'!I21),('TPS data'!I21/'Des TPS AFR'!I21)-1,"")</f>
        <v/>
      </c>
      <c r="J21" s="21" t="str">
        <f>IF(ISNUMBER('TPS data'!J21),('TPS data'!J21/'Des TPS AFR'!J21)-1,"")</f>
        <v/>
      </c>
      <c r="K21" s="21" t="str">
        <f>IF(ISNUMBER('TPS data'!K21),('TPS data'!K21/'Des TPS AFR'!K21)-1,"")</f>
        <v/>
      </c>
      <c r="L21" s="21" t="str">
        <f>IF(ISNUMBER('TPS data'!L21),('TPS data'!L21/'Des TPS AFR'!L21)-1,"")</f>
        <v/>
      </c>
      <c r="M21" s="21" t="str">
        <f>IF(ISNUMBER('TPS data'!M21),('TPS data'!M21/'Des TPS AFR'!M21)-1,"")</f>
        <v/>
      </c>
      <c r="N21" s="21" t="str">
        <f>IF(ISNUMBER('TPS data'!N21),('TPS data'!N21/'Des TPS AFR'!N21)-1,"")</f>
        <v/>
      </c>
      <c r="O21" s="21" t="str">
        <f>IF(ISNUMBER('TPS data'!O21),('TPS data'!O21/'Des TPS AFR'!O21)-1,"")</f>
        <v/>
      </c>
      <c r="P21" s="21" t="str">
        <f>IF(ISNUMBER('TPS data'!P21),('TPS data'!P21/'Des TPS AFR'!P21)-1,"")</f>
        <v/>
      </c>
      <c r="Q21" s="21" t="str">
        <f>IF(ISNUMBER('TPS data'!Q21),('TPS data'!Q21/'Des TPS AFR'!Q21)-1,"")</f>
        <v/>
      </c>
      <c r="R21" s="21" t="str">
        <f>IF(ISNUMBER('TPS data'!R21),('TPS data'!R21/'Des TPS AFR'!R21)-1,"")</f>
        <v/>
      </c>
      <c r="S21" s="21" t="str">
        <f>IF(ISNUMBER('TPS data'!S21),('TPS data'!S21/'Des TPS AFR'!S21)-1,"")</f>
        <v/>
      </c>
      <c r="T21" s="21" t="str">
        <f>IF(ISNUMBER('TPS data'!T21),('TPS data'!T21/'Des TPS AFR'!T21)-1,"")</f>
        <v/>
      </c>
      <c r="U21" s="21" t="str">
        <f>IF(ISNUMBER('TPS data'!U21),('TPS data'!U21/'Des TPS AFR'!U21)-1,"")</f>
        <v/>
      </c>
      <c r="V21" s="21" t="str">
        <f>IF(ISNUMBER('TPS data'!V21),('TPS data'!V21/'Des TPS AFR'!V21)-1,"")</f>
        <v/>
      </c>
      <c r="W21" s="21" t="str">
        <f>IF(ISNUMBER('TPS data'!W21),('TPS data'!W21/'Des TPS AFR'!W21)-1,"")</f>
        <v/>
      </c>
      <c r="X21" s="21" t="str">
        <f>IF(ISNUMBER('TPS data'!X21),('TPS data'!X21/'Des TPS AFR'!X21)-1,"")</f>
        <v/>
      </c>
    </row>
    <row r="22" spans="1:24" x14ac:dyDescent="0.25">
      <c r="A22" s="15">
        <v>4800</v>
      </c>
      <c r="B22" s="21" t="str">
        <f>IF(ISNUMBER('TPS data'!B22),('TPS data'!B22/'Des TPS AFR'!B22)-1,"")</f>
        <v/>
      </c>
      <c r="C22" s="21" t="str">
        <f>IF(ISNUMBER('TPS data'!C22),('TPS data'!C22/'Des TPS AFR'!C22)-1,"")</f>
        <v/>
      </c>
      <c r="D22" s="21" t="str">
        <f>IF(ISNUMBER('TPS data'!D22),('TPS data'!D22/'Des TPS AFR'!D22)-1,"")</f>
        <v/>
      </c>
      <c r="E22" s="21" t="str">
        <f>IF(ISNUMBER('TPS data'!E22),('TPS data'!E22/'Des TPS AFR'!E22)-1,"")</f>
        <v/>
      </c>
      <c r="F22" s="21" t="str">
        <f>IF(ISNUMBER('TPS data'!F22),('TPS data'!F22/'Des TPS AFR'!F22)-1,"")</f>
        <v/>
      </c>
      <c r="G22" s="21" t="str">
        <f>IF(ISNUMBER('TPS data'!G22),('TPS data'!G22/'Des TPS AFR'!G22)-1,"")</f>
        <v/>
      </c>
      <c r="H22" s="21" t="str">
        <f>IF(ISNUMBER('TPS data'!H22),('TPS data'!H22/'Des TPS AFR'!H22)-1,"")</f>
        <v/>
      </c>
      <c r="I22" s="21" t="str">
        <f>IF(ISNUMBER('TPS data'!I22),('TPS data'!I22/'Des TPS AFR'!I22)-1,"")</f>
        <v/>
      </c>
      <c r="J22" s="21" t="str">
        <f>IF(ISNUMBER('TPS data'!J22),('TPS data'!J22/'Des TPS AFR'!J22)-1,"")</f>
        <v/>
      </c>
      <c r="K22" s="21" t="str">
        <f>IF(ISNUMBER('TPS data'!K22),('TPS data'!K22/'Des TPS AFR'!K22)-1,"")</f>
        <v/>
      </c>
      <c r="L22" s="21" t="str">
        <f>IF(ISNUMBER('TPS data'!L22),('TPS data'!L22/'Des TPS AFR'!L22)-1,"")</f>
        <v/>
      </c>
      <c r="M22" s="21" t="str">
        <f>IF(ISNUMBER('TPS data'!M22),('TPS data'!M22/'Des TPS AFR'!M22)-1,"")</f>
        <v/>
      </c>
      <c r="N22" s="21" t="str">
        <f>IF(ISNUMBER('TPS data'!N22),('TPS data'!N22/'Des TPS AFR'!N22)-1,"")</f>
        <v/>
      </c>
      <c r="O22" s="21" t="str">
        <f>IF(ISNUMBER('TPS data'!O22),('TPS data'!O22/'Des TPS AFR'!O22)-1,"")</f>
        <v/>
      </c>
      <c r="P22" s="21" t="str">
        <f>IF(ISNUMBER('TPS data'!P22),('TPS data'!P22/'Des TPS AFR'!P22)-1,"")</f>
        <v/>
      </c>
      <c r="Q22" s="21" t="str">
        <f>IF(ISNUMBER('TPS data'!Q22),('TPS data'!Q22/'Des TPS AFR'!Q22)-1,"")</f>
        <v/>
      </c>
      <c r="R22" s="21" t="str">
        <f>IF(ISNUMBER('TPS data'!R22),('TPS data'!R22/'Des TPS AFR'!R22)-1,"")</f>
        <v/>
      </c>
      <c r="S22" s="21" t="str">
        <f>IF(ISNUMBER('TPS data'!S22),('TPS data'!S22/'Des TPS AFR'!S22)-1,"")</f>
        <v/>
      </c>
      <c r="T22" s="21" t="str">
        <f>IF(ISNUMBER('TPS data'!T22),('TPS data'!T22/'Des TPS AFR'!T22)-1,"")</f>
        <v/>
      </c>
      <c r="U22" s="21" t="str">
        <f>IF(ISNUMBER('TPS data'!U22),('TPS data'!U22/'Des TPS AFR'!U22)-1,"")</f>
        <v/>
      </c>
      <c r="V22" s="21" t="str">
        <f>IF(ISNUMBER('TPS data'!V22),('TPS data'!V22/'Des TPS AFR'!V22)-1,"")</f>
        <v/>
      </c>
      <c r="W22" s="21" t="str">
        <f>IF(ISNUMBER('TPS data'!W22),('TPS data'!W22/'Des TPS AFR'!W22)-1,"")</f>
        <v/>
      </c>
      <c r="X22" s="21" t="str">
        <f>IF(ISNUMBER('TPS data'!X22),('TPS data'!X22/'Des TPS AFR'!X22)-1,"")</f>
        <v/>
      </c>
    </row>
    <row r="23" spans="1:24" x14ac:dyDescent="0.25">
      <c r="A23" s="15">
        <v>5000</v>
      </c>
      <c r="B23" s="21" t="str">
        <f>IF(ISNUMBER('TPS data'!B23),('TPS data'!B23/'Des TPS AFR'!B23)-1,"")</f>
        <v/>
      </c>
      <c r="C23" s="21" t="str">
        <f>IF(ISNUMBER('TPS data'!C23),('TPS data'!C23/'Des TPS AFR'!C23)-1,"")</f>
        <v/>
      </c>
      <c r="D23" s="21" t="str">
        <f>IF(ISNUMBER('TPS data'!D23),('TPS data'!D23/'Des TPS AFR'!D23)-1,"")</f>
        <v/>
      </c>
      <c r="E23" s="21" t="str">
        <f>IF(ISNUMBER('TPS data'!E23),('TPS data'!E23/'Des TPS AFR'!E23)-1,"")</f>
        <v/>
      </c>
      <c r="F23" s="21" t="str">
        <f>IF(ISNUMBER('TPS data'!F23),('TPS data'!F23/'Des TPS AFR'!F23)-1,"")</f>
        <v/>
      </c>
      <c r="G23" s="21" t="str">
        <f>IF(ISNUMBER('TPS data'!G23),('TPS data'!G23/'Des TPS AFR'!G23)-1,"")</f>
        <v/>
      </c>
      <c r="H23" s="21" t="str">
        <f>IF(ISNUMBER('TPS data'!H23),('TPS data'!H23/'Des TPS AFR'!H23)-1,"")</f>
        <v/>
      </c>
      <c r="I23" s="21" t="str">
        <f>IF(ISNUMBER('TPS data'!I23),('TPS data'!I23/'Des TPS AFR'!I23)-1,"")</f>
        <v/>
      </c>
      <c r="J23" s="21" t="str">
        <f>IF(ISNUMBER('TPS data'!J23),('TPS data'!J23/'Des TPS AFR'!J23)-1,"")</f>
        <v/>
      </c>
      <c r="K23" s="21" t="str">
        <f>IF(ISNUMBER('TPS data'!K23),('TPS data'!K23/'Des TPS AFR'!K23)-1,"")</f>
        <v/>
      </c>
      <c r="L23" s="21" t="str">
        <f>IF(ISNUMBER('TPS data'!L23),('TPS data'!L23/'Des TPS AFR'!L23)-1,"")</f>
        <v/>
      </c>
      <c r="M23" s="21" t="str">
        <f>IF(ISNUMBER('TPS data'!M23),('TPS data'!M23/'Des TPS AFR'!M23)-1,"")</f>
        <v/>
      </c>
      <c r="N23" s="21" t="str">
        <f>IF(ISNUMBER('TPS data'!N23),('TPS data'!N23/'Des TPS AFR'!N23)-1,"")</f>
        <v/>
      </c>
      <c r="O23" s="21" t="str">
        <f>IF(ISNUMBER('TPS data'!O23),('TPS data'!O23/'Des TPS AFR'!O23)-1,"")</f>
        <v/>
      </c>
      <c r="P23" s="21" t="str">
        <f>IF(ISNUMBER('TPS data'!P23),('TPS data'!P23/'Des TPS AFR'!P23)-1,"")</f>
        <v/>
      </c>
      <c r="Q23" s="21" t="str">
        <f>IF(ISNUMBER('TPS data'!Q23),('TPS data'!Q23/'Des TPS AFR'!Q23)-1,"")</f>
        <v/>
      </c>
      <c r="R23" s="21" t="str">
        <f>IF(ISNUMBER('TPS data'!R23),('TPS data'!R23/'Des TPS AFR'!R23)-1,"")</f>
        <v/>
      </c>
      <c r="S23" s="21" t="str">
        <f>IF(ISNUMBER('TPS data'!S23),('TPS data'!S23/'Des TPS AFR'!S23)-1,"")</f>
        <v/>
      </c>
      <c r="T23" s="21" t="str">
        <f>IF(ISNUMBER('TPS data'!T23),('TPS data'!T23/'Des TPS AFR'!T23)-1,"")</f>
        <v/>
      </c>
      <c r="U23" s="21" t="str">
        <f>IF(ISNUMBER('TPS data'!U23),('TPS data'!U23/'Des TPS AFR'!U23)-1,"")</f>
        <v/>
      </c>
      <c r="V23" s="21" t="str">
        <f>IF(ISNUMBER('TPS data'!V23),('TPS data'!V23/'Des TPS AFR'!V23)-1,"")</f>
        <v/>
      </c>
      <c r="W23" s="21" t="str">
        <f>IF(ISNUMBER('TPS data'!W23),('TPS data'!W23/'Des TPS AFR'!W23)-1,"")</f>
        <v/>
      </c>
      <c r="X23" s="21" t="str">
        <f>IF(ISNUMBER('TPS data'!X23),('TPS data'!X23/'Des TPS AFR'!X23)-1,"")</f>
        <v/>
      </c>
    </row>
    <row r="24" spans="1:24" x14ac:dyDescent="0.25">
      <c r="A24" s="15">
        <v>5200</v>
      </c>
      <c r="B24" s="21" t="str">
        <f>IF(ISNUMBER('TPS data'!B24),('TPS data'!B24/'Des TPS AFR'!B24)-1,"")</f>
        <v/>
      </c>
      <c r="C24" s="21" t="str">
        <f>IF(ISNUMBER('TPS data'!C24),('TPS data'!C24/'Des TPS AFR'!C24)-1,"")</f>
        <v/>
      </c>
      <c r="D24" s="21" t="str">
        <f>IF(ISNUMBER('TPS data'!D24),('TPS data'!D24/'Des TPS AFR'!D24)-1,"")</f>
        <v/>
      </c>
      <c r="E24" s="21" t="str">
        <f>IF(ISNUMBER('TPS data'!E24),('TPS data'!E24/'Des TPS AFR'!E24)-1,"")</f>
        <v/>
      </c>
      <c r="F24" s="21" t="str">
        <f>IF(ISNUMBER('TPS data'!F24),('TPS data'!F24/'Des TPS AFR'!F24)-1,"")</f>
        <v/>
      </c>
      <c r="G24" s="21" t="str">
        <f>IF(ISNUMBER('TPS data'!G24),('TPS data'!G24/'Des TPS AFR'!G24)-1,"")</f>
        <v/>
      </c>
      <c r="H24" s="21" t="str">
        <f>IF(ISNUMBER('TPS data'!H24),('TPS data'!H24/'Des TPS AFR'!H24)-1,"")</f>
        <v/>
      </c>
      <c r="I24" s="21" t="str">
        <f>IF(ISNUMBER('TPS data'!I24),('TPS data'!I24/'Des TPS AFR'!I24)-1,"")</f>
        <v/>
      </c>
      <c r="J24" s="21" t="str">
        <f>IF(ISNUMBER('TPS data'!J24),('TPS data'!J24/'Des TPS AFR'!J24)-1,"")</f>
        <v/>
      </c>
      <c r="K24" s="21" t="str">
        <f>IF(ISNUMBER('TPS data'!K24),('TPS data'!K24/'Des TPS AFR'!K24)-1,"")</f>
        <v/>
      </c>
      <c r="L24" s="21" t="str">
        <f>IF(ISNUMBER('TPS data'!L24),('TPS data'!L24/'Des TPS AFR'!L24)-1,"")</f>
        <v/>
      </c>
      <c r="M24" s="21" t="str">
        <f>IF(ISNUMBER('TPS data'!M24),('TPS data'!M24/'Des TPS AFR'!M24)-1,"")</f>
        <v/>
      </c>
      <c r="N24" s="21" t="str">
        <f>IF(ISNUMBER('TPS data'!N24),('TPS data'!N24/'Des TPS AFR'!N24)-1,"")</f>
        <v/>
      </c>
      <c r="O24" s="21" t="str">
        <f>IF(ISNUMBER('TPS data'!O24),('TPS data'!O24/'Des TPS AFR'!O24)-1,"")</f>
        <v/>
      </c>
      <c r="P24" s="21" t="str">
        <f>IF(ISNUMBER('TPS data'!P24),('TPS data'!P24/'Des TPS AFR'!P24)-1,"")</f>
        <v/>
      </c>
      <c r="Q24" s="21" t="str">
        <f>IF(ISNUMBER('TPS data'!Q24),('TPS data'!Q24/'Des TPS AFR'!Q24)-1,"")</f>
        <v/>
      </c>
      <c r="R24" s="21" t="str">
        <f>IF(ISNUMBER('TPS data'!R24),('TPS data'!R24/'Des TPS AFR'!R24)-1,"")</f>
        <v/>
      </c>
      <c r="S24" s="21" t="str">
        <f>IF(ISNUMBER('TPS data'!S24),('TPS data'!S24/'Des TPS AFR'!S24)-1,"")</f>
        <v/>
      </c>
      <c r="T24" s="21" t="str">
        <f>IF(ISNUMBER('TPS data'!T24),('TPS data'!T24/'Des TPS AFR'!T24)-1,"")</f>
        <v/>
      </c>
      <c r="U24" s="21" t="str">
        <f>IF(ISNUMBER('TPS data'!U24),('TPS data'!U24/'Des TPS AFR'!U24)-1,"")</f>
        <v/>
      </c>
      <c r="V24" s="21" t="str">
        <f>IF(ISNUMBER('TPS data'!V24),('TPS data'!V24/'Des TPS AFR'!V24)-1,"")</f>
        <v/>
      </c>
      <c r="W24" s="21" t="str">
        <f>IF(ISNUMBER('TPS data'!W24),('TPS data'!W24/'Des TPS AFR'!W24)-1,"")</f>
        <v/>
      </c>
      <c r="X24" s="21" t="str">
        <f>IF(ISNUMBER('TPS data'!X24),('TPS data'!X24/'Des TPS AFR'!X24)-1,"")</f>
        <v/>
      </c>
    </row>
    <row r="25" spans="1:24" x14ac:dyDescent="0.25">
      <c r="A25" s="15">
        <v>5600</v>
      </c>
      <c r="B25" s="21" t="str">
        <f>IF(ISNUMBER('TPS data'!B25),('TPS data'!B25/'Des TPS AFR'!B25)-1,"")</f>
        <v/>
      </c>
      <c r="C25" s="21" t="str">
        <f>IF(ISNUMBER('TPS data'!C25),('TPS data'!C25/'Des TPS AFR'!C25)-1,"")</f>
        <v/>
      </c>
      <c r="D25" s="21" t="str">
        <f>IF(ISNUMBER('TPS data'!D25),('TPS data'!D25/'Des TPS AFR'!D25)-1,"")</f>
        <v/>
      </c>
      <c r="E25" s="21" t="str">
        <f>IF(ISNUMBER('TPS data'!E25),('TPS data'!E25/'Des TPS AFR'!E25)-1,"")</f>
        <v/>
      </c>
      <c r="F25" s="21" t="str">
        <f>IF(ISNUMBER('TPS data'!F25),('TPS data'!F25/'Des TPS AFR'!F25)-1,"")</f>
        <v/>
      </c>
      <c r="G25" s="21" t="str">
        <f>IF(ISNUMBER('TPS data'!G25),('TPS data'!G25/'Des TPS AFR'!G25)-1,"")</f>
        <v/>
      </c>
      <c r="H25" s="21" t="str">
        <f>IF(ISNUMBER('TPS data'!H25),('TPS data'!H25/'Des TPS AFR'!H25)-1,"")</f>
        <v/>
      </c>
      <c r="I25" s="21" t="str">
        <f>IF(ISNUMBER('TPS data'!I25),('TPS data'!I25/'Des TPS AFR'!I25)-1,"")</f>
        <v/>
      </c>
      <c r="J25" s="21" t="str">
        <f>IF(ISNUMBER('TPS data'!J25),('TPS data'!J25/'Des TPS AFR'!J25)-1,"")</f>
        <v/>
      </c>
      <c r="K25" s="21" t="str">
        <f>IF(ISNUMBER('TPS data'!K25),('TPS data'!K25/'Des TPS AFR'!K25)-1,"")</f>
        <v/>
      </c>
      <c r="L25" s="21" t="str">
        <f>IF(ISNUMBER('TPS data'!L25),('TPS data'!L25/'Des TPS AFR'!L25)-1,"")</f>
        <v/>
      </c>
      <c r="M25" s="21" t="str">
        <f>IF(ISNUMBER('TPS data'!M25),('TPS data'!M25/'Des TPS AFR'!M25)-1,"")</f>
        <v/>
      </c>
      <c r="N25" s="21" t="str">
        <f>IF(ISNUMBER('TPS data'!N25),('TPS data'!N25/'Des TPS AFR'!N25)-1,"")</f>
        <v/>
      </c>
      <c r="O25" s="21" t="str">
        <f>IF(ISNUMBER('TPS data'!O25),('TPS data'!O25/'Des TPS AFR'!O25)-1,"")</f>
        <v/>
      </c>
      <c r="P25" s="21" t="str">
        <f>IF(ISNUMBER('TPS data'!P25),('TPS data'!P25/'Des TPS AFR'!P25)-1,"")</f>
        <v/>
      </c>
      <c r="Q25" s="21" t="str">
        <f>IF(ISNUMBER('TPS data'!Q25),('TPS data'!Q25/'Des TPS AFR'!Q25)-1,"")</f>
        <v/>
      </c>
      <c r="R25" s="21" t="str">
        <f>IF(ISNUMBER('TPS data'!R25),('TPS data'!R25/'Des TPS AFR'!R25)-1,"")</f>
        <v/>
      </c>
      <c r="S25" s="21" t="str">
        <f>IF(ISNUMBER('TPS data'!S25),('TPS data'!S25/'Des TPS AFR'!S25)-1,"")</f>
        <v/>
      </c>
      <c r="T25" s="21" t="str">
        <f>IF(ISNUMBER('TPS data'!T25),('TPS data'!T25/'Des TPS AFR'!T25)-1,"")</f>
        <v/>
      </c>
      <c r="U25" s="21" t="str">
        <f>IF(ISNUMBER('TPS data'!U25),('TPS data'!U25/'Des TPS AFR'!U25)-1,"")</f>
        <v/>
      </c>
      <c r="V25" s="21" t="str">
        <f>IF(ISNUMBER('TPS data'!V25),('TPS data'!V25/'Des TPS AFR'!V25)-1,"")</f>
        <v/>
      </c>
      <c r="W25" s="21" t="str">
        <f>IF(ISNUMBER('TPS data'!W25),('TPS data'!W25/'Des TPS AFR'!W25)-1,"")</f>
        <v/>
      </c>
      <c r="X25" s="21" t="str">
        <f>IF(ISNUMBER('TPS data'!X25),('TPS data'!X25/'Des TPS AFR'!X25)-1,"")</f>
        <v/>
      </c>
    </row>
    <row r="26" spans="1:24" x14ac:dyDescent="0.25">
      <c r="A26" s="15">
        <v>6000</v>
      </c>
      <c r="B26" s="21" t="str">
        <f>IF(ISNUMBER('TPS data'!B26),('TPS data'!B26/'Des TPS AFR'!B26)-1,"")</f>
        <v/>
      </c>
      <c r="C26" s="21" t="str">
        <f>IF(ISNUMBER('TPS data'!C26),('TPS data'!C26/'Des TPS AFR'!C26)-1,"")</f>
        <v/>
      </c>
      <c r="D26" s="21" t="str">
        <f>IF(ISNUMBER('TPS data'!D26),('TPS data'!D26/'Des TPS AFR'!D26)-1,"")</f>
        <v/>
      </c>
      <c r="E26" s="21" t="str">
        <f>IF(ISNUMBER('TPS data'!E26),('TPS data'!E26/'Des TPS AFR'!E26)-1,"")</f>
        <v/>
      </c>
      <c r="F26" s="21" t="str">
        <f>IF(ISNUMBER('TPS data'!F26),('TPS data'!F26/'Des TPS AFR'!F26)-1,"")</f>
        <v/>
      </c>
      <c r="G26" s="21" t="str">
        <f>IF(ISNUMBER('TPS data'!G26),('TPS data'!G26/'Des TPS AFR'!G26)-1,"")</f>
        <v/>
      </c>
      <c r="H26" s="21" t="str">
        <f>IF(ISNUMBER('TPS data'!H26),('TPS data'!H26/'Des TPS AFR'!H26)-1,"")</f>
        <v/>
      </c>
      <c r="I26" s="21" t="str">
        <f>IF(ISNUMBER('TPS data'!I26),('TPS data'!I26/'Des TPS AFR'!I26)-1,"")</f>
        <v/>
      </c>
      <c r="J26" s="21" t="str">
        <f>IF(ISNUMBER('TPS data'!J26),('TPS data'!J26/'Des TPS AFR'!J26)-1,"")</f>
        <v/>
      </c>
      <c r="K26" s="21" t="str">
        <f>IF(ISNUMBER('TPS data'!K26),('TPS data'!K26/'Des TPS AFR'!K26)-1,"")</f>
        <v/>
      </c>
      <c r="L26" s="21" t="str">
        <f>IF(ISNUMBER('TPS data'!L26),('TPS data'!L26/'Des TPS AFR'!L26)-1,"")</f>
        <v/>
      </c>
      <c r="M26" s="21" t="str">
        <f>IF(ISNUMBER('TPS data'!M26),('TPS data'!M26/'Des TPS AFR'!M26)-1,"")</f>
        <v/>
      </c>
      <c r="N26" s="21" t="str">
        <f>IF(ISNUMBER('TPS data'!N26),('TPS data'!N26/'Des TPS AFR'!N26)-1,"")</f>
        <v/>
      </c>
      <c r="O26" s="21" t="str">
        <f>IF(ISNUMBER('TPS data'!O26),('TPS data'!O26/'Des TPS AFR'!O26)-1,"")</f>
        <v/>
      </c>
      <c r="P26" s="21" t="str">
        <f>IF(ISNUMBER('TPS data'!P26),('TPS data'!P26/'Des TPS AFR'!P26)-1,"")</f>
        <v/>
      </c>
      <c r="Q26" s="21" t="str">
        <f>IF(ISNUMBER('TPS data'!Q26),('TPS data'!Q26/'Des TPS AFR'!Q26)-1,"")</f>
        <v/>
      </c>
      <c r="R26" s="21" t="str">
        <f>IF(ISNUMBER('TPS data'!R26),('TPS data'!R26/'Des TPS AFR'!R26)-1,"")</f>
        <v/>
      </c>
      <c r="S26" s="21" t="str">
        <f>IF(ISNUMBER('TPS data'!S26),('TPS data'!S26/'Des TPS AFR'!S26)-1,"")</f>
        <v/>
      </c>
      <c r="T26" s="21" t="str">
        <f>IF(ISNUMBER('TPS data'!T26),('TPS data'!T26/'Des TPS AFR'!T26)-1,"")</f>
        <v/>
      </c>
      <c r="U26" s="21" t="str">
        <f>IF(ISNUMBER('TPS data'!U26),('TPS data'!U26/'Des TPS AFR'!U26)-1,"")</f>
        <v/>
      </c>
      <c r="V26" s="21" t="str">
        <f>IF(ISNUMBER('TPS data'!V26),('TPS data'!V26/'Des TPS AFR'!V26)-1,"")</f>
        <v/>
      </c>
      <c r="W26" s="21" t="str">
        <f>IF(ISNUMBER('TPS data'!W26),('TPS data'!W26/'Des TPS AFR'!W26)-1,"")</f>
        <v/>
      </c>
      <c r="X26" s="21" t="str">
        <f>IF(ISNUMBER('TPS data'!X26),('TPS data'!X26/'Des TPS AFR'!X26)-1,"")</f>
        <v/>
      </c>
    </row>
    <row r="27" spans="1:24" x14ac:dyDescent="0.25">
      <c r="A27" s="15">
        <v>6400</v>
      </c>
      <c r="B27" s="21" t="str">
        <f>IF(ISNUMBER('TPS data'!B27),('TPS data'!B27/'Des TPS AFR'!B27)-1,"")</f>
        <v/>
      </c>
      <c r="C27" s="21" t="str">
        <f>IF(ISNUMBER('TPS data'!C27),('TPS data'!C27/'Des TPS AFR'!C27)-1,"")</f>
        <v/>
      </c>
      <c r="D27" s="21" t="str">
        <f>IF(ISNUMBER('TPS data'!D27),('TPS data'!D27/'Des TPS AFR'!D27)-1,"")</f>
        <v/>
      </c>
      <c r="E27" s="21" t="str">
        <f>IF(ISNUMBER('TPS data'!E27),('TPS data'!E27/'Des TPS AFR'!E27)-1,"")</f>
        <v/>
      </c>
      <c r="F27" s="21" t="str">
        <f>IF(ISNUMBER('TPS data'!F27),('TPS data'!F27/'Des TPS AFR'!F27)-1,"")</f>
        <v/>
      </c>
      <c r="G27" s="21" t="str">
        <f>IF(ISNUMBER('TPS data'!G27),('TPS data'!G27/'Des TPS AFR'!G27)-1,"")</f>
        <v/>
      </c>
      <c r="H27" s="21" t="str">
        <f>IF(ISNUMBER('TPS data'!H27),('TPS data'!H27/'Des TPS AFR'!H27)-1,"")</f>
        <v/>
      </c>
      <c r="I27" s="21" t="str">
        <f>IF(ISNUMBER('TPS data'!I27),('TPS data'!I27/'Des TPS AFR'!I27)-1,"")</f>
        <v/>
      </c>
      <c r="J27" s="21" t="str">
        <f>IF(ISNUMBER('TPS data'!J27),('TPS data'!J27/'Des TPS AFR'!J27)-1,"")</f>
        <v/>
      </c>
      <c r="K27" s="21" t="str">
        <f>IF(ISNUMBER('TPS data'!K27),('TPS data'!K27/'Des TPS AFR'!K27)-1,"")</f>
        <v/>
      </c>
      <c r="L27" s="21" t="str">
        <f>IF(ISNUMBER('TPS data'!L27),('TPS data'!L27/'Des TPS AFR'!L27)-1,"")</f>
        <v/>
      </c>
      <c r="M27" s="21" t="str">
        <f>IF(ISNUMBER('TPS data'!M27),('TPS data'!M27/'Des TPS AFR'!M27)-1,"")</f>
        <v/>
      </c>
      <c r="N27" s="21" t="str">
        <f>IF(ISNUMBER('TPS data'!N27),('TPS data'!N27/'Des TPS AFR'!N27)-1,"")</f>
        <v/>
      </c>
      <c r="O27" s="21" t="str">
        <f>IF(ISNUMBER('TPS data'!O27),('TPS data'!O27/'Des TPS AFR'!O27)-1,"")</f>
        <v/>
      </c>
      <c r="P27" s="21" t="str">
        <f>IF(ISNUMBER('TPS data'!P27),('TPS data'!P27/'Des TPS AFR'!P27)-1,"")</f>
        <v/>
      </c>
      <c r="Q27" s="21" t="str">
        <f>IF(ISNUMBER('TPS data'!Q27),('TPS data'!Q27/'Des TPS AFR'!Q27)-1,"")</f>
        <v/>
      </c>
      <c r="R27" s="21" t="str">
        <f>IF(ISNUMBER('TPS data'!R27),('TPS data'!R27/'Des TPS AFR'!R27)-1,"")</f>
        <v/>
      </c>
      <c r="S27" s="21" t="str">
        <f>IF(ISNUMBER('TPS data'!S27),('TPS data'!S27/'Des TPS AFR'!S27)-1,"")</f>
        <v/>
      </c>
      <c r="T27" s="21" t="str">
        <f>IF(ISNUMBER('TPS data'!T27),('TPS data'!T27/'Des TPS AFR'!T27)-1,"")</f>
        <v/>
      </c>
      <c r="U27" s="21" t="str">
        <f>IF(ISNUMBER('TPS data'!U27),('TPS data'!U27/'Des TPS AFR'!U27)-1,"")</f>
        <v/>
      </c>
      <c r="V27" s="21" t="str">
        <f>IF(ISNUMBER('TPS data'!V27),('TPS data'!V27/'Des TPS AFR'!V27)-1,"")</f>
        <v/>
      </c>
      <c r="W27" s="21" t="str">
        <f>IF(ISNUMBER('TPS data'!W27),('TPS data'!W27/'Des TPS AFR'!W27)-1,"")</f>
        <v/>
      </c>
      <c r="X27" s="21" t="str">
        <f>IF(ISNUMBER('TPS data'!X27),('TPS data'!X27/'Des TPS AFR'!X27)-1,"")</f>
        <v/>
      </c>
    </row>
    <row r="28" spans="1:24" x14ac:dyDescent="0.25">
      <c r="A28" s="15">
        <v>6800</v>
      </c>
      <c r="B28" s="21" t="str">
        <f>IF(ISNUMBER('TPS data'!B28),('TPS data'!B28/'Des TPS AFR'!B28)-1,"")</f>
        <v/>
      </c>
      <c r="C28" s="21" t="str">
        <f>IF(ISNUMBER('TPS data'!C28),('TPS data'!C28/'Des TPS AFR'!C28)-1,"")</f>
        <v/>
      </c>
      <c r="D28" s="21" t="str">
        <f>IF(ISNUMBER('TPS data'!D28),('TPS data'!D28/'Des TPS AFR'!D28)-1,"")</f>
        <v/>
      </c>
      <c r="E28" s="21" t="str">
        <f>IF(ISNUMBER('TPS data'!E28),('TPS data'!E28/'Des TPS AFR'!E28)-1,"")</f>
        <v/>
      </c>
      <c r="F28" s="21" t="str">
        <f>IF(ISNUMBER('TPS data'!F28),('TPS data'!F28/'Des TPS AFR'!F28)-1,"")</f>
        <v/>
      </c>
      <c r="G28" s="21" t="str">
        <f>IF(ISNUMBER('TPS data'!G28),('TPS data'!G28/'Des TPS AFR'!G28)-1,"")</f>
        <v/>
      </c>
      <c r="H28" s="21" t="str">
        <f>IF(ISNUMBER('TPS data'!H28),('TPS data'!H28/'Des TPS AFR'!H28)-1,"")</f>
        <v/>
      </c>
      <c r="I28" s="21" t="str">
        <f>IF(ISNUMBER('TPS data'!I28),('TPS data'!I28/'Des TPS AFR'!I28)-1,"")</f>
        <v/>
      </c>
      <c r="J28" s="21" t="str">
        <f>IF(ISNUMBER('TPS data'!J28),('TPS data'!J28/'Des TPS AFR'!J28)-1,"")</f>
        <v/>
      </c>
      <c r="K28" s="21" t="str">
        <f>IF(ISNUMBER('TPS data'!K28),('TPS data'!K28/'Des TPS AFR'!K28)-1,"")</f>
        <v/>
      </c>
      <c r="L28" s="21" t="str">
        <f>IF(ISNUMBER('TPS data'!L28),('TPS data'!L28/'Des TPS AFR'!L28)-1,"")</f>
        <v/>
      </c>
      <c r="M28" s="21" t="str">
        <f>IF(ISNUMBER('TPS data'!M28),('TPS data'!M28/'Des TPS AFR'!M28)-1,"")</f>
        <v/>
      </c>
      <c r="N28" s="21" t="str">
        <f>IF(ISNUMBER('TPS data'!N28),('TPS data'!N28/'Des TPS AFR'!N28)-1,"")</f>
        <v/>
      </c>
      <c r="O28" s="21" t="str">
        <f>IF(ISNUMBER('TPS data'!O28),('TPS data'!O28/'Des TPS AFR'!O28)-1,"")</f>
        <v/>
      </c>
      <c r="P28" s="21" t="str">
        <f>IF(ISNUMBER('TPS data'!P28),('TPS data'!P28/'Des TPS AFR'!P28)-1,"")</f>
        <v/>
      </c>
      <c r="Q28" s="21" t="str">
        <f>IF(ISNUMBER('TPS data'!Q28),('TPS data'!Q28/'Des TPS AFR'!Q28)-1,"")</f>
        <v/>
      </c>
      <c r="R28" s="21" t="str">
        <f>IF(ISNUMBER('TPS data'!R28),('TPS data'!R28/'Des TPS AFR'!R28)-1,"")</f>
        <v/>
      </c>
      <c r="S28" s="21" t="str">
        <f>IF(ISNUMBER('TPS data'!S28),('TPS data'!S28/'Des TPS AFR'!S28)-1,"")</f>
        <v/>
      </c>
      <c r="T28" s="21" t="str">
        <f>IF(ISNUMBER('TPS data'!T28),('TPS data'!T28/'Des TPS AFR'!T28)-1,"")</f>
        <v/>
      </c>
      <c r="U28" s="21" t="str">
        <f>IF(ISNUMBER('TPS data'!U28),('TPS data'!U28/'Des TPS AFR'!U28)-1,"")</f>
        <v/>
      </c>
      <c r="V28" s="21" t="str">
        <f>IF(ISNUMBER('TPS data'!V28),('TPS data'!V28/'Des TPS AFR'!V28)-1,"")</f>
        <v/>
      </c>
      <c r="W28" s="21" t="str">
        <f>IF(ISNUMBER('TPS data'!W28),('TPS data'!W28/'Des TPS AFR'!W28)-1,"")</f>
        <v/>
      </c>
      <c r="X28" s="21" t="str">
        <f>IF(ISNUMBER('TPS data'!X28),('TPS data'!X28/'Des TPS AFR'!X28)-1,"")</f>
        <v/>
      </c>
    </row>
    <row r="29" spans="1:24" x14ac:dyDescent="0.25">
      <c r="A29" s="15">
        <v>7200</v>
      </c>
      <c r="B29" s="21" t="str">
        <f>IF(ISNUMBER('TPS data'!B29),('TPS data'!B29/'Des TPS AFR'!B29)-1,"")</f>
        <v/>
      </c>
      <c r="C29" s="21" t="str">
        <f>IF(ISNUMBER('TPS data'!C29),('TPS data'!C29/'Des TPS AFR'!C29)-1,"")</f>
        <v/>
      </c>
      <c r="D29" s="21" t="str">
        <f>IF(ISNUMBER('TPS data'!D29),('TPS data'!D29/'Des TPS AFR'!D29)-1,"")</f>
        <v/>
      </c>
      <c r="E29" s="21" t="str">
        <f>IF(ISNUMBER('TPS data'!E29),('TPS data'!E29/'Des TPS AFR'!E29)-1,"")</f>
        <v/>
      </c>
      <c r="F29" s="21" t="str">
        <f>IF(ISNUMBER('TPS data'!F29),('TPS data'!F29/'Des TPS AFR'!F29)-1,"")</f>
        <v/>
      </c>
      <c r="G29" s="21" t="str">
        <f>IF(ISNUMBER('TPS data'!G29),('TPS data'!G29/'Des TPS AFR'!G29)-1,"")</f>
        <v/>
      </c>
      <c r="H29" s="21" t="str">
        <f>IF(ISNUMBER('TPS data'!H29),('TPS data'!H29/'Des TPS AFR'!H29)-1,"")</f>
        <v/>
      </c>
      <c r="I29" s="21" t="str">
        <f>IF(ISNUMBER('TPS data'!I29),('TPS data'!I29/'Des TPS AFR'!I29)-1,"")</f>
        <v/>
      </c>
      <c r="J29" s="21" t="str">
        <f>IF(ISNUMBER('TPS data'!J29),('TPS data'!J29/'Des TPS AFR'!J29)-1,"")</f>
        <v/>
      </c>
      <c r="K29" s="21" t="str">
        <f>IF(ISNUMBER('TPS data'!K29),('TPS data'!K29/'Des TPS AFR'!K29)-1,"")</f>
        <v/>
      </c>
      <c r="L29" s="21" t="str">
        <f>IF(ISNUMBER('TPS data'!L29),('TPS data'!L29/'Des TPS AFR'!L29)-1,"")</f>
        <v/>
      </c>
      <c r="M29" s="21" t="str">
        <f>IF(ISNUMBER('TPS data'!M29),('TPS data'!M29/'Des TPS AFR'!M29)-1,"")</f>
        <v/>
      </c>
      <c r="N29" s="21" t="str">
        <f>IF(ISNUMBER('TPS data'!N29),('TPS data'!N29/'Des TPS AFR'!N29)-1,"")</f>
        <v/>
      </c>
      <c r="O29" s="21" t="str">
        <f>IF(ISNUMBER('TPS data'!O29),('TPS data'!O29/'Des TPS AFR'!O29)-1,"")</f>
        <v/>
      </c>
      <c r="P29" s="21" t="str">
        <f>IF(ISNUMBER('TPS data'!P29),('TPS data'!P29/'Des TPS AFR'!P29)-1,"")</f>
        <v/>
      </c>
      <c r="Q29" s="21" t="str">
        <f>IF(ISNUMBER('TPS data'!Q29),('TPS data'!Q29/'Des TPS AFR'!Q29)-1,"")</f>
        <v/>
      </c>
      <c r="R29" s="21" t="str">
        <f>IF(ISNUMBER('TPS data'!R29),('TPS data'!R29/'Des TPS AFR'!R29)-1,"")</f>
        <v/>
      </c>
      <c r="S29" s="21" t="str">
        <f>IF(ISNUMBER('TPS data'!S29),('TPS data'!S29/'Des TPS AFR'!S29)-1,"")</f>
        <v/>
      </c>
      <c r="T29" s="21" t="str">
        <f>IF(ISNUMBER('TPS data'!T29),('TPS data'!T29/'Des TPS AFR'!T29)-1,"")</f>
        <v/>
      </c>
      <c r="U29" s="21" t="str">
        <f>IF(ISNUMBER('TPS data'!U29),('TPS data'!U29/'Des TPS AFR'!U29)-1,"")</f>
        <v/>
      </c>
      <c r="V29" s="21" t="str">
        <f>IF(ISNUMBER('TPS data'!V29),('TPS data'!V29/'Des TPS AFR'!V29)-1,"")</f>
        <v/>
      </c>
      <c r="W29" s="21" t="str">
        <f>IF(ISNUMBER('TPS data'!W29),('TPS data'!W29/'Des TPS AFR'!W29)-1,"")</f>
        <v/>
      </c>
      <c r="X29" s="21" t="str">
        <f>IF(ISNUMBER('TPS data'!X29),('TPS data'!X29/'Des TPS AFR'!X29)-1,"")</f>
        <v/>
      </c>
    </row>
    <row r="30" spans="1:24" x14ac:dyDescent="0.25">
      <c r="A30" s="15">
        <v>7600</v>
      </c>
      <c r="B30" s="21" t="str">
        <f>IF(ISNUMBER('TPS data'!B30),('TPS data'!B30/'Des TPS AFR'!B30)-1,"")</f>
        <v/>
      </c>
      <c r="C30" s="21" t="str">
        <f>IF(ISNUMBER('TPS data'!C30),('TPS data'!C30/'Des TPS AFR'!C30)-1,"")</f>
        <v/>
      </c>
      <c r="D30" s="21" t="str">
        <f>IF(ISNUMBER('TPS data'!D30),('TPS data'!D30/'Des TPS AFR'!D30)-1,"")</f>
        <v/>
      </c>
      <c r="E30" s="21" t="str">
        <f>IF(ISNUMBER('TPS data'!E30),('TPS data'!E30/'Des TPS AFR'!E30)-1,"")</f>
        <v/>
      </c>
      <c r="F30" s="21" t="str">
        <f>IF(ISNUMBER('TPS data'!F30),('TPS data'!F30/'Des TPS AFR'!F30)-1,"")</f>
        <v/>
      </c>
      <c r="G30" s="21" t="str">
        <f>IF(ISNUMBER('TPS data'!G30),('TPS data'!G30/'Des TPS AFR'!G30)-1,"")</f>
        <v/>
      </c>
      <c r="H30" s="21" t="str">
        <f>IF(ISNUMBER('TPS data'!H30),('TPS data'!H30/'Des TPS AFR'!H30)-1,"")</f>
        <v/>
      </c>
      <c r="I30" s="21" t="str">
        <f>IF(ISNUMBER('TPS data'!I30),('TPS data'!I30/'Des TPS AFR'!I30)-1,"")</f>
        <v/>
      </c>
      <c r="J30" s="21" t="str">
        <f>IF(ISNUMBER('TPS data'!J30),('TPS data'!J30/'Des TPS AFR'!J30)-1,"")</f>
        <v/>
      </c>
      <c r="K30" s="21" t="str">
        <f>IF(ISNUMBER('TPS data'!K30),('TPS data'!K30/'Des TPS AFR'!K30)-1,"")</f>
        <v/>
      </c>
      <c r="L30" s="21" t="str">
        <f>IF(ISNUMBER('TPS data'!L30),('TPS data'!L30/'Des TPS AFR'!L30)-1,"")</f>
        <v/>
      </c>
      <c r="M30" s="21" t="str">
        <f>IF(ISNUMBER('TPS data'!M30),('TPS data'!M30/'Des TPS AFR'!M30)-1,"")</f>
        <v/>
      </c>
      <c r="N30" s="21" t="str">
        <f>IF(ISNUMBER('TPS data'!N30),('TPS data'!N30/'Des TPS AFR'!N30)-1,"")</f>
        <v/>
      </c>
      <c r="O30" s="21" t="str">
        <f>IF(ISNUMBER('TPS data'!O30),('TPS data'!O30/'Des TPS AFR'!O30)-1,"")</f>
        <v/>
      </c>
      <c r="P30" s="21" t="str">
        <f>IF(ISNUMBER('TPS data'!P30),('TPS data'!P30/'Des TPS AFR'!P30)-1,"")</f>
        <v/>
      </c>
      <c r="Q30" s="21" t="str">
        <f>IF(ISNUMBER('TPS data'!Q30),('TPS data'!Q30/'Des TPS AFR'!Q30)-1,"")</f>
        <v/>
      </c>
      <c r="R30" s="21" t="str">
        <f>IF(ISNUMBER('TPS data'!R30),('TPS data'!R30/'Des TPS AFR'!R30)-1,"")</f>
        <v/>
      </c>
      <c r="S30" s="21" t="str">
        <f>IF(ISNUMBER('TPS data'!S30),('TPS data'!S30/'Des TPS AFR'!S30)-1,"")</f>
        <v/>
      </c>
      <c r="T30" s="21" t="str">
        <f>IF(ISNUMBER('TPS data'!T30),('TPS data'!T30/'Des TPS AFR'!T30)-1,"")</f>
        <v/>
      </c>
      <c r="U30" s="21" t="str">
        <f>IF(ISNUMBER('TPS data'!U30),('TPS data'!U30/'Des TPS AFR'!U30)-1,"")</f>
        <v/>
      </c>
      <c r="V30" s="21" t="str">
        <f>IF(ISNUMBER('TPS data'!V30),('TPS data'!V30/'Des TPS AFR'!V30)-1,"")</f>
        <v/>
      </c>
      <c r="W30" s="21" t="str">
        <f>IF(ISNUMBER('TPS data'!W30),('TPS data'!W30/'Des TPS AFR'!W30)-1,"")</f>
        <v/>
      </c>
      <c r="X30" s="21" t="str">
        <f>IF(ISNUMBER('TPS data'!X30),('TPS data'!X30/'Des TPS AFR'!X30)-1,"")</f>
        <v/>
      </c>
    </row>
    <row r="31" spans="1:24" x14ac:dyDescent="0.25">
      <c r="A31" s="15">
        <v>8000</v>
      </c>
      <c r="B31" s="21" t="str">
        <f>IF(ISNUMBER('TPS data'!B31),('TPS data'!B31/'Des TPS AFR'!B31)-1,"")</f>
        <v/>
      </c>
      <c r="C31" s="21" t="str">
        <f>IF(ISNUMBER('TPS data'!C31),('TPS data'!C31/'Des TPS AFR'!C31)-1,"")</f>
        <v/>
      </c>
      <c r="D31" s="21" t="str">
        <f>IF(ISNUMBER('TPS data'!D31),('TPS data'!D31/'Des TPS AFR'!D31)-1,"")</f>
        <v/>
      </c>
      <c r="E31" s="21" t="str">
        <f>IF(ISNUMBER('TPS data'!E31),('TPS data'!E31/'Des TPS AFR'!E31)-1,"")</f>
        <v/>
      </c>
      <c r="F31" s="21" t="str">
        <f>IF(ISNUMBER('TPS data'!F31),('TPS data'!F31/'Des TPS AFR'!F31)-1,"")</f>
        <v/>
      </c>
      <c r="G31" s="21" t="str">
        <f>IF(ISNUMBER('TPS data'!G31),('TPS data'!G31/'Des TPS AFR'!G31)-1,"")</f>
        <v/>
      </c>
      <c r="H31" s="21" t="str">
        <f>IF(ISNUMBER('TPS data'!H31),('TPS data'!H31/'Des TPS AFR'!H31)-1,"")</f>
        <v/>
      </c>
      <c r="I31" s="21" t="str">
        <f>IF(ISNUMBER('TPS data'!I31),('TPS data'!I31/'Des TPS AFR'!I31)-1,"")</f>
        <v/>
      </c>
      <c r="J31" s="21" t="str">
        <f>IF(ISNUMBER('TPS data'!J31),('TPS data'!J31/'Des TPS AFR'!J31)-1,"")</f>
        <v/>
      </c>
      <c r="K31" s="21" t="str">
        <f>IF(ISNUMBER('TPS data'!K31),('TPS data'!K31/'Des TPS AFR'!K31)-1,"")</f>
        <v/>
      </c>
      <c r="L31" s="21" t="str">
        <f>IF(ISNUMBER('TPS data'!L31),('TPS data'!L31/'Des TPS AFR'!L31)-1,"")</f>
        <v/>
      </c>
      <c r="M31" s="21" t="str">
        <f>IF(ISNUMBER('TPS data'!M31),('TPS data'!M31/'Des TPS AFR'!M31)-1,"")</f>
        <v/>
      </c>
      <c r="N31" s="21" t="str">
        <f>IF(ISNUMBER('TPS data'!N31),('TPS data'!N31/'Des TPS AFR'!N31)-1,"")</f>
        <v/>
      </c>
      <c r="O31" s="21" t="str">
        <f>IF(ISNUMBER('TPS data'!O31),('TPS data'!O31/'Des TPS AFR'!O31)-1,"")</f>
        <v/>
      </c>
      <c r="P31" s="21" t="str">
        <f>IF(ISNUMBER('TPS data'!P31),('TPS data'!P31/'Des TPS AFR'!P31)-1,"")</f>
        <v/>
      </c>
      <c r="Q31" s="21" t="str">
        <f>IF(ISNUMBER('TPS data'!Q31),('TPS data'!Q31/'Des TPS AFR'!Q31)-1,"")</f>
        <v/>
      </c>
      <c r="R31" s="21" t="str">
        <f>IF(ISNUMBER('TPS data'!R31),('TPS data'!R31/'Des TPS AFR'!R31)-1,"")</f>
        <v/>
      </c>
      <c r="S31" s="21" t="str">
        <f>IF(ISNUMBER('TPS data'!S31),('TPS data'!S31/'Des TPS AFR'!S31)-1,"")</f>
        <v/>
      </c>
      <c r="T31" s="21" t="str">
        <f>IF(ISNUMBER('TPS data'!T31),('TPS data'!T31/'Des TPS AFR'!T31)-1,"")</f>
        <v/>
      </c>
      <c r="U31" s="21" t="str">
        <f>IF(ISNUMBER('TPS data'!U31),('TPS data'!U31/'Des TPS AFR'!U31)-1,"")</f>
        <v/>
      </c>
      <c r="V31" s="21" t="str">
        <f>IF(ISNUMBER('TPS data'!V31),('TPS data'!V31/'Des TPS AFR'!V31)-1,"")</f>
        <v/>
      </c>
      <c r="W31" s="21" t="str">
        <f>IF(ISNUMBER('TPS data'!W31),('TPS data'!W31/'Des TPS AFR'!W31)-1,"")</f>
        <v/>
      </c>
      <c r="X31" s="21" t="str">
        <f>IF(ISNUMBER('TPS data'!X31),('TPS data'!X31/'Des TPS AFR'!X31)-1,"")</f>
        <v/>
      </c>
    </row>
    <row r="32" spans="1:24" x14ac:dyDescent="0.25">
      <c r="A32" s="15">
        <v>8400</v>
      </c>
      <c r="B32" s="21" t="str">
        <f>IF(ISNUMBER('TPS data'!B32),('TPS data'!B32/'Des TPS AFR'!B32)-1,"")</f>
        <v/>
      </c>
      <c r="C32" s="21" t="str">
        <f>IF(ISNUMBER('TPS data'!C32),('TPS data'!C32/'Des TPS AFR'!C32)-1,"")</f>
        <v/>
      </c>
      <c r="D32" s="21" t="str">
        <f>IF(ISNUMBER('TPS data'!D32),('TPS data'!D32/'Des TPS AFR'!D32)-1,"")</f>
        <v/>
      </c>
      <c r="E32" s="21" t="str">
        <f>IF(ISNUMBER('TPS data'!E32),('TPS data'!E32/'Des TPS AFR'!E32)-1,"")</f>
        <v/>
      </c>
      <c r="F32" s="21" t="str">
        <f>IF(ISNUMBER('TPS data'!F32),('TPS data'!F32/'Des TPS AFR'!F32)-1,"")</f>
        <v/>
      </c>
      <c r="G32" s="21" t="str">
        <f>IF(ISNUMBER('TPS data'!G32),('TPS data'!G32/'Des TPS AFR'!G32)-1,"")</f>
        <v/>
      </c>
      <c r="H32" s="21" t="str">
        <f>IF(ISNUMBER('TPS data'!H32),('TPS data'!H32/'Des TPS AFR'!H32)-1,"")</f>
        <v/>
      </c>
      <c r="I32" s="21" t="str">
        <f>IF(ISNUMBER('TPS data'!I32),('TPS data'!I32/'Des TPS AFR'!I32)-1,"")</f>
        <v/>
      </c>
      <c r="J32" s="21" t="str">
        <f>IF(ISNUMBER('TPS data'!J32),('TPS data'!J32/'Des TPS AFR'!J32)-1,"")</f>
        <v/>
      </c>
      <c r="K32" s="21" t="str">
        <f>IF(ISNUMBER('TPS data'!K32),('TPS data'!K32/'Des TPS AFR'!K32)-1,"")</f>
        <v/>
      </c>
      <c r="L32" s="21" t="str">
        <f>IF(ISNUMBER('TPS data'!L32),('TPS data'!L32/'Des TPS AFR'!L32)-1,"")</f>
        <v/>
      </c>
      <c r="M32" s="21" t="str">
        <f>IF(ISNUMBER('TPS data'!M32),('TPS data'!M32/'Des TPS AFR'!M32)-1,"")</f>
        <v/>
      </c>
      <c r="N32" s="21" t="str">
        <f>IF(ISNUMBER('TPS data'!N32),('TPS data'!N32/'Des TPS AFR'!N32)-1,"")</f>
        <v/>
      </c>
      <c r="O32" s="21" t="str">
        <f>IF(ISNUMBER('TPS data'!O32),('TPS data'!O32/'Des TPS AFR'!O32)-1,"")</f>
        <v/>
      </c>
      <c r="P32" s="21" t="str">
        <f>IF(ISNUMBER('TPS data'!P32),('TPS data'!P32/'Des TPS AFR'!P32)-1,"")</f>
        <v/>
      </c>
      <c r="Q32" s="21" t="str">
        <f>IF(ISNUMBER('TPS data'!Q32),('TPS data'!Q32/'Des TPS AFR'!Q32)-1,"")</f>
        <v/>
      </c>
      <c r="R32" s="21" t="str">
        <f>IF(ISNUMBER('TPS data'!R32),('TPS data'!R32/'Des TPS AFR'!R32)-1,"")</f>
        <v/>
      </c>
      <c r="S32" s="21" t="str">
        <f>IF(ISNUMBER('TPS data'!S32),('TPS data'!S32/'Des TPS AFR'!S32)-1,"")</f>
        <v/>
      </c>
      <c r="T32" s="21" t="str">
        <f>IF(ISNUMBER('TPS data'!T32),('TPS data'!T32/'Des TPS AFR'!T32)-1,"")</f>
        <v/>
      </c>
      <c r="U32" s="21" t="str">
        <f>IF(ISNUMBER('TPS data'!U32),('TPS data'!U32/'Des TPS AFR'!U32)-1,"")</f>
        <v/>
      </c>
      <c r="V32" s="21" t="str">
        <f>IF(ISNUMBER('TPS data'!V32),('TPS data'!V32/'Des TPS AFR'!V32)-1,"")</f>
        <v/>
      </c>
      <c r="W32" s="21" t="str">
        <f>IF(ISNUMBER('TPS data'!W32),('TPS data'!W32/'Des TPS AFR'!W32)-1,"")</f>
        <v/>
      </c>
      <c r="X32" s="21" t="str">
        <f>IF(ISNUMBER('TPS data'!X32),('TPS data'!X32/'Des TPS AFR'!X32)-1,"")</f>
        <v/>
      </c>
    </row>
    <row r="33" spans="1:24" x14ac:dyDescent="0.25">
      <c r="A33" s="15">
        <v>8800</v>
      </c>
      <c r="B33" s="21" t="str">
        <f>IF(ISNUMBER('TPS data'!B33),('TPS data'!B33/'Des TPS AFR'!B33)-1,"")</f>
        <v/>
      </c>
      <c r="C33" s="21" t="str">
        <f>IF(ISNUMBER('TPS data'!C33),('TPS data'!C33/'Des TPS AFR'!C33)-1,"")</f>
        <v/>
      </c>
      <c r="D33" s="21" t="str">
        <f>IF(ISNUMBER('TPS data'!D33),('TPS data'!D33/'Des TPS AFR'!D33)-1,"")</f>
        <v/>
      </c>
      <c r="E33" s="21" t="str">
        <f>IF(ISNUMBER('TPS data'!E33),('TPS data'!E33/'Des TPS AFR'!E33)-1,"")</f>
        <v/>
      </c>
      <c r="F33" s="21" t="str">
        <f>IF(ISNUMBER('TPS data'!F33),('TPS data'!F33/'Des TPS AFR'!F33)-1,"")</f>
        <v/>
      </c>
      <c r="G33" s="21" t="str">
        <f>IF(ISNUMBER('TPS data'!G33),('TPS data'!G33/'Des TPS AFR'!G33)-1,"")</f>
        <v/>
      </c>
      <c r="H33" s="21" t="str">
        <f>IF(ISNUMBER('TPS data'!H33),('TPS data'!H33/'Des TPS AFR'!H33)-1,"")</f>
        <v/>
      </c>
      <c r="I33" s="21" t="str">
        <f>IF(ISNUMBER('TPS data'!I33),('TPS data'!I33/'Des TPS AFR'!I33)-1,"")</f>
        <v/>
      </c>
      <c r="J33" s="21" t="str">
        <f>IF(ISNUMBER('TPS data'!J33),('TPS data'!J33/'Des TPS AFR'!J33)-1,"")</f>
        <v/>
      </c>
      <c r="K33" s="21" t="str">
        <f>IF(ISNUMBER('TPS data'!K33),('TPS data'!K33/'Des TPS AFR'!K33)-1,"")</f>
        <v/>
      </c>
      <c r="L33" s="21" t="str">
        <f>IF(ISNUMBER('TPS data'!L33),('TPS data'!L33/'Des TPS AFR'!L33)-1,"")</f>
        <v/>
      </c>
      <c r="M33" s="21" t="str">
        <f>IF(ISNUMBER('TPS data'!M33),('TPS data'!M33/'Des TPS AFR'!M33)-1,"")</f>
        <v/>
      </c>
      <c r="N33" s="21" t="str">
        <f>IF(ISNUMBER('TPS data'!N33),('TPS data'!N33/'Des TPS AFR'!N33)-1,"")</f>
        <v/>
      </c>
      <c r="O33" s="21" t="str">
        <f>IF(ISNUMBER('TPS data'!O33),('TPS data'!O33/'Des TPS AFR'!O33)-1,"")</f>
        <v/>
      </c>
      <c r="P33" s="21" t="str">
        <f>IF(ISNUMBER('TPS data'!P33),('TPS data'!P33/'Des TPS AFR'!P33)-1,"")</f>
        <v/>
      </c>
      <c r="Q33" s="21" t="str">
        <f>IF(ISNUMBER('TPS data'!Q33),('TPS data'!Q33/'Des TPS AFR'!Q33)-1,"")</f>
        <v/>
      </c>
      <c r="R33" s="21" t="str">
        <f>IF(ISNUMBER('TPS data'!R33),('TPS data'!R33/'Des TPS AFR'!R33)-1,"")</f>
        <v/>
      </c>
      <c r="S33" s="21" t="str">
        <f>IF(ISNUMBER('TPS data'!S33),('TPS data'!S33/'Des TPS AFR'!S33)-1,"")</f>
        <v/>
      </c>
      <c r="T33" s="21" t="str">
        <f>IF(ISNUMBER('TPS data'!T33),('TPS data'!T33/'Des TPS AFR'!T33)-1,"")</f>
        <v/>
      </c>
      <c r="U33" s="21" t="str">
        <f>IF(ISNUMBER('TPS data'!U33),('TPS data'!U33/'Des TPS AFR'!U33)-1,"")</f>
        <v/>
      </c>
      <c r="V33" s="21" t="str">
        <f>IF(ISNUMBER('TPS data'!V33),('TPS data'!V33/'Des TPS AFR'!V33)-1,"")</f>
        <v/>
      </c>
      <c r="W33" s="21" t="str">
        <f>IF(ISNUMBER('TPS data'!W33),('TPS data'!W33/'Des TPS AFR'!W33)-1,"")</f>
        <v/>
      </c>
      <c r="X33" s="21" t="str">
        <f>IF(ISNUMBER('TPS data'!X33),('TPS data'!X33/'Des TPS AFR'!X33)-1,"")</f>
        <v/>
      </c>
    </row>
    <row r="34" spans="1:24" x14ac:dyDescent="0.25">
      <c r="A34" s="15">
        <v>9200</v>
      </c>
      <c r="B34" s="21" t="str">
        <f>IF(ISNUMBER('TPS data'!B34),('TPS data'!B34/'Des TPS AFR'!B34)-1,"")</f>
        <v/>
      </c>
      <c r="C34" s="21" t="str">
        <f>IF(ISNUMBER('TPS data'!C34),('TPS data'!C34/'Des TPS AFR'!C34)-1,"")</f>
        <v/>
      </c>
      <c r="D34" s="21" t="str">
        <f>IF(ISNUMBER('TPS data'!D34),('TPS data'!D34/'Des TPS AFR'!D34)-1,"")</f>
        <v/>
      </c>
      <c r="E34" s="21" t="str">
        <f>IF(ISNUMBER('TPS data'!E34),('TPS data'!E34/'Des TPS AFR'!E34)-1,"")</f>
        <v/>
      </c>
      <c r="F34" s="21" t="str">
        <f>IF(ISNUMBER('TPS data'!F34),('TPS data'!F34/'Des TPS AFR'!F34)-1,"")</f>
        <v/>
      </c>
      <c r="G34" s="21" t="str">
        <f>IF(ISNUMBER('TPS data'!G34),('TPS data'!G34/'Des TPS AFR'!G34)-1,"")</f>
        <v/>
      </c>
      <c r="H34" s="21" t="str">
        <f>IF(ISNUMBER('TPS data'!H34),('TPS data'!H34/'Des TPS AFR'!H34)-1,"")</f>
        <v/>
      </c>
      <c r="I34" s="21" t="str">
        <f>IF(ISNUMBER('TPS data'!I34),('TPS data'!I34/'Des TPS AFR'!I34)-1,"")</f>
        <v/>
      </c>
      <c r="J34" s="21" t="str">
        <f>IF(ISNUMBER('TPS data'!J34),('TPS data'!J34/'Des TPS AFR'!J34)-1,"")</f>
        <v/>
      </c>
      <c r="K34" s="21" t="str">
        <f>IF(ISNUMBER('TPS data'!K34),('TPS data'!K34/'Des TPS AFR'!K34)-1,"")</f>
        <v/>
      </c>
      <c r="L34" s="21" t="str">
        <f>IF(ISNUMBER('TPS data'!L34),('TPS data'!L34/'Des TPS AFR'!L34)-1,"")</f>
        <v/>
      </c>
      <c r="M34" s="21" t="str">
        <f>IF(ISNUMBER('TPS data'!M34),('TPS data'!M34/'Des TPS AFR'!M34)-1,"")</f>
        <v/>
      </c>
      <c r="N34" s="21" t="str">
        <f>IF(ISNUMBER('TPS data'!N34),('TPS data'!N34/'Des TPS AFR'!N34)-1,"")</f>
        <v/>
      </c>
      <c r="O34" s="21" t="str">
        <f>IF(ISNUMBER('TPS data'!O34),('TPS data'!O34/'Des TPS AFR'!O34)-1,"")</f>
        <v/>
      </c>
      <c r="P34" s="21" t="str">
        <f>IF(ISNUMBER('TPS data'!P34),('TPS data'!P34/'Des TPS AFR'!P34)-1,"")</f>
        <v/>
      </c>
      <c r="Q34" s="21" t="str">
        <f>IF(ISNUMBER('TPS data'!Q34),('TPS data'!Q34/'Des TPS AFR'!Q34)-1,"")</f>
        <v/>
      </c>
      <c r="R34" s="21" t="str">
        <f>IF(ISNUMBER('TPS data'!R34),('TPS data'!R34/'Des TPS AFR'!R34)-1,"")</f>
        <v/>
      </c>
      <c r="S34" s="21" t="str">
        <f>IF(ISNUMBER('TPS data'!S34),('TPS data'!S34/'Des TPS AFR'!S34)-1,"")</f>
        <v/>
      </c>
      <c r="T34" s="21" t="str">
        <f>IF(ISNUMBER('TPS data'!T34),('TPS data'!T34/'Des TPS AFR'!T34)-1,"")</f>
        <v/>
      </c>
      <c r="U34" s="21" t="str">
        <f>IF(ISNUMBER('TPS data'!U34),('TPS data'!U34/'Des TPS AFR'!U34)-1,"")</f>
        <v/>
      </c>
      <c r="V34" s="21" t="str">
        <f>IF(ISNUMBER('TPS data'!V34),('TPS data'!V34/'Des TPS AFR'!V34)-1,"")</f>
        <v/>
      </c>
      <c r="W34" s="21" t="str">
        <f>IF(ISNUMBER('TPS data'!W34),('TPS data'!W34/'Des TPS AFR'!W34)-1,"")</f>
        <v/>
      </c>
      <c r="X34" s="21" t="str">
        <f>IF(ISNUMBER('TPS data'!X34),('TPS data'!X34/'Des TPS AFR'!X34)-1,"")</f>
        <v/>
      </c>
    </row>
    <row r="35" spans="1:24" x14ac:dyDescent="0.25">
      <c r="A35" s="15">
        <v>9600</v>
      </c>
      <c r="B35" s="21" t="str">
        <f>IF(ISNUMBER('TPS data'!B35),('TPS data'!B35/'Des TPS AFR'!B35)-1,"")</f>
        <v/>
      </c>
      <c r="C35" s="21" t="str">
        <f>IF(ISNUMBER('TPS data'!C35),('TPS data'!C35/'Des TPS AFR'!C35)-1,"")</f>
        <v/>
      </c>
      <c r="D35" s="21" t="str">
        <f>IF(ISNUMBER('TPS data'!D35),('TPS data'!D35/'Des TPS AFR'!D35)-1,"")</f>
        <v/>
      </c>
      <c r="E35" s="21" t="str">
        <f>IF(ISNUMBER('TPS data'!E35),('TPS data'!E35/'Des TPS AFR'!E35)-1,"")</f>
        <v/>
      </c>
      <c r="F35" s="21" t="str">
        <f>IF(ISNUMBER('TPS data'!F35),('TPS data'!F35/'Des TPS AFR'!F35)-1,"")</f>
        <v/>
      </c>
      <c r="G35" s="21" t="str">
        <f>IF(ISNUMBER('TPS data'!G35),('TPS data'!G35/'Des TPS AFR'!G35)-1,"")</f>
        <v/>
      </c>
      <c r="H35" s="21" t="str">
        <f>IF(ISNUMBER('TPS data'!H35),('TPS data'!H35/'Des TPS AFR'!H35)-1,"")</f>
        <v/>
      </c>
      <c r="I35" s="21" t="str">
        <f>IF(ISNUMBER('TPS data'!I35),('TPS data'!I35/'Des TPS AFR'!I35)-1,"")</f>
        <v/>
      </c>
      <c r="J35" s="21" t="str">
        <f>IF(ISNUMBER('TPS data'!J35),('TPS data'!J35/'Des TPS AFR'!J35)-1,"")</f>
        <v/>
      </c>
      <c r="K35" s="21" t="str">
        <f>IF(ISNUMBER('TPS data'!K35),('TPS data'!K35/'Des TPS AFR'!K35)-1,"")</f>
        <v/>
      </c>
      <c r="L35" s="21" t="str">
        <f>IF(ISNUMBER('TPS data'!L35),('TPS data'!L35/'Des TPS AFR'!L35)-1,"")</f>
        <v/>
      </c>
      <c r="M35" s="21" t="str">
        <f>IF(ISNUMBER('TPS data'!M35),('TPS data'!M35/'Des TPS AFR'!M35)-1,"")</f>
        <v/>
      </c>
      <c r="N35" s="21" t="str">
        <f>IF(ISNUMBER('TPS data'!N35),('TPS data'!N35/'Des TPS AFR'!N35)-1,"")</f>
        <v/>
      </c>
      <c r="O35" s="21" t="str">
        <f>IF(ISNUMBER('TPS data'!O35),('TPS data'!O35/'Des TPS AFR'!O35)-1,"")</f>
        <v/>
      </c>
      <c r="P35" s="21" t="str">
        <f>IF(ISNUMBER('TPS data'!P35),('TPS data'!P35/'Des TPS AFR'!P35)-1,"")</f>
        <v/>
      </c>
      <c r="Q35" s="21" t="str">
        <f>IF(ISNUMBER('TPS data'!Q35),('TPS data'!Q35/'Des TPS AFR'!Q35)-1,"")</f>
        <v/>
      </c>
      <c r="R35" s="21" t="str">
        <f>IF(ISNUMBER('TPS data'!R35),('TPS data'!R35/'Des TPS AFR'!R35)-1,"")</f>
        <v/>
      </c>
      <c r="S35" s="21" t="str">
        <f>IF(ISNUMBER('TPS data'!S35),('TPS data'!S35/'Des TPS AFR'!S35)-1,"")</f>
        <v/>
      </c>
      <c r="T35" s="21" t="str">
        <f>IF(ISNUMBER('TPS data'!T35),('TPS data'!T35/'Des TPS AFR'!T35)-1,"")</f>
        <v/>
      </c>
      <c r="U35" s="21" t="str">
        <f>IF(ISNUMBER('TPS data'!U35),('TPS data'!U35/'Des TPS AFR'!U35)-1,"")</f>
        <v/>
      </c>
      <c r="V35" s="21" t="str">
        <f>IF(ISNUMBER('TPS data'!V35),('TPS data'!V35/'Des TPS AFR'!V35)-1,"")</f>
        <v/>
      </c>
      <c r="W35" s="21" t="str">
        <f>IF(ISNUMBER('TPS data'!W35),('TPS data'!W35/'Des TPS AFR'!W35)-1,"")</f>
        <v/>
      </c>
      <c r="X35" s="21" t="str">
        <f>IF(ISNUMBER('TPS data'!X35),('TPS data'!X35/'Des TPS AFR'!X35)-1,"")</f>
        <v/>
      </c>
    </row>
    <row r="36" spans="1:24" x14ac:dyDescent="0.25">
      <c r="A36" s="15">
        <v>10000</v>
      </c>
      <c r="B36" s="21" t="str">
        <f>IF(ISNUMBER('TPS data'!B36),('TPS data'!B36/'Des TPS AFR'!B36)-1,"")</f>
        <v/>
      </c>
      <c r="C36" s="21" t="str">
        <f>IF(ISNUMBER('TPS data'!C36),('TPS data'!C36/'Des TPS AFR'!C36)-1,"")</f>
        <v/>
      </c>
      <c r="D36" s="21" t="str">
        <f>IF(ISNUMBER('TPS data'!D36),('TPS data'!D36/'Des TPS AFR'!D36)-1,"")</f>
        <v/>
      </c>
      <c r="E36" s="21" t="str">
        <f>IF(ISNUMBER('TPS data'!E36),('TPS data'!E36/'Des TPS AFR'!E36)-1,"")</f>
        <v/>
      </c>
      <c r="F36" s="21" t="str">
        <f>IF(ISNUMBER('TPS data'!F36),('TPS data'!F36/'Des TPS AFR'!F36)-1,"")</f>
        <v/>
      </c>
      <c r="G36" s="21" t="str">
        <f>IF(ISNUMBER('TPS data'!G36),('TPS data'!G36/'Des TPS AFR'!G36)-1,"")</f>
        <v/>
      </c>
      <c r="H36" s="21" t="str">
        <f>IF(ISNUMBER('TPS data'!H36),('TPS data'!H36/'Des TPS AFR'!H36)-1,"")</f>
        <v/>
      </c>
      <c r="I36" s="21" t="str">
        <f>IF(ISNUMBER('TPS data'!I36),('TPS data'!I36/'Des TPS AFR'!I36)-1,"")</f>
        <v/>
      </c>
      <c r="J36" s="21" t="str">
        <f>IF(ISNUMBER('TPS data'!J36),('TPS data'!J36/'Des TPS AFR'!J36)-1,"")</f>
        <v/>
      </c>
      <c r="K36" s="21" t="str">
        <f>IF(ISNUMBER('TPS data'!K36),('TPS data'!K36/'Des TPS AFR'!K36)-1,"")</f>
        <v/>
      </c>
      <c r="L36" s="21" t="str">
        <f>IF(ISNUMBER('TPS data'!L36),('TPS data'!L36/'Des TPS AFR'!L36)-1,"")</f>
        <v/>
      </c>
      <c r="M36" s="21" t="str">
        <f>IF(ISNUMBER('TPS data'!M36),('TPS data'!M36/'Des TPS AFR'!M36)-1,"")</f>
        <v/>
      </c>
      <c r="N36" s="21" t="str">
        <f>IF(ISNUMBER('TPS data'!N36),('TPS data'!N36/'Des TPS AFR'!N36)-1,"")</f>
        <v/>
      </c>
      <c r="O36" s="21" t="str">
        <f>IF(ISNUMBER('TPS data'!O36),('TPS data'!O36/'Des TPS AFR'!O36)-1,"")</f>
        <v/>
      </c>
      <c r="P36" s="21" t="str">
        <f>IF(ISNUMBER('TPS data'!P36),('TPS data'!P36/'Des TPS AFR'!P36)-1,"")</f>
        <v/>
      </c>
      <c r="Q36" s="21" t="str">
        <f>IF(ISNUMBER('TPS data'!Q36),('TPS data'!Q36/'Des TPS AFR'!Q36)-1,"")</f>
        <v/>
      </c>
      <c r="R36" s="21" t="str">
        <f>IF(ISNUMBER('TPS data'!R36),('TPS data'!R36/'Des TPS AFR'!R36)-1,"")</f>
        <v/>
      </c>
      <c r="S36" s="21" t="str">
        <f>IF(ISNUMBER('TPS data'!S36),('TPS data'!S36/'Des TPS AFR'!S36)-1,"")</f>
        <v/>
      </c>
      <c r="T36" s="21" t="str">
        <f>IF(ISNUMBER('TPS data'!T36),('TPS data'!T36/'Des TPS AFR'!T36)-1,"")</f>
        <v/>
      </c>
      <c r="U36" s="21" t="str">
        <f>IF(ISNUMBER('TPS data'!U36),('TPS data'!U36/'Des TPS AFR'!U36)-1,"")</f>
        <v/>
      </c>
      <c r="V36" s="21" t="str">
        <f>IF(ISNUMBER('TPS data'!V36),('TPS data'!V36/'Des TPS AFR'!V36)-1,"")</f>
        <v/>
      </c>
      <c r="W36" s="21" t="str">
        <f>IF(ISNUMBER('TPS data'!W36),('TPS data'!W36/'Des TPS AFR'!W36)-1,"")</f>
        <v/>
      </c>
      <c r="X36" s="21" t="str">
        <f>IF(ISNUMBER('TPS data'!X36),('TPS data'!X36/'Des TPS AFR'!X36)-1,"")</f>
        <v/>
      </c>
    </row>
    <row r="37" spans="1:24" x14ac:dyDescent="0.25">
      <c r="A37" s="15">
        <v>10400</v>
      </c>
      <c r="B37" s="21" t="str">
        <f>IF(ISNUMBER('TPS data'!B37),('TPS data'!B37/'Des TPS AFR'!B37)-1,"")</f>
        <v/>
      </c>
      <c r="C37" s="21" t="str">
        <f>IF(ISNUMBER('TPS data'!C37),('TPS data'!C37/'Des TPS AFR'!C37)-1,"")</f>
        <v/>
      </c>
      <c r="D37" s="21" t="str">
        <f>IF(ISNUMBER('TPS data'!D37),('TPS data'!D37/'Des TPS AFR'!D37)-1,"")</f>
        <v/>
      </c>
      <c r="E37" s="21" t="str">
        <f>IF(ISNUMBER('TPS data'!E37),('TPS data'!E37/'Des TPS AFR'!E37)-1,"")</f>
        <v/>
      </c>
      <c r="F37" s="21" t="str">
        <f>IF(ISNUMBER('TPS data'!F37),('TPS data'!F37/'Des TPS AFR'!F37)-1,"")</f>
        <v/>
      </c>
      <c r="G37" s="21" t="str">
        <f>IF(ISNUMBER('TPS data'!G37),('TPS data'!G37/'Des TPS AFR'!G37)-1,"")</f>
        <v/>
      </c>
      <c r="H37" s="21" t="str">
        <f>IF(ISNUMBER('TPS data'!H37),('TPS data'!H37/'Des TPS AFR'!H37)-1,"")</f>
        <v/>
      </c>
      <c r="I37" s="21" t="str">
        <f>IF(ISNUMBER('TPS data'!I37),('TPS data'!I37/'Des TPS AFR'!I37)-1,"")</f>
        <v/>
      </c>
      <c r="J37" s="21" t="str">
        <f>IF(ISNUMBER('TPS data'!J37),('TPS data'!J37/'Des TPS AFR'!J37)-1,"")</f>
        <v/>
      </c>
      <c r="K37" s="21" t="str">
        <f>IF(ISNUMBER('TPS data'!K37),('TPS data'!K37/'Des TPS AFR'!K37)-1,"")</f>
        <v/>
      </c>
      <c r="L37" s="21" t="str">
        <f>IF(ISNUMBER('TPS data'!L37),('TPS data'!L37/'Des TPS AFR'!L37)-1,"")</f>
        <v/>
      </c>
      <c r="M37" s="21" t="str">
        <f>IF(ISNUMBER('TPS data'!M37),('TPS data'!M37/'Des TPS AFR'!M37)-1,"")</f>
        <v/>
      </c>
      <c r="N37" s="21" t="str">
        <f>IF(ISNUMBER('TPS data'!N37),('TPS data'!N37/'Des TPS AFR'!N37)-1,"")</f>
        <v/>
      </c>
      <c r="O37" s="21" t="str">
        <f>IF(ISNUMBER('TPS data'!O37),('TPS data'!O37/'Des TPS AFR'!O37)-1,"")</f>
        <v/>
      </c>
      <c r="P37" s="21" t="str">
        <f>IF(ISNUMBER('TPS data'!P37),('TPS data'!P37/'Des TPS AFR'!P37)-1,"")</f>
        <v/>
      </c>
      <c r="Q37" s="21" t="str">
        <f>IF(ISNUMBER('TPS data'!Q37),('TPS data'!Q37/'Des TPS AFR'!Q37)-1,"")</f>
        <v/>
      </c>
      <c r="R37" s="21" t="str">
        <f>IF(ISNUMBER('TPS data'!R37),('TPS data'!R37/'Des TPS AFR'!R37)-1,"")</f>
        <v/>
      </c>
      <c r="S37" s="21" t="str">
        <f>IF(ISNUMBER('TPS data'!S37),('TPS data'!S37/'Des TPS AFR'!S37)-1,"")</f>
        <v/>
      </c>
      <c r="T37" s="21" t="str">
        <f>IF(ISNUMBER('TPS data'!T37),('TPS data'!T37/'Des TPS AFR'!T37)-1,"")</f>
        <v/>
      </c>
      <c r="U37" s="21" t="str">
        <f>IF(ISNUMBER('TPS data'!U37),('TPS data'!U37/'Des TPS AFR'!U37)-1,"")</f>
        <v/>
      </c>
      <c r="V37" s="21" t="str">
        <f>IF(ISNUMBER('TPS data'!V37),('TPS data'!V37/'Des TPS AFR'!V37)-1,"")</f>
        <v/>
      </c>
      <c r="W37" s="21" t="str">
        <f>IF(ISNUMBER('TPS data'!W37),('TPS data'!W37/'Des TPS AFR'!W37)-1,"")</f>
        <v/>
      </c>
      <c r="X37" s="21" t="str">
        <f>IF(ISNUMBER('TPS data'!X37),('TPS data'!X37/'Des TPS AFR'!X37)-1,"")</f>
        <v/>
      </c>
    </row>
    <row r="38" spans="1:24" x14ac:dyDescent="0.25">
      <c r="A38" s="15">
        <v>10800</v>
      </c>
      <c r="B38" s="21" t="str">
        <f>IF(ISNUMBER('TPS data'!B38),('TPS data'!B38/'Des TPS AFR'!B38)-1,"")</f>
        <v/>
      </c>
      <c r="C38" s="21" t="str">
        <f>IF(ISNUMBER('TPS data'!C38),('TPS data'!C38/'Des TPS AFR'!C38)-1,"")</f>
        <v/>
      </c>
      <c r="D38" s="21" t="str">
        <f>IF(ISNUMBER('TPS data'!D38),('TPS data'!D38/'Des TPS AFR'!D38)-1,"")</f>
        <v/>
      </c>
      <c r="E38" s="21" t="str">
        <f>IF(ISNUMBER('TPS data'!E38),('TPS data'!E38/'Des TPS AFR'!E38)-1,"")</f>
        <v/>
      </c>
      <c r="F38" s="21" t="str">
        <f>IF(ISNUMBER('TPS data'!F38),('TPS data'!F38/'Des TPS AFR'!F38)-1,"")</f>
        <v/>
      </c>
      <c r="G38" s="21" t="str">
        <f>IF(ISNUMBER('TPS data'!G38),('TPS data'!G38/'Des TPS AFR'!G38)-1,"")</f>
        <v/>
      </c>
      <c r="H38" s="21" t="str">
        <f>IF(ISNUMBER('TPS data'!H38),('TPS data'!H38/'Des TPS AFR'!H38)-1,"")</f>
        <v/>
      </c>
      <c r="I38" s="21" t="str">
        <f>IF(ISNUMBER('TPS data'!I38),('TPS data'!I38/'Des TPS AFR'!I38)-1,"")</f>
        <v/>
      </c>
      <c r="J38" s="21" t="str">
        <f>IF(ISNUMBER('TPS data'!J38),('TPS data'!J38/'Des TPS AFR'!J38)-1,"")</f>
        <v/>
      </c>
      <c r="K38" s="21" t="str">
        <f>IF(ISNUMBER('TPS data'!K38),('TPS data'!K38/'Des TPS AFR'!K38)-1,"")</f>
        <v/>
      </c>
      <c r="L38" s="21" t="str">
        <f>IF(ISNUMBER('TPS data'!L38),('TPS data'!L38/'Des TPS AFR'!L38)-1,"")</f>
        <v/>
      </c>
      <c r="M38" s="21" t="str">
        <f>IF(ISNUMBER('TPS data'!M38),('TPS data'!M38/'Des TPS AFR'!M38)-1,"")</f>
        <v/>
      </c>
      <c r="N38" s="21" t="str">
        <f>IF(ISNUMBER('TPS data'!N38),('TPS data'!N38/'Des TPS AFR'!N38)-1,"")</f>
        <v/>
      </c>
      <c r="O38" s="21" t="str">
        <f>IF(ISNUMBER('TPS data'!O38),('TPS data'!O38/'Des TPS AFR'!O38)-1,"")</f>
        <v/>
      </c>
      <c r="P38" s="21" t="str">
        <f>IF(ISNUMBER('TPS data'!P38),('TPS data'!P38/'Des TPS AFR'!P38)-1,"")</f>
        <v/>
      </c>
      <c r="Q38" s="21" t="str">
        <f>IF(ISNUMBER('TPS data'!Q38),('TPS data'!Q38/'Des TPS AFR'!Q38)-1,"")</f>
        <v/>
      </c>
      <c r="R38" s="21" t="str">
        <f>IF(ISNUMBER('TPS data'!R38),('TPS data'!R38/'Des TPS AFR'!R38)-1,"")</f>
        <v/>
      </c>
      <c r="S38" s="21" t="str">
        <f>IF(ISNUMBER('TPS data'!S38),('TPS data'!S38/'Des TPS AFR'!S38)-1,"")</f>
        <v/>
      </c>
      <c r="T38" s="21" t="str">
        <f>IF(ISNUMBER('TPS data'!T38),('TPS data'!T38/'Des TPS AFR'!T38)-1,"")</f>
        <v/>
      </c>
      <c r="U38" s="21" t="str">
        <f>IF(ISNUMBER('TPS data'!U38),('TPS data'!U38/'Des TPS AFR'!U38)-1,"")</f>
        <v/>
      </c>
      <c r="V38" s="21" t="str">
        <f>IF(ISNUMBER('TPS data'!V38),('TPS data'!V38/'Des TPS AFR'!V38)-1,"")</f>
        <v/>
      </c>
      <c r="W38" s="21" t="str">
        <f>IF(ISNUMBER('TPS data'!W38),('TPS data'!W38/'Des TPS AFR'!W38)-1,"")</f>
        <v/>
      </c>
      <c r="X38" s="21" t="str">
        <f>IF(ISNUMBER('TPS data'!X38),('TPS data'!X38/'Des TPS AFR'!X38)-1,"")</f>
        <v/>
      </c>
    </row>
    <row r="39" spans="1:24" x14ac:dyDescent="0.25">
      <c r="A39" s="15">
        <v>11200</v>
      </c>
      <c r="B39" s="21" t="str">
        <f>IF(ISNUMBER('TPS data'!B39),('TPS data'!B39/'Des TPS AFR'!B39)-1,"")</f>
        <v/>
      </c>
      <c r="C39" s="21" t="str">
        <f>IF(ISNUMBER('TPS data'!C39),('TPS data'!C39/'Des TPS AFR'!C39)-1,"")</f>
        <v/>
      </c>
      <c r="D39" s="21" t="str">
        <f>IF(ISNUMBER('TPS data'!D39),('TPS data'!D39/'Des TPS AFR'!D39)-1,"")</f>
        <v/>
      </c>
      <c r="E39" s="21" t="str">
        <f>IF(ISNUMBER('TPS data'!E39),('TPS data'!E39/'Des TPS AFR'!E39)-1,"")</f>
        <v/>
      </c>
      <c r="F39" s="21" t="str">
        <f>IF(ISNUMBER('TPS data'!F39),('TPS data'!F39/'Des TPS AFR'!F39)-1,"")</f>
        <v/>
      </c>
      <c r="G39" s="21" t="str">
        <f>IF(ISNUMBER('TPS data'!G39),('TPS data'!G39/'Des TPS AFR'!G39)-1,"")</f>
        <v/>
      </c>
      <c r="H39" s="21" t="str">
        <f>IF(ISNUMBER('TPS data'!H39),('TPS data'!H39/'Des TPS AFR'!H39)-1,"")</f>
        <v/>
      </c>
      <c r="I39" s="21" t="str">
        <f>IF(ISNUMBER('TPS data'!I39),('TPS data'!I39/'Des TPS AFR'!I39)-1,"")</f>
        <v/>
      </c>
      <c r="J39" s="21" t="str">
        <f>IF(ISNUMBER('TPS data'!J39),('TPS data'!J39/'Des TPS AFR'!J39)-1,"")</f>
        <v/>
      </c>
      <c r="K39" s="21" t="str">
        <f>IF(ISNUMBER('TPS data'!K39),('TPS data'!K39/'Des TPS AFR'!K39)-1,"")</f>
        <v/>
      </c>
      <c r="L39" s="21" t="str">
        <f>IF(ISNUMBER('TPS data'!L39),('TPS data'!L39/'Des TPS AFR'!L39)-1,"")</f>
        <v/>
      </c>
      <c r="M39" s="21" t="str">
        <f>IF(ISNUMBER('TPS data'!M39),('TPS data'!M39/'Des TPS AFR'!M39)-1,"")</f>
        <v/>
      </c>
      <c r="N39" s="21" t="str">
        <f>IF(ISNUMBER('TPS data'!N39),('TPS data'!N39/'Des TPS AFR'!N39)-1,"")</f>
        <v/>
      </c>
      <c r="O39" s="21" t="str">
        <f>IF(ISNUMBER('TPS data'!O39),('TPS data'!O39/'Des TPS AFR'!O39)-1,"")</f>
        <v/>
      </c>
      <c r="P39" s="21" t="str">
        <f>IF(ISNUMBER('TPS data'!P39),('TPS data'!P39/'Des TPS AFR'!P39)-1,"")</f>
        <v/>
      </c>
      <c r="Q39" s="21" t="str">
        <f>IF(ISNUMBER('TPS data'!Q39),('TPS data'!Q39/'Des TPS AFR'!Q39)-1,"")</f>
        <v/>
      </c>
      <c r="R39" s="21" t="str">
        <f>IF(ISNUMBER('TPS data'!R39),('TPS data'!R39/'Des TPS AFR'!R39)-1,"")</f>
        <v/>
      </c>
      <c r="S39" s="21" t="str">
        <f>IF(ISNUMBER('TPS data'!S39),('TPS data'!S39/'Des TPS AFR'!S39)-1,"")</f>
        <v/>
      </c>
      <c r="T39" s="21" t="str">
        <f>IF(ISNUMBER('TPS data'!T39),('TPS data'!T39/'Des TPS AFR'!T39)-1,"")</f>
        <v/>
      </c>
      <c r="U39" s="21" t="str">
        <f>IF(ISNUMBER('TPS data'!U39),('TPS data'!U39/'Des TPS AFR'!U39)-1,"")</f>
        <v/>
      </c>
      <c r="V39" s="21" t="str">
        <f>IF(ISNUMBER('TPS data'!V39),('TPS data'!V39/'Des TPS AFR'!V39)-1,"")</f>
        <v/>
      </c>
      <c r="W39" s="21" t="str">
        <f>IF(ISNUMBER('TPS data'!W39),('TPS data'!W39/'Des TPS AFR'!W39)-1,"")</f>
        <v/>
      </c>
      <c r="X39" s="21" t="str">
        <f>IF(ISNUMBER('TPS data'!X39),('TPS data'!X39/'Des TPS AFR'!X39)-1,"")</f>
        <v/>
      </c>
    </row>
    <row r="40" spans="1:24" x14ac:dyDescent="0.25">
      <c r="A40" s="15">
        <v>11600</v>
      </c>
      <c r="B40" s="21" t="str">
        <f>IF(ISNUMBER('TPS data'!B40),('TPS data'!B40/'Des TPS AFR'!B40)-1,"")</f>
        <v/>
      </c>
      <c r="C40" s="21" t="str">
        <f>IF(ISNUMBER('TPS data'!C40),('TPS data'!C40/'Des TPS AFR'!C40)-1,"")</f>
        <v/>
      </c>
      <c r="D40" s="21" t="str">
        <f>IF(ISNUMBER('TPS data'!D40),('TPS data'!D40/'Des TPS AFR'!D40)-1,"")</f>
        <v/>
      </c>
      <c r="E40" s="21" t="str">
        <f>IF(ISNUMBER('TPS data'!E40),('TPS data'!E40/'Des TPS AFR'!E40)-1,"")</f>
        <v/>
      </c>
      <c r="F40" s="21" t="str">
        <f>IF(ISNUMBER('TPS data'!F40),('TPS data'!F40/'Des TPS AFR'!F40)-1,"")</f>
        <v/>
      </c>
      <c r="G40" s="21" t="str">
        <f>IF(ISNUMBER('TPS data'!G40),('TPS data'!G40/'Des TPS AFR'!G40)-1,"")</f>
        <v/>
      </c>
      <c r="H40" s="21" t="str">
        <f>IF(ISNUMBER('TPS data'!H40),('TPS data'!H40/'Des TPS AFR'!H40)-1,"")</f>
        <v/>
      </c>
      <c r="I40" s="21" t="str">
        <f>IF(ISNUMBER('TPS data'!I40),('TPS data'!I40/'Des TPS AFR'!I40)-1,"")</f>
        <v/>
      </c>
      <c r="J40" s="21" t="str">
        <f>IF(ISNUMBER('TPS data'!J40),('TPS data'!J40/'Des TPS AFR'!J40)-1,"")</f>
        <v/>
      </c>
      <c r="K40" s="21" t="str">
        <f>IF(ISNUMBER('TPS data'!K40),('TPS data'!K40/'Des TPS AFR'!K40)-1,"")</f>
        <v/>
      </c>
      <c r="L40" s="21" t="str">
        <f>IF(ISNUMBER('TPS data'!L40),('TPS data'!L40/'Des TPS AFR'!L40)-1,"")</f>
        <v/>
      </c>
      <c r="M40" s="21" t="str">
        <f>IF(ISNUMBER('TPS data'!M40),('TPS data'!M40/'Des TPS AFR'!M40)-1,"")</f>
        <v/>
      </c>
      <c r="N40" s="21" t="str">
        <f>IF(ISNUMBER('TPS data'!N40),('TPS data'!N40/'Des TPS AFR'!N40)-1,"")</f>
        <v/>
      </c>
      <c r="O40" s="21" t="str">
        <f>IF(ISNUMBER('TPS data'!O40),('TPS data'!O40/'Des TPS AFR'!O40)-1,"")</f>
        <v/>
      </c>
      <c r="P40" s="21" t="str">
        <f>IF(ISNUMBER('TPS data'!P40),('TPS data'!P40/'Des TPS AFR'!P40)-1,"")</f>
        <v/>
      </c>
      <c r="Q40" s="21" t="str">
        <f>IF(ISNUMBER('TPS data'!Q40),('TPS data'!Q40/'Des TPS AFR'!Q40)-1,"")</f>
        <v/>
      </c>
      <c r="R40" s="21" t="str">
        <f>IF(ISNUMBER('TPS data'!R40),('TPS data'!R40/'Des TPS AFR'!R40)-1,"")</f>
        <v/>
      </c>
      <c r="S40" s="21" t="str">
        <f>IF(ISNUMBER('TPS data'!S40),('TPS data'!S40/'Des TPS AFR'!S40)-1,"")</f>
        <v/>
      </c>
      <c r="T40" s="21" t="str">
        <f>IF(ISNUMBER('TPS data'!T40),('TPS data'!T40/'Des TPS AFR'!T40)-1,"")</f>
        <v/>
      </c>
      <c r="U40" s="21" t="str">
        <f>IF(ISNUMBER('TPS data'!U40),('TPS data'!U40/'Des TPS AFR'!U40)-1,"")</f>
        <v/>
      </c>
      <c r="V40" s="21" t="str">
        <f>IF(ISNUMBER('TPS data'!V40),('TPS data'!V40/'Des TPS AFR'!V40)-1,"")</f>
        <v/>
      </c>
      <c r="W40" s="21" t="str">
        <f>IF(ISNUMBER('TPS data'!W40),('TPS data'!W40/'Des TPS AFR'!W40)-1,"")</f>
        <v/>
      </c>
      <c r="X40" s="21" t="str">
        <f>IF(ISNUMBER('TPS data'!X40),('TPS data'!X40/'Des TPS AFR'!X40)-1,"")</f>
        <v/>
      </c>
    </row>
    <row r="41" spans="1:24" x14ac:dyDescent="0.25">
      <c r="A41" s="15">
        <v>12000</v>
      </c>
      <c r="B41" s="21" t="str">
        <f>IF(ISNUMBER('TPS data'!B41),('TPS data'!B41/'Des TPS AFR'!B41)-1,"")</f>
        <v/>
      </c>
      <c r="C41" s="21" t="str">
        <f>IF(ISNUMBER('TPS data'!C41),('TPS data'!C41/'Des TPS AFR'!C41)-1,"")</f>
        <v/>
      </c>
      <c r="D41" s="21" t="str">
        <f>IF(ISNUMBER('TPS data'!D41),('TPS data'!D41/'Des TPS AFR'!D41)-1,"")</f>
        <v/>
      </c>
      <c r="E41" s="21" t="str">
        <f>IF(ISNUMBER('TPS data'!E41),('TPS data'!E41/'Des TPS AFR'!E41)-1,"")</f>
        <v/>
      </c>
      <c r="F41" s="21" t="str">
        <f>IF(ISNUMBER('TPS data'!F41),('TPS data'!F41/'Des TPS AFR'!F41)-1,"")</f>
        <v/>
      </c>
      <c r="G41" s="21" t="str">
        <f>IF(ISNUMBER('TPS data'!G41),('TPS data'!G41/'Des TPS AFR'!G41)-1,"")</f>
        <v/>
      </c>
      <c r="H41" s="21" t="str">
        <f>IF(ISNUMBER('TPS data'!H41),('TPS data'!H41/'Des TPS AFR'!H41)-1,"")</f>
        <v/>
      </c>
      <c r="I41" s="21" t="str">
        <f>IF(ISNUMBER('TPS data'!I41),('TPS data'!I41/'Des TPS AFR'!I41)-1,"")</f>
        <v/>
      </c>
      <c r="J41" s="21" t="str">
        <f>IF(ISNUMBER('TPS data'!J41),('TPS data'!J41/'Des TPS AFR'!J41)-1,"")</f>
        <v/>
      </c>
      <c r="K41" s="21" t="str">
        <f>IF(ISNUMBER('TPS data'!K41),('TPS data'!K41/'Des TPS AFR'!K41)-1,"")</f>
        <v/>
      </c>
      <c r="L41" s="21" t="str">
        <f>IF(ISNUMBER('TPS data'!L41),('TPS data'!L41/'Des TPS AFR'!L41)-1,"")</f>
        <v/>
      </c>
      <c r="M41" s="21" t="str">
        <f>IF(ISNUMBER('TPS data'!M41),('TPS data'!M41/'Des TPS AFR'!M41)-1,"")</f>
        <v/>
      </c>
      <c r="N41" s="21" t="str">
        <f>IF(ISNUMBER('TPS data'!N41),('TPS data'!N41/'Des TPS AFR'!N41)-1,"")</f>
        <v/>
      </c>
      <c r="O41" s="21" t="str">
        <f>IF(ISNUMBER('TPS data'!O41),('TPS data'!O41/'Des TPS AFR'!O41)-1,"")</f>
        <v/>
      </c>
      <c r="P41" s="21" t="str">
        <f>IF(ISNUMBER('TPS data'!P41),('TPS data'!P41/'Des TPS AFR'!P41)-1,"")</f>
        <v/>
      </c>
      <c r="Q41" s="21" t="str">
        <f>IF(ISNUMBER('TPS data'!Q41),('TPS data'!Q41/'Des TPS AFR'!Q41)-1,"")</f>
        <v/>
      </c>
      <c r="R41" s="21" t="str">
        <f>IF(ISNUMBER('TPS data'!R41),('TPS data'!R41/'Des TPS AFR'!R41)-1,"")</f>
        <v/>
      </c>
      <c r="S41" s="21" t="str">
        <f>IF(ISNUMBER('TPS data'!S41),('TPS data'!S41/'Des TPS AFR'!S41)-1,"")</f>
        <v/>
      </c>
      <c r="T41" s="21" t="str">
        <f>IF(ISNUMBER('TPS data'!T41),('TPS data'!T41/'Des TPS AFR'!T41)-1,"")</f>
        <v/>
      </c>
      <c r="U41" s="21" t="str">
        <f>IF(ISNUMBER('TPS data'!U41),('TPS data'!U41/'Des TPS AFR'!U41)-1,"")</f>
        <v/>
      </c>
      <c r="V41" s="21" t="str">
        <f>IF(ISNUMBER('TPS data'!V41),('TPS data'!V41/'Des TPS AFR'!V41)-1,"")</f>
        <v/>
      </c>
      <c r="W41" s="21" t="str">
        <f>IF(ISNUMBER('TPS data'!W41),('TPS data'!W41/'Des TPS AFR'!W41)-1,"")</f>
        <v/>
      </c>
      <c r="X41" s="21" t="str">
        <f>IF(ISNUMBER('TPS data'!X41),('TPS data'!X41/'Des TPS AFR'!X41)-1,"")</f>
        <v/>
      </c>
    </row>
    <row r="42" spans="1:24" x14ac:dyDescent="0.25">
      <c r="A42" s="15">
        <v>12400</v>
      </c>
      <c r="B42" s="21" t="str">
        <f>IF(ISNUMBER('TPS data'!B42),('TPS data'!B42/'Des TPS AFR'!B42)-1,"")</f>
        <v/>
      </c>
      <c r="C42" s="21" t="str">
        <f>IF(ISNUMBER('TPS data'!C42),('TPS data'!C42/'Des TPS AFR'!C42)-1,"")</f>
        <v/>
      </c>
      <c r="D42" s="21" t="str">
        <f>IF(ISNUMBER('TPS data'!D42),('TPS data'!D42/'Des TPS AFR'!D42)-1,"")</f>
        <v/>
      </c>
      <c r="E42" s="21" t="str">
        <f>IF(ISNUMBER('TPS data'!E42),('TPS data'!E42/'Des TPS AFR'!E42)-1,"")</f>
        <v/>
      </c>
      <c r="F42" s="21" t="str">
        <f>IF(ISNUMBER('TPS data'!F42),('TPS data'!F42/'Des TPS AFR'!F42)-1,"")</f>
        <v/>
      </c>
      <c r="G42" s="21" t="str">
        <f>IF(ISNUMBER('TPS data'!G42),('TPS data'!G42/'Des TPS AFR'!G42)-1,"")</f>
        <v/>
      </c>
      <c r="H42" s="21" t="str">
        <f>IF(ISNUMBER('TPS data'!H42),('TPS data'!H42/'Des TPS AFR'!H42)-1,"")</f>
        <v/>
      </c>
      <c r="I42" s="21" t="str">
        <f>IF(ISNUMBER('TPS data'!I42),('TPS data'!I42/'Des TPS AFR'!I42)-1,"")</f>
        <v/>
      </c>
      <c r="J42" s="21" t="str">
        <f>IF(ISNUMBER('TPS data'!J42),('TPS data'!J42/'Des TPS AFR'!J42)-1,"")</f>
        <v/>
      </c>
      <c r="K42" s="21" t="str">
        <f>IF(ISNUMBER('TPS data'!K42),('TPS data'!K42/'Des TPS AFR'!K42)-1,"")</f>
        <v/>
      </c>
      <c r="L42" s="21" t="str">
        <f>IF(ISNUMBER('TPS data'!L42),('TPS data'!L42/'Des TPS AFR'!L42)-1,"")</f>
        <v/>
      </c>
      <c r="M42" s="21" t="str">
        <f>IF(ISNUMBER('TPS data'!M42),('TPS data'!M42/'Des TPS AFR'!M42)-1,"")</f>
        <v/>
      </c>
      <c r="N42" s="21" t="str">
        <f>IF(ISNUMBER('TPS data'!N42),('TPS data'!N42/'Des TPS AFR'!N42)-1,"")</f>
        <v/>
      </c>
      <c r="O42" s="21" t="str">
        <f>IF(ISNUMBER('TPS data'!O42),('TPS data'!O42/'Des TPS AFR'!O42)-1,"")</f>
        <v/>
      </c>
      <c r="P42" s="21" t="str">
        <f>IF(ISNUMBER('TPS data'!P42),('TPS data'!P42/'Des TPS AFR'!P42)-1,"")</f>
        <v/>
      </c>
      <c r="Q42" s="21" t="str">
        <f>IF(ISNUMBER('TPS data'!Q42),('TPS data'!Q42/'Des TPS AFR'!Q42)-1,"")</f>
        <v/>
      </c>
      <c r="R42" s="21" t="str">
        <f>IF(ISNUMBER('TPS data'!R42),('TPS data'!R42/'Des TPS AFR'!R42)-1,"")</f>
        <v/>
      </c>
      <c r="S42" s="21" t="str">
        <f>IF(ISNUMBER('TPS data'!S42),('TPS data'!S42/'Des TPS AFR'!S42)-1,"")</f>
        <v/>
      </c>
      <c r="T42" s="21" t="str">
        <f>IF(ISNUMBER('TPS data'!T42),('TPS data'!T42/'Des TPS AFR'!T42)-1,"")</f>
        <v/>
      </c>
      <c r="U42" s="21" t="str">
        <f>IF(ISNUMBER('TPS data'!U42),('TPS data'!U42/'Des TPS AFR'!U42)-1,"")</f>
        <v/>
      </c>
      <c r="V42" s="21" t="str">
        <f>IF(ISNUMBER('TPS data'!V42),('TPS data'!V42/'Des TPS AFR'!V42)-1,"")</f>
        <v/>
      </c>
      <c r="W42" s="21" t="str">
        <f>IF(ISNUMBER('TPS data'!W42),('TPS data'!W42/'Des TPS AFR'!W42)-1,"")</f>
        <v/>
      </c>
      <c r="X42" s="21" t="str">
        <f>IF(ISNUMBER('TPS data'!X42),('TPS data'!X42/'Des TPS AFR'!X42)-1,"")</f>
        <v/>
      </c>
    </row>
    <row r="43" spans="1:24" ht="13.8" thickBot="1" x14ac:dyDescent="0.3">
      <c r="A43" s="16">
        <v>12800</v>
      </c>
      <c r="B43" s="21" t="str">
        <f>IF(ISNUMBER('TPS data'!B43),('TPS data'!B43/'Des TPS AFR'!B43)-1,"")</f>
        <v/>
      </c>
      <c r="C43" s="21" t="str">
        <f>IF(ISNUMBER('TPS data'!C43),('TPS data'!C43/'Des TPS AFR'!C43)-1,"")</f>
        <v/>
      </c>
      <c r="D43" s="21" t="str">
        <f>IF(ISNUMBER('TPS data'!D43),('TPS data'!D43/'Des TPS AFR'!D43)-1,"")</f>
        <v/>
      </c>
      <c r="E43" s="21" t="str">
        <f>IF(ISNUMBER('TPS data'!E43),('TPS data'!E43/'Des TPS AFR'!E43)-1,"")</f>
        <v/>
      </c>
      <c r="F43" s="21" t="str">
        <f>IF(ISNUMBER('TPS data'!F43),('TPS data'!F43/'Des TPS AFR'!F43)-1,"")</f>
        <v/>
      </c>
      <c r="G43" s="21" t="str">
        <f>IF(ISNUMBER('TPS data'!G43),('TPS data'!G43/'Des TPS AFR'!G43)-1,"")</f>
        <v/>
      </c>
      <c r="H43" s="21" t="str">
        <f>IF(ISNUMBER('TPS data'!H43),('TPS data'!H43/'Des TPS AFR'!H43)-1,"")</f>
        <v/>
      </c>
      <c r="I43" s="21" t="str">
        <f>IF(ISNUMBER('TPS data'!I43),('TPS data'!I43/'Des TPS AFR'!I43)-1,"")</f>
        <v/>
      </c>
      <c r="J43" s="21" t="str">
        <f>IF(ISNUMBER('TPS data'!J43),('TPS data'!J43/'Des TPS AFR'!J43)-1,"")</f>
        <v/>
      </c>
      <c r="K43" s="21" t="str">
        <f>IF(ISNUMBER('TPS data'!K43),('TPS data'!K43/'Des TPS AFR'!K43)-1,"")</f>
        <v/>
      </c>
      <c r="L43" s="21" t="str">
        <f>IF(ISNUMBER('TPS data'!L43),('TPS data'!L43/'Des TPS AFR'!L43)-1,"")</f>
        <v/>
      </c>
      <c r="M43" s="21" t="str">
        <f>IF(ISNUMBER('TPS data'!M43),('TPS data'!M43/'Des TPS AFR'!M43)-1,"")</f>
        <v/>
      </c>
      <c r="N43" s="21" t="str">
        <f>IF(ISNUMBER('TPS data'!N43),('TPS data'!N43/'Des TPS AFR'!N43)-1,"")</f>
        <v/>
      </c>
      <c r="O43" s="21" t="str">
        <f>IF(ISNUMBER('TPS data'!O43),('TPS data'!O43/'Des TPS AFR'!O43)-1,"")</f>
        <v/>
      </c>
      <c r="P43" s="21" t="str">
        <f>IF(ISNUMBER('TPS data'!P43),('TPS data'!P43/'Des TPS AFR'!P43)-1,"")</f>
        <v/>
      </c>
      <c r="Q43" s="21" t="str">
        <f>IF(ISNUMBER('TPS data'!Q43),('TPS data'!Q43/'Des TPS AFR'!Q43)-1,"")</f>
        <v/>
      </c>
      <c r="R43" s="21">
        <f>IF(ISNUMBER('TPS data'!R43),('TPS data'!R43/'Des TPS AFR'!R43)-1,"")</f>
        <v>0.4015151515151516</v>
      </c>
      <c r="S43" s="21">
        <f>IF(ISNUMBER('TPS data'!S43),('TPS data'!S43/'Des TPS AFR'!S43)-1,"")</f>
        <v>0.24449035812672171</v>
      </c>
      <c r="T43" s="21" t="str">
        <f>IF(ISNUMBER('TPS data'!T43),('TPS data'!T43/'Des TPS AFR'!T43)-1,"")</f>
        <v/>
      </c>
      <c r="U43" s="21" t="str">
        <f>IF(ISNUMBER('TPS data'!U43),('TPS data'!U43/'Des TPS AFR'!U43)-1,"")</f>
        <v/>
      </c>
      <c r="V43" s="21" t="str">
        <f>IF(ISNUMBER('TPS data'!V43),('TPS data'!V43/'Des TPS AFR'!V43)-1,"")</f>
        <v/>
      </c>
      <c r="W43" s="21" t="str">
        <f>IF(ISNUMBER('TPS data'!W43),('TPS data'!W43/'Des TPS AFR'!W43)-1,"")</f>
        <v/>
      </c>
      <c r="X43" s="21" t="str">
        <f>IF(ISNUMBER('TPS data'!X43),('TPS data'!X43/'Des TPS AFR'!X43)-1,"")</f>
        <v/>
      </c>
    </row>
  </sheetData>
  <sheetProtection algorithmName="SHA-512" hashValue="p7mpY7iXEdYxnD1ebER2hZqhsfPic5tmdeiR83Dyqi5A1FmkaXBcqFENzX08ZIDfPHIeuZePRwgH6lmFl3ZdZg==" saltValue="FzXYgd94nU6qPUXekD+w5w==" spinCount="100000" sheet="1" objects="1" scenarios="1"/>
  <conditionalFormatting sqref="B2:X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V43"/>
  <sheetViews>
    <sheetView zoomScale="70" zoomScaleNormal="70" workbookViewId="0">
      <selection activeCell="Q24" sqref="Q24"/>
    </sheetView>
  </sheetViews>
  <sheetFormatPr defaultRowHeight="13.2" x14ac:dyDescent="0.25"/>
  <cols>
    <col min="1" max="1" width="6.6640625" bestFit="1" customWidth="1"/>
    <col min="2" max="2" width="4.44140625" bestFit="1" customWidth="1"/>
    <col min="3" max="21" width="4.88671875" bestFit="1" customWidth="1"/>
    <col min="22" max="22" width="2.21875" bestFit="1" customWidth="1"/>
  </cols>
  <sheetData>
    <row r="1" spans="1:22" x14ac:dyDescent="0.25">
      <c r="A1" s="12" t="s">
        <v>1</v>
      </c>
      <c r="B1" s="13">
        <v>120</v>
      </c>
      <c r="C1" s="13">
        <v>104</v>
      </c>
      <c r="D1" s="13">
        <v>88</v>
      </c>
      <c r="E1" s="13">
        <v>72</v>
      </c>
      <c r="F1" s="13">
        <v>68</v>
      </c>
      <c r="G1" s="13">
        <v>64</v>
      </c>
      <c r="H1" s="13">
        <v>60</v>
      </c>
      <c r="I1" s="13">
        <v>56</v>
      </c>
      <c r="J1" s="13">
        <v>52</v>
      </c>
      <c r="K1" s="13">
        <v>48</v>
      </c>
      <c r="L1" s="13">
        <v>44</v>
      </c>
      <c r="M1" s="13">
        <v>40</v>
      </c>
      <c r="N1" s="13">
        <v>36</v>
      </c>
      <c r="O1" s="13">
        <v>32</v>
      </c>
      <c r="P1" s="13">
        <v>24</v>
      </c>
      <c r="Q1" s="13">
        <v>20</v>
      </c>
      <c r="R1" s="13">
        <v>16</v>
      </c>
      <c r="S1" s="13">
        <v>12</v>
      </c>
      <c r="T1" s="13">
        <v>8</v>
      </c>
      <c r="U1" s="13">
        <v>4</v>
      </c>
      <c r="V1" s="14">
        <v>0</v>
      </c>
    </row>
    <row r="2" spans="1:22" x14ac:dyDescent="0.25">
      <c r="A2" s="15">
        <v>800</v>
      </c>
      <c r="B2" s="21" t="str">
        <f>IF(ISNUMBER('IAP data'!B2),('IAP data'!B2/'Des IAP AFR'!B2)-1,"")</f>
        <v/>
      </c>
      <c r="C2" s="21" t="str">
        <f>IF(ISNUMBER('IAP data'!C2),('IAP data'!C2/'Des IAP AFR'!C2)-1,"")</f>
        <v/>
      </c>
      <c r="D2" s="21" t="str">
        <f>IF(ISNUMBER('IAP data'!D2),('IAP data'!D2/'Des IAP AFR'!D2)-1,"")</f>
        <v/>
      </c>
      <c r="E2" s="21" t="str">
        <f>IF(ISNUMBER('IAP data'!E2),('IAP data'!E2/'Des IAP AFR'!E2)-1,"")</f>
        <v/>
      </c>
      <c r="F2" s="21" t="str">
        <f>IF(ISNUMBER('IAP data'!F2),('IAP data'!F2/'Des IAP AFR'!F2)-1,"")</f>
        <v/>
      </c>
      <c r="G2" s="21" t="str">
        <f>IF(ISNUMBER('IAP data'!G2),('IAP data'!G2/'Des IAP AFR'!G2)-1,"")</f>
        <v/>
      </c>
      <c r="H2" s="21" t="str">
        <f>IF(ISNUMBER('IAP data'!H2),('IAP data'!H2/'Des IAP AFR'!H2)-1,"")</f>
        <v/>
      </c>
      <c r="I2" s="21" t="str">
        <f>IF(ISNUMBER('IAP data'!I2),('IAP data'!I2/'Des IAP AFR'!I2)-1,"")</f>
        <v/>
      </c>
      <c r="J2" s="21" t="str">
        <f>IF(ISNUMBER('IAP data'!J2),('IAP data'!J2/'Des IAP AFR'!J2)-1,"")</f>
        <v/>
      </c>
      <c r="K2" s="21" t="str">
        <f>IF(ISNUMBER('IAP data'!K2),('IAP data'!K2/'Des IAP AFR'!K2)-1,"")</f>
        <v/>
      </c>
      <c r="L2" s="21" t="str">
        <f>IF(ISNUMBER('IAP data'!L2),('IAP data'!L2/'Des IAP AFR'!L2)-1,"")</f>
        <v/>
      </c>
      <c r="M2" s="21" t="str">
        <f>IF(ISNUMBER('IAP data'!M2),('IAP data'!M2/'Des IAP AFR'!M2)-1,"")</f>
        <v/>
      </c>
      <c r="N2" s="21" t="str">
        <f>IF(ISNUMBER('IAP data'!N2),('IAP data'!N2/'Des IAP AFR'!N2)-1,"")</f>
        <v/>
      </c>
      <c r="O2" s="21" t="str">
        <f>IF(ISNUMBER('IAP data'!O2),('IAP data'!O2/'Des IAP AFR'!O2)-1,"")</f>
        <v/>
      </c>
      <c r="P2" s="21" t="str">
        <f>IF(ISNUMBER('IAP data'!P2),('IAP data'!P2/'Des IAP AFR'!P2)-1,"")</f>
        <v/>
      </c>
      <c r="Q2" s="21" t="str">
        <f>IF(ISNUMBER('IAP data'!Q2),('IAP data'!Q2/'Des IAP AFR'!Q2)-1,"")</f>
        <v/>
      </c>
      <c r="R2" s="21" t="str">
        <f>IF(ISNUMBER('IAP data'!R2),('IAP data'!R2/'Des IAP AFR'!R2)-1,"")</f>
        <v/>
      </c>
      <c r="S2" s="21" t="str">
        <f>IF(ISNUMBER('IAP data'!S2),('IAP data'!S2/'Des IAP AFR'!S2)-1,"")</f>
        <v/>
      </c>
      <c r="T2" s="21" t="str">
        <f>IF(ISNUMBER('IAP data'!T2),('IAP data'!T2/'Des IAP AFR'!T2)-1,"")</f>
        <v/>
      </c>
      <c r="U2" s="21" t="str">
        <f>IF(ISNUMBER('IAP data'!U2),('IAP data'!U2/'Des IAP AFR'!U2)-1,"")</f>
        <v/>
      </c>
      <c r="V2" s="21" t="str">
        <f>IF(ISNUMBER('IAP data'!V2),('IAP data'!V2/'Des IAP AFR'!V2)-1,"")</f>
        <v/>
      </c>
    </row>
    <row r="3" spans="1:22" x14ac:dyDescent="0.25">
      <c r="A3" s="15">
        <v>1000</v>
      </c>
      <c r="B3" s="21" t="str">
        <f>IF(ISNUMBER('IAP data'!B3),('IAP data'!B3/'Des IAP AFR'!B3)-1,"")</f>
        <v/>
      </c>
      <c r="C3" s="21" t="str">
        <f>IF(ISNUMBER('IAP data'!C3),('IAP data'!C3/'Des IAP AFR'!C3)-1,"")</f>
        <v/>
      </c>
      <c r="D3" s="21">
        <f>IF(ISNUMBER('IAP data'!D3),('IAP data'!D3/'Des IAP AFR'!D3)-1,"")</f>
        <v>0.29514170040485821</v>
      </c>
      <c r="E3" s="21" t="str">
        <f>IF(ISNUMBER('IAP data'!E3),('IAP data'!E3/'Des IAP AFR'!E3)-1,"")</f>
        <v/>
      </c>
      <c r="F3" s="21" t="str">
        <f>IF(ISNUMBER('IAP data'!F3),('IAP data'!F3/'Des IAP AFR'!F3)-1,"")</f>
        <v/>
      </c>
      <c r="G3" s="21" t="str">
        <f>IF(ISNUMBER('IAP data'!G3),('IAP data'!G3/'Des IAP AFR'!G3)-1,"")</f>
        <v/>
      </c>
      <c r="H3" s="21" t="str">
        <f>IF(ISNUMBER('IAP data'!H3),('IAP data'!H3/'Des IAP AFR'!H3)-1,"")</f>
        <v/>
      </c>
      <c r="I3" s="21">
        <f>IF(ISNUMBER('IAP data'!I3),('IAP data'!I3/'Des IAP AFR'!I3)-1,"")</f>
        <v>0.25576662143826323</v>
      </c>
      <c r="J3" s="21">
        <f>IF(ISNUMBER('IAP data'!J3),('IAP data'!J3/'Des IAP AFR'!J3)-1,"")</f>
        <v>0.24830393487109892</v>
      </c>
      <c r="K3" s="21" t="str">
        <f>IF(ISNUMBER('IAP data'!K3),('IAP data'!K3/'Des IAP AFR'!K3)-1,"")</f>
        <v/>
      </c>
      <c r="L3" s="21" t="str">
        <f>IF(ISNUMBER('IAP data'!L3),('IAP data'!L3/'Des IAP AFR'!L3)-1,"")</f>
        <v/>
      </c>
      <c r="M3" s="21">
        <f>IF(ISNUMBER('IAP data'!M3),('IAP data'!M3/'Des IAP AFR'!M3)-1,"")</f>
        <v>0.27425373134328357</v>
      </c>
      <c r="N3" s="21" t="str">
        <f>IF(ISNUMBER('IAP data'!N3),('IAP data'!N3/'Des IAP AFR'!N3)-1,"")</f>
        <v/>
      </c>
      <c r="O3" s="21">
        <f>IF(ISNUMBER('IAP data'!O3),('IAP data'!O3/'Des IAP AFR'!O3)-1,"")</f>
        <v>0.28251599147121542</v>
      </c>
      <c r="P3" s="21" t="str">
        <f>IF(ISNUMBER('IAP data'!P3),('IAP data'!P3/'Des IAP AFR'!P3)-1,"")</f>
        <v/>
      </c>
      <c r="Q3" s="21" t="str">
        <f>IF(ISNUMBER('IAP data'!Q3),('IAP data'!Q3/'Des IAP AFR'!Q3)-1,"")</f>
        <v/>
      </c>
      <c r="R3" s="21" t="str">
        <f>IF(ISNUMBER('IAP data'!R3),('IAP data'!R3/'Des IAP AFR'!R3)-1,"")</f>
        <v/>
      </c>
      <c r="S3" s="21" t="str">
        <f>IF(ISNUMBER('IAP data'!S3),('IAP data'!S3/'Des IAP AFR'!S3)-1,"")</f>
        <v/>
      </c>
      <c r="T3" s="21" t="str">
        <f>IF(ISNUMBER('IAP data'!T3),('IAP data'!T3/'Des IAP AFR'!T3)-1,"")</f>
        <v/>
      </c>
      <c r="U3" s="21" t="str">
        <f>IF(ISNUMBER('IAP data'!U3),('IAP data'!U3/'Des IAP AFR'!U3)-1,"")</f>
        <v/>
      </c>
      <c r="V3" s="21" t="str">
        <f>IF(ISNUMBER('IAP data'!V3),('IAP data'!V3/'Des IAP AFR'!V3)-1,"")</f>
        <v/>
      </c>
    </row>
    <row r="4" spans="1:22" x14ac:dyDescent="0.25">
      <c r="A4" s="15">
        <v>1200</v>
      </c>
      <c r="B4" s="21" t="str">
        <f>IF(ISNUMBER('IAP data'!B4),('IAP data'!B4/'Des IAP AFR'!B4)-1,"")</f>
        <v/>
      </c>
      <c r="C4" s="21">
        <f>IF(ISNUMBER('IAP data'!C4),('IAP data'!C4/'Des IAP AFR'!C4)-1,"")</f>
        <v>0.30625000000000013</v>
      </c>
      <c r="D4" s="21">
        <f>IF(ISNUMBER('IAP data'!D4),('IAP data'!D4/'Des IAP AFR'!D4)-1,"")</f>
        <v>0.28316008316008334</v>
      </c>
      <c r="E4" s="21" t="str">
        <f>IF(ISNUMBER('IAP data'!E4),('IAP data'!E4/'Des IAP AFR'!E4)-1,"")</f>
        <v/>
      </c>
      <c r="F4" s="21">
        <f>IF(ISNUMBER('IAP data'!F4),('IAP data'!F4/'Des IAP AFR'!F4)-1,"")</f>
        <v>0.29538461538461513</v>
      </c>
      <c r="G4" s="21" t="str">
        <f>IF(ISNUMBER('IAP data'!G4),('IAP data'!G4/'Des IAP AFR'!G4)-1,"")</f>
        <v/>
      </c>
      <c r="H4" s="21" t="str">
        <f>IF(ISNUMBER('IAP data'!H4),('IAP data'!H4/'Des IAP AFR'!H4)-1,"")</f>
        <v/>
      </c>
      <c r="I4" s="21">
        <f>IF(ISNUMBER('IAP data'!I4),('IAP data'!I4/'Des IAP AFR'!I4)-1,"")</f>
        <v>0.27815468113975594</v>
      </c>
      <c r="J4" s="21" t="str">
        <f>IF(ISNUMBER('IAP data'!J4),('IAP data'!J4/'Des IAP AFR'!J4)-1,"")</f>
        <v/>
      </c>
      <c r="K4" s="21">
        <f>IF(ISNUMBER('IAP data'!K4),('IAP data'!K4/'Des IAP AFR'!K4)-1,"")</f>
        <v>0.26343283582089572</v>
      </c>
      <c r="L4" s="21" t="str">
        <f>IF(ISNUMBER('IAP data'!L4),('IAP data'!L4/'Des IAP AFR'!L4)-1,"")</f>
        <v/>
      </c>
      <c r="M4" s="21" t="str">
        <f>IF(ISNUMBER('IAP data'!M4),('IAP data'!M4/'Des IAP AFR'!M4)-1,"")</f>
        <v/>
      </c>
      <c r="N4" s="21" t="str">
        <f>IF(ISNUMBER('IAP data'!N4),('IAP data'!N4/'Des IAP AFR'!N4)-1,"")</f>
        <v/>
      </c>
      <c r="O4" s="21">
        <f>IF(ISNUMBER('IAP data'!O4),('IAP data'!O4/'Des IAP AFR'!O4)-1,"")</f>
        <v>0.29944029850746245</v>
      </c>
      <c r="P4" s="21" t="str">
        <f>IF(ISNUMBER('IAP data'!P4),('IAP data'!P4/'Des IAP AFR'!P4)-1,"")</f>
        <v/>
      </c>
      <c r="Q4" s="21" t="str">
        <f>IF(ISNUMBER('IAP data'!Q4),('IAP data'!Q4/'Des IAP AFR'!Q4)-1,"")</f>
        <v/>
      </c>
      <c r="R4" s="21" t="str">
        <f>IF(ISNUMBER('IAP data'!R4),('IAP data'!R4/'Des IAP AFR'!R4)-1,"")</f>
        <v/>
      </c>
      <c r="S4" s="21" t="str">
        <f>IF(ISNUMBER('IAP data'!S4),('IAP data'!S4/'Des IAP AFR'!S4)-1,"")</f>
        <v/>
      </c>
      <c r="T4" s="21" t="str">
        <f>IF(ISNUMBER('IAP data'!T4),('IAP data'!T4/'Des IAP AFR'!T4)-1,"")</f>
        <v/>
      </c>
      <c r="U4" s="21" t="str">
        <f>IF(ISNUMBER('IAP data'!U4),('IAP data'!U4/'Des IAP AFR'!U4)-1,"")</f>
        <v/>
      </c>
      <c r="V4" s="21" t="str">
        <f>IF(ISNUMBER('IAP data'!V4),('IAP data'!V4/'Des IAP AFR'!V4)-1,"")</f>
        <v/>
      </c>
    </row>
    <row r="5" spans="1:22" x14ac:dyDescent="0.25">
      <c r="A5" s="15">
        <v>1400</v>
      </c>
      <c r="B5" s="21" t="str">
        <f>IF(ISNUMBER('IAP data'!B5),('IAP data'!B5/'Des IAP AFR'!B5)-1,"")</f>
        <v/>
      </c>
      <c r="C5" s="21" t="str">
        <f>IF(ISNUMBER('IAP data'!C5),('IAP data'!C5/'Des IAP AFR'!C5)-1,"")</f>
        <v/>
      </c>
      <c r="D5" s="21" t="str">
        <f>IF(ISNUMBER('IAP data'!D5),('IAP data'!D5/'Des IAP AFR'!D5)-1,"")</f>
        <v/>
      </c>
      <c r="E5" s="21" t="str">
        <f>IF(ISNUMBER('IAP data'!E5),('IAP data'!E5/'Des IAP AFR'!E5)-1,"")</f>
        <v/>
      </c>
      <c r="F5" s="21" t="str">
        <f>IF(ISNUMBER('IAP data'!F5),('IAP data'!F5/'Des IAP AFR'!F5)-1,"")</f>
        <v/>
      </c>
      <c r="G5" s="21" t="str">
        <f>IF(ISNUMBER('IAP data'!G5),('IAP data'!G5/'Des IAP AFR'!G5)-1,"")</f>
        <v/>
      </c>
      <c r="H5" s="21" t="str">
        <f>IF(ISNUMBER('IAP data'!H5),('IAP data'!H5/'Des IAP AFR'!H5)-1,"")</f>
        <v/>
      </c>
      <c r="I5" s="21" t="str">
        <f>IF(ISNUMBER('IAP data'!I5),('IAP data'!I5/'Des IAP AFR'!I5)-1,"")</f>
        <v/>
      </c>
      <c r="J5" s="21" t="str">
        <f>IF(ISNUMBER('IAP data'!J5),('IAP data'!J5/'Des IAP AFR'!J5)-1,"")</f>
        <v/>
      </c>
      <c r="K5" s="21" t="str">
        <f>IF(ISNUMBER('IAP data'!K5),('IAP data'!K5/'Des IAP AFR'!K5)-1,"")</f>
        <v/>
      </c>
      <c r="L5" s="21" t="str">
        <f>IF(ISNUMBER('IAP data'!L5),('IAP data'!L5/'Des IAP AFR'!L5)-1,"")</f>
        <v/>
      </c>
      <c r="M5" s="21" t="str">
        <f>IF(ISNUMBER('IAP data'!M5),('IAP data'!M5/'Des IAP AFR'!M5)-1,"")</f>
        <v/>
      </c>
      <c r="N5" s="21" t="str">
        <f>IF(ISNUMBER('IAP data'!N5),('IAP data'!N5/'Des IAP AFR'!N5)-1,"")</f>
        <v/>
      </c>
      <c r="O5" s="21" t="str">
        <f>IF(ISNUMBER('IAP data'!O5),('IAP data'!O5/'Des IAP AFR'!O5)-1,"")</f>
        <v/>
      </c>
      <c r="P5" s="21" t="str">
        <f>IF(ISNUMBER('IAP data'!P5),('IAP data'!P5/'Des IAP AFR'!P5)-1,"")</f>
        <v/>
      </c>
      <c r="Q5" s="21" t="str">
        <f>IF(ISNUMBER('IAP data'!Q5),('IAP data'!Q5/'Des IAP AFR'!Q5)-1,"")</f>
        <v/>
      </c>
      <c r="R5" s="21" t="str">
        <f>IF(ISNUMBER('IAP data'!R5),('IAP data'!R5/'Des IAP AFR'!R5)-1,"")</f>
        <v/>
      </c>
      <c r="S5" s="21" t="str">
        <f>IF(ISNUMBER('IAP data'!S5),('IAP data'!S5/'Des IAP AFR'!S5)-1,"")</f>
        <v/>
      </c>
      <c r="T5" s="21" t="str">
        <f>IF(ISNUMBER('IAP data'!T5),('IAP data'!T5/'Des IAP AFR'!T5)-1,"")</f>
        <v/>
      </c>
      <c r="U5" s="21" t="str">
        <f>IF(ISNUMBER('IAP data'!U5),('IAP data'!U5/'Des IAP AFR'!U5)-1,"")</f>
        <v/>
      </c>
      <c r="V5" s="21" t="str">
        <f>IF(ISNUMBER('IAP data'!V5),('IAP data'!V5/'Des IAP AFR'!V5)-1,"")</f>
        <v/>
      </c>
    </row>
    <row r="6" spans="1:22" x14ac:dyDescent="0.25">
      <c r="A6" s="15">
        <v>1600</v>
      </c>
      <c r="B6" s="21" t="str">
        <f>IF(ISNUMBER('IAP data'!B6),('IAP data'!B6/'Des IAP AFR'!B6)-1,"")</f>
        <v/>
      </c>
      <c r="C6" s="21" t="str">
        <f>IF(ISNUMBER('IAP data'!C6),('IAP data'!C6/'Des IAP AFR'!C6)-1,"")</f>
        <v/>
      </c>
      <c r="D6" s="21" t="str">
        <f>IF(ISNUMBER('IAP data'!D6),('IAP data'!D6/'Des IAP AFR'!D6)-1,"")</f>
        <v/>
      </c>
      <c r="E6" s="21" t="str">
        <f>IF(ISNUMBER('IAP data'!E6),('IAP data'!E6/'Des IAP AFR'!E6)-1,"")</f>
        <v/>
      </c>
      <c r="F6" s="21" t="str">
        <f>IF(ISNUMBER('IAP data'!F6),('IAP data'!F6/'Des IAP AFR'!F6)-1,"")</f>
        <v/>
      </c>
      <c r="G6" s="21" t="str">
        <f>IF(ISNUMBER('IAP data'!G6),('IAP data'!G6/'Des IAP AFR'!G6)-1,"")</f>
        <v/>
      </c>
      <c r="H6" s="21" t="str">
        <f>IF(ISNUMBER('IAP data'!H6),('IAP data'!H6/'Des IAP AFR'!H6)-1,"")</f>
        <v/>
      </c>
      <c r="I6" s="21" t="str">
        <f>IF(ISNUMBER('IAP data'!I6),('IAP data'!I6/'Des IAP AFR'!I6)-1,"")</f>
        <v/>
      </c>
      <c r="J6" s="21" t="str">
        <f>IF(ISNUMBER('IAP data'!J6),('IAP data'!J6/'Des IAP AFR'!J6)-1,"")</f>
        <v/>
      </c>
      <c r="K6" s="21" t="str">
        <f>IF(ISNUMBER('IAP data'!K6),('IAP data'!K6/'Des IAP AFR'!K6)-1,"")</f>
        <v/>
      </c>
      <c r="L6" s="21" t="str">
        <f>IF(ISNUMBER('IAP data'!L6),('IAP data'!L6/'Des IAP AFR'!L6)-1,"")</f>
        <v/>
      </c>
      <c r="M6" s="21" t="str">
        <f>IF(ISNUMBER('IAP data'!M6),('IAP data'!M6/'Des IAP AFR'!M6)-1,"")</f>
        <v/>
      </c>
      <c r="N6" s="21" t="str">
        <f>IF(ISNUMBER('IAP data'!N6),('IAP data'!N6/'Des IAP AFR'!N6)-1,"")</f>
        <v/>
      </c>
      <c r="O6" s="21" t="str">
        <f>IF(ISNUMBER('IAP data'!O6),('IAP data'!O6/'Des IAP AFR'!O6)-1,"")</f>
        <v/>
      </c>
      <c r="P6" s="21" t="str">
        <f>IF(ISNUMBER('IAP data'!P6),('IAP data'!P6/'Des IAP AFR'!P6)-1,"")</f>
        <v/>
      </c>
      <c r="Q6" s="21" t="str">
        <f>IF(ISNUMBER('IAP data'!Q6),('IAP data'!Q6/'Des IAP AFR'!Q6)-1,"")</f>
        <v/>
      </c>
      <c r="R6" s="21" t="str">
        <f>IF(ISNUMBER('IAP data'!R6),('IAP data'!R6/'Des IAP AFR'!R6)-1,"")</f>
        <v/>
      </c>
      <c r="S6" s="21" t="str">
        <f>IF(ISNUMBER('IAP data'!S6),('IAP data'!S6/'Des IAP AFR'!S6)-1,"")</f>
        <v/>
      </c>
      <c r="T6" s="21" t="str">
        <f>IF(ISNUMBER('IAP data'!T6),('IAP data'!T6/'Des IAP AFR'!T6)-1,"")</f>
        <v/>
      </c>
      <c r="U6" s="21" t="str">
        <f>IF(ISNUMBER('IAP data'!U6),('IAP data'!U6/'Des IAP AFR'!U6)-1,"")</f>
        <v/>
      </c>
      <c r="V6" s="21" t="str">
        <f>IF(ISNUMBER('IAP data'!V6),('IAP data'!V6/'Des IAP AFR'!V6)-1,"")</f>
        <v/>
      </c>
    </row>
    <row r="7" spans="1:22" x14ac:dyDescent="0.25">
      <c r="A7" s="15">
        <v>1800</v>
      </c>
      <c r="B7" s="21" t="str">
        <f>IF(ISNUMBER('IAP data'!B7),('IAP data'!B7/'Des IAP AFR'!B7)-1,"")</f>
        <v/>
      </c>
      <c r="C7" s="21" t="str">
        <f>IF(ISNUMBER('IAP data'!C7),('IAP data'!C7/'Des IAP AFR'!C7)-1,"")</f>
        <v/>
      </c>
      <c r="D7" s="21" t="str">
        <f>IF(ISNUMBER('IAP data'!D7),('IAP data'!D7/'Des IAP AFR'!D7)-1,"")</f>
        <v/>
      </c>
      <c r="E7" s="21" t="str">
        <f>IF(ISNUMBER('IAP data'!E7),('IAP data'!E7/'Des IAP AFR'!E7)-1,"")</f>
        <v/>
      </c>
      <c r="F7" s="21" t="str">
        <f>IF(ISNUMBER('IAP data'!F7),('IAP data'!F7/'Des IAP AFR'!F7)-1,"")</f>
        <v/>
      </c>
      <c r="G7" s="21" t="str">
        <f>IF(ISNUMBER('IAP data'!G7),('IAP data'!G7/'Des IAP AFR'!G7)-1,"")</f>
        <v/>
      </c>
      <c r="H7" s="21" t="str">
        <f>IF(ISNUMBER('IAP data'!H7),('IAP data'!H7/'Des IAP AFR'!H7)-1,"")</f>
        <v/>
      </c>
      <c r="I7" s="21" t="str">
        <f>IF(ISNUMBER('IAP data'!I7),('IAP data'!I7/'Des IAP AFR'!I7)-1,"")</f>
        <v/>
      </c>
      <c r="J7" s="21" t="str">
        <f>IF(ISNUMBER('IAP data'!J7),('IAP data'!J7/'Des IAP AFR'!J7)-1,"")</f>
        <v/>
      </c>
      <c r="K7" s="21" t="str">
        <f>IF(ISNUMBER('IAP data'!K7),('IAP data'!K7/'Des IAP AFR'!K7)-1,"")</f>
        <v/>
      </c>
      <c r="L7" s="21" t="str">
        <f>IF(ISNUMBER('IAP data'!L7),('IAP data'!L7/'Des IAP AFR'!L7)-1,"")</f>
        <v/>
      </c>
      <c r="M7" s="21" t="str">
        <f>IF(ISNUMBER('IAP data'!M7),('IAP data'!M7/'Des IAP AFR'!M7)-1,"")</f>
        <v/>
      </c>
      <c r="N7" s="21" t="str">
        <f>IF(ISNUMBER('IAP data'!N7),('IAP data'!N7/'Des IAP AFR'!N7)-1,"")</f>
        <v/>
      </c>
      <c r="O7" s="21" t="str">
        <f>IF(ISNUMBER('IAP data'!O7),('IAP data'!O7/'Des IAP AFR'!O7)-1,"")</f>
        <v/>
      </c>
      <c r="P7" s="21" t="str">
        <f>IF(ISNUMBER('IAP data'!P7),('IAP data'!P7/'Des IAP AFR'!P7)-1,"")</f>
        <v/>
      </c>
      <c r="Q7" s="21" t="str">
        <f>IF(ISNUMBER('IAP data'!Q7),('IAP data'!Q7/'Des IAP AFR'!Q7)-1,"")</f>
        <v/>
      </c>
      <c r="R7" s="21" t="str">
        <f>IF(ISNUMBER('IAP data'!R7),('IAP data'!R7/'Des IAP AFR'!R7)-1,"")</f>
        <v/>
      </c>
      <c r="S7" s="21" t="str">
        <f>IF(ISNUMBER('IAP data'!S7),('IAP data'!S7/'Des IAP AFR'!S7)-1,"")</f>
        <v/>
      </c>
      <c r="T7" s="21" t="str">
        <f>IF(ISNUMBER('IAP data'!T7),('IAP data'!T7/'Des IAP AFR'!T7)-1,"")</f>
        <v/>
      </c>
      <c r="U7" s="21" t="str">
        <f>IF(ISNUMBER('IAP data'!U7),('IAP data'!U7/'Des IAP AFR'!U7)-1,"")</f>
        <v/>
      </c>
      <c r="V7" s="21" t="str">
        <f>IF(ISNUMBER('IAP data'!V7),('IAP data'!V7/'Des IAP AFR'!V7)-1,"")</f>
        <v/>
      </c>
    </row>
    <row r="8" spans="1:22" x14ac:dyDescent="0.25">
      <c r="A8" s="15">
        <v>2000</v>
      </c>
      <c r="B8" s="21" t="str">
        <f>IF(ISNUMBER('IAP data'!B8),('IAP data'!B8/'Des IAP AFR'!B8)-1,"")</f>
        <v/>
      </c>
      <c r="C8" s="21" t="str">
        <f>IF(ISNUMBER('IAP data'!C8),('IAP data'!C8/'Des IAP AFR'!C8)-1,"")</f>
        <v/>
      </c>
      <c r="D8" s="21" t="str">
        <f>IF(ISNUMBER('IAP data'!D8),('IAP data'!D8/'Des IAP AFR'!D8)-1,"")</f>
        <v/>
      </c>
      <c r="E8" s="21" t="str">
        <f>IF(ISNUMBER('IAP data'!E8),('IAP data'!E8/'Des IAP AFR'!E8)-1,"")</f>
        <v/>
      </c>
      <c r="F8" s="21" t="str">
        <f>IF(ISNUMBER('IAP data'!F8),('IAP data'!F8/'Des IAP AFR'!F8)-1,"")</f>
        <v/>
      </c>
      <c r="G8" s="21" t="str">
        <f>IF(ISNUMBER('IAP data'!G8),('IAP data'!G8/'Des IAP AFR'!G8)-1,"")</f>
        <v/>
      </c>
      <c r="H8" s="21" t="str">
        <f>IF(ISNUMBER('IAP data'!H8),('IAP data'!H8/'Des IAP AFR'!H8)-1,"")</f>
        <v/>
      </c>
      <c r="I8" s="21" t="str">
        <f>IF(ISNUMBER('IAP data'!I8),('IAP data'!I8/'Des IAP AFR'!I8)-1,"")</f>
        <v/>
      </c>
      <c r="J8" s="21" t="str">
        <f>IF(ISNUMBER('IAP data'!J8),('IAP data'!J8/'Des IAP AFR'!J8)-1,"")</f>
        <v/>
      </c>
      <c r="K8" s="21" t="str">
        <f>IF(ISNUMBER('IAP data'!K8),('IAP data'!K8/'Des IAP AFR'!K8)-1,"")</f>
        <v/>
      </c>
      <c r="L8" s="21" t="str">
        <f>IF(ISNUMBER('IAP data'!L8),('IAP data'!L8/'Des IAP AFR'!L8)-1,"")</f>
        <v/>
      </c>
      <c r="M8" s="21" t="str">
        <f>IF(ISNUMBER('IAP data'!M8),('IAP data'!M8/'Des IAP AFR'!M8)-1,"")</f>
        <v/>
      </c>
      <c r="N8" s="21" t="str">
        <f>IF(ISNUMBER('IAP data'!N8),('IAP data'!N8/'Des IAP AFR'!N8)-1,"")</f>
        <v/>
      </c>
      <c r="O8" s="21" t="str">
        <f>IF(ISNUMBER('IAP data'!O8),('IAP data'!O8/'Des IAP AFR'!O8)-1,"")</f>
        <v/>
      </c>
      <c r="P8" s="21" t="str">
        <f>IF(ISNUMBER('IAP data'!P8),('IAP data'!P8/'Des IAP AFR'!P8)-1,"")</f>
        <v/>
      </c>
      <c r="Q8" s="21" t="str">
        <f>IF(ISNUMBER('IAP data'!Q8),('IAP data'!Q8/'Des IAP AFR'!Q8)-1,"")</f>
        <v/>
      </c>
      <c r="R8" s="21" t="str">
        <f>IF(ISNUMBER('IAP data'!R8),('IAP data'!R8/'Des IAP AFR'!R8)-1,"")</f>
        <v/>
      </c>
      <c r="S8" s="21" t="str">
        <f>IF(ISNUMBER('IAP data'!S8),('IAP data'!S8/'Des IAP AFR'!S8)-1,"")</f>
        <v/>
      </c>
      <c r="T8" s="21" t="str">
        <f>IF(ISNUMBER('IAP data'!T8),('IAP data'!T8/'Des IAP AFR'!T8)-1,"")</f>
        <v/>
      </c>
      <c r="U8" s="21" t="str">
        <f>IF(ISNUMBER('IAP data'!U8),('IAP data'!U8/'Des IAP AFR'!U8)-1,"")</f>
        <v/>
      </c>
      <c r="V8" s="21" t="str">
        <f>IF(ISNUMBER('IAP data'!V8),('IAP data'!V8/'Des IAP AFR'!V8)-1,"")</f>
        <v/>
      </c>
    </row>
    <row r="9" spans="1:22" x14ac:dyDescent="0.25">
      <c r="A9" s="15">
        <v>2200</v>
      </c>
      <c r="B9" s="21" t="str">
        <f>IF(ISNUMBER('IAP data'!B9),('IAP data'!B9/'Des IAP AFR'!B9)-1,"")</f>
        <v/>
      </c>
      <c r="C9" s="21" t="str">
        <f>IF(ISNUMBER('IAP data'!C9),('IAP data'!C9/'Des IAP AFR'!C9)-1,"")</f>
        <v/>
      </c>
      <c r="D9" s="21" t="str">
        <f>IF(ISNUMBER('IAP data'!D9),('IAP data'!D9/'Des IAP AFR'!D9)-1,"")</f>
        <v/>
      </c>
      <c r="E9" s="21" t="str">
        <f>IF(ISNUMBER('IAP data'!E9),('IAP data'!E9/'Des IAP AFR'!E9)-1,"")</f>
        <v/>
      </c>
      <c r="F9" s="21" t="str">
        <f>IF(ISNUMBER('IAP data'!F9),('IAP data'!F9/'Des IAP AFR'!F9)-1,"")</f>
        <v/>
      </c>
      <c r="G9" s="21" t="str">
        <f>IF(ISNUMBER('IAP data'!G9),('IAP data'!G9/'Des IAP AFR'!G9)-1,"")</f>
        <v/>
      </c>
      <c r="H9" s="21" t="str">
        <f>IF(ISNUMBER('IAP data'!H9),('IAP data'!H9/'Des IAP AFR'!H9)-1,"")</f>
        <v/>
      </c>
      <c r="I9" s="21" t="str">
        <f>IF(ISNUMBER('IAP data'!I9),('IAP data'!I9/'Des IAP AFR'!I9)-1,"")</f>
        <v/>
      </c>
      <c r="J9" s="21" t="str">
        <f>IF(ISNUMBER('IAP data'!J9),('IAP data'!J9/'Des IAP AFR'!J9)-1,"")</f>
        <v/>
      </c>
      <c r="K9" s="21" t="str">
        <f>IF(ISNUMBER('IAP data'!K9),('IAP data'!K9/'Des IAP AFR'!K9)-1,"")</f>
        <v/>
      </c>
      <c r="L9" s="21" t="str">
        <f>IF(ISNUMBER('IAP data'!L9),('IAP data'!L9/'Des IAP AFR'!L9)-1,"")</f>
        <v/>
      </c>
      <c r="M9" s="21" t="str">
        <f>IF(ISNUMBER('IAP data'!M9),('IAP data'!M9/'Des IAP AFR'!M9)-1,"")</f>
        <v/>
      </c>
      <c r="N9" s="21" t="str">
        <f>IF(ISNUMBER('IAP data'!N9),('IAP data'!N9/'Des IAP AFR'!N9)-1,"")</f>
        <v/>
      </c>
      <c r="O9" s="21" t="str">
        <f>IF(ISNUMBER('IAP data'!O9),('IAP data'!O9/'Des IAP AFR'!O9)-1,"")</f>
        <v/>
      </c>
      <c r="P9" s="21" t="str">
        <f>IF(ISNUMBER('IAP data'!P9),('IAP data'!P9/'Des IAP AFR'!P9)-1,"")</f>
        <v/>
      </c>
      <c r="Q9" s="21" t="str">
        <f>IF(ISNUMBER('IAP data'!Q9),('IAP data'!Q9/'Des IAP AFR'!Q9)-1,"")</f>
        <v/>
      </c>
      <c r="R9" s="21" t="str">
        <f>IF(ISNUMBER('IAP data'!R9),('IAP data'!R9/'Des IAP AFR'!R9)-1,"")</f>
        <v/>
      </c>
      <c r="S9" s="21" t="str">
        <f>IF(ISNUMBER('IAP data'!S9),('IAP data'!S9/'Des IAP AFR'!S9)-1,"")</f>
        <v/>
      </c>
      <c r="T9" s="21" t="str">
        <f>IF(ISNUMBER('IAP data'!T9),('IAP data'!T9/'Des IAP AFR'!T9)-1,"")</f>
        <v/>
      </c>
      <c r="U9" s="21" t="str">
        <f>IF(ISNUMBER('IAP data'!U9),('IAP data'!U9/'Des IAP AFR'!U9)-1,"")</f>
        <v/>
      </c>
      <c r="V9" s="21" t="str">
        <f>IF(ISNUMBER('IAP data'!V9),('IAP data'!V9/'Des IAP AFR'!V9)-1,"")</f>
        <v/>
      </c>
    </row>
    <row r="10" spans="1:22" x14ac:dyDescent="0.25">
      <c r="A10" s="15">
        <v>2400</v>
      </c>
      <c r="B10" s="21" t="str">
        <f>IF(ISNUMBER('IAP data'!B10),('IAP data'!B10/'Des IAP AFR'!B10)-1,"")</f>
        <v/>
      </c>
      <c r="C10" s="21" t="str">
        <f>IF(ISNUMBER('IAP data'!C10),('IAP data'!C10/'Des IAP AFR'!C10)-1,"")</f>
        <v/>
      </c>
      <c r="D10" s="21" t="str">
        <f>IF(ISNUMBER('IAP data'!D10),('IAP data'!D10/'Des IAP AFR'!D10)-1,"")</f>
        <v/>
      </c>
      <c r="E10" s="21" t="str">
        <f>IF(ISNUMBER('IAP data'!E10),('IAP data'!E10/'Des IAP AFR'!E10)-1,"")</f>
        <v/>
      </c>
      <c r="F10" s="21" t="str">
        <f>IF(ISNUMBER('IAP data'!F10),('IAP data'!F10/'Des IAP AFR'!F10)-1,"")</f>
        <v/>
      </c>
      <c r="G10" s="21" t="str">
        <f>IF(ISNUMBER('IAP data'!G10),('IAP data'!G10/'Des IAP AFR'!G10)-1,"")</f>
        <v/>
      </c>
      <c r="H10" s="21" t="str">
        <f>IF(ISNUMBER('IAP data'!H10),('IAP data'!H10/'Des IAP AFR'!H10)-1,"")</f>
        <v/>
      </c>
      <c r="I10" s="21" t="str">
        <f>IF(ISNUMBER('IAP data'!I10),('IAP data'!I10/'Des IAP AFR'!I10)-1,"")</f>
        <v/>
      </c>
      <c r="J10" s="21" t="str">
        <f>IF(ISNUMBER('IAP data'!J10),('IAP data'!J10/'Des IAP AFR'!J10)-1,"")</f>
        <v/>
      </c>
      <c r="K10" s="21" t="str">
        <f>IF(ISNUMBER('IAP data'!K10),('IAP data'!K10/'Des IAP AFR'!K10)-1,"")</f>
        <v/>
      </c>
      <c r="L10" s="21" t="str">
        <f>IF(ISNUMBER('IAP data'!L10),('IAP data'!L10/'Des IAP AFR'!L10)-1,"")</f>
        <v/>
      </c>
      <c r="M10" s="21" t="str">
        <f>IF(ISNUMBER('IAP data'!M10),('IAP data'!M10/'Des IAP AFR'!M10)-1,"")</f>
        <v/>
      </c>
      <c r="N10" s="21" t="str">
        <f>IF(ISNUMBER('IAP data'!N10),('IAP data'!N10/'Des IAP AFR'!N10)-1,"")</f>
        <v/>
      </c>
      <c r="O10" s="21" t="str">
        <f>IF(ISNUMBER('IAP data'!O10),('IAP data'!O10/'Des IAP AFR'!O10)-1,"")</f>
        <v/>
      </c>
      <c r="P10" s="21" t="str">
        <f>IF(ISNUMBER('IAP data'!P10),('IAP data'!P10/'Des IAP AFR'!P10)-1,"")</f>
        <v/>
      </c>
      <c r="Q10" s="21" t="str">
        <f>IF(ISNUMBER('IAP data'!Q10),('IAP data'!Q10/'Des IAP AFR'!Q10)-1,"")</f>
        <v/>
      </c>
      <c r="R10" s="21" t="str">
        <f>IF(ISNUMBER('IAP data'!R10),('IAP data'!R10/'Des IAP AFR'!R10)-1,"")</f>
        <v/>
      </c>
      <c r="S10" s="21" t="str">
        <f>IF(ISNUMBER('IAP data'!S10),('IAP data'!S10/'Des IAP AFR'!S10)-1,"")</f>
        <v/>
      </c>
      <c r="T10" s="21" t="str">
        <f>IF(ISNUMBER('IAP data'!T10),('IAP data'!T10/'Des IAP AFR'!T10)-1,"")</f>
        <v/>
      </c>
      <c r="U10" s="21" t="str">
        <f>IF(ISNUMBER('IAP data'!U10),('IAP data'!U10/'Des IAP AFR'!U10)-1,"")</f>
        <v/>
      </c>
      <c r="V10" s="21" t="str">
        <f>IF(ISNUMBER('IAP data'!V10),('IAP data'!V10/'Des IAP AFR'!V10)-1,"")</f>
        <v/>
      </c>
    </row>
    <row r="11" spans="1:22" x14ac:dyDescent="0.25">
      <c r="A11" s="15">
        <v>2600</v>
      </c>
      <c r="B11" s="21" t="str">
        <f>IF(ISNUMBER('IAP data'!B11),('IAP data'!B11/'Des IAP AFR'!B11)-1,"")</f>
        <v/>
      </c>
      <c r="C11" s="21" t="str">
        <f>IF(ISNUMBER('IAP data'!C11),('IAP data'!C11/'Des IAP AFR'!C11)-1,"")</f>
        <v/>
      </c>
      <c r="D11" s="21" t="str">
        <f>IF(ISNUMBER('IAP data'!D11),('IAP data'!D11/'Des IAP AFR'!D11)-1,"")</f>
        <v/>
      </c>
      <c r="E11" s="21" t="str">
        <f>IF(ISNUMBER('IAP data'!E11),('IAP data'!E11/'Des IAP AFR'!E11)-1,"")</f>
        <v/>
      </c>
      <c r="F11" s="21" t="str">
        <f>IF(ISNUMBER('IAP data'!F11),('IAP data'!F11/'Des IAP AFR'!F11)-1,"")</f>
        <v/>
      </c>
      <c r="G11" s="21" t="str">
        <f>IF(ISNUMBER('IAP data'!G11),('IAP data'!G11/'Des IAP AFR'!G11)-1,"")</f>
        <v/>
      </c>
      <c r="H11" s="21" t="str">
        <f>IF(ISNUMBER('IAP data'!H11),('IAP data'!H11/'Des IAP AFR'!H11)-1,"")</f>
        <v/>
      </c>
      <c r="I11" s="21" t="str">
        <f>IF(ISNUMBER('IAP data'!I11),('IAP data'!I11/'Des IAP AFR'!I11)-1,"")</f>
        <v/>
      </c>
      <c r="J11" s="21" t="str">
        <f>IF(ISNUMBER('IAP data'!J11),('IAP data'!J11/'Des IAP AFR'!J11)-1,"")</f>
        <v/>
      </c>
      <c r="K11" s="21" t="str">
        <f>IF(ISNUMBER('IAP data'!K11),('IAP data'!K11/'Des IAP AFR'!K11)-1,"")</f>
        <v/>
      </c>
      <c r="L11" s="21" t="str">
        <f>IF(ISNUMBER('IAP data'!L11),('IAP data'!L11/'Des IAP AFR'!L11)-1,"")</f>
        <v/>
      </c>
      <c r="M11" s="21" t="str">
        <f>IF(ISNUMBER('IAP data'!M11),('IAP data'!M11/'Des IAP AFR'!M11)-1,"")</f>
        <v/>
      </c>
      <c r="N11" s="21" t="str">
        <f>IF(ISNUMBER('IAP data'!N11),('IAP data'!N11/'Des IAP AFR'!N11)-1,"")</f>
        <v/>
      </c>
      <c r="O11" s="21" t="str">
        <f>IF(ISNUMBER('IAP data'!O11),('IAP data'!O11/'Des IAP AFR'!O11)-1,"")</f>
        <v/>
      </c>
      <c r="P11" s="21" t="str">
        <f>IF(ISNUMBER('IAP data'!P11),('IAP data'!P11/'Des IAP AFR'!P11)-1,"")</f>
        <v/>
      </c>
      <c r="Q11" s="21" t="str">
        <f>IF(ISNUMBER('IAP data'!Q11),('IAP data'!Q11/'Des IAP AFR'!Q11)-1,"")</f>
        <v/>
      </c>
      <c r="R11" s="21" t="str">
        <f>IF(ISNUMBER('IAP data'!R11),('IAP data'!R11/'Des IAP AFR'!R11)-1,"")</f>
        <v/>
      </c>
      <c r="S11" s="21" t="str">
        <f>IF(ISNUMBER('IAP data'!S11),('IAP data'!S11/'Des IAP AFR'!S11)-1,"")</f>
        <v/>
      </c>
      <c r="T11" s="21" t="str">
        <f>IF(ISNUMBER('IAP data'!T11),('IAP data'!T11/'Des IAP AFR'!T11)-1,"")</f>
        <v/>
      </c>
      <c r="U11" s="21" t="str">
        <f>IF(ISNUMBER('IAP data'!U11),('IAP data'!U11/'Des IAP AFR'!U11)-1,"")</f>
        <v/>
      </c>
      <c r="V11" s="21" t="str">
        <f>IF(ISNUMBER('IAP data'!V11),('IAP data'!V11/'Des IAP AFR'!V11)-1,"")</f>
        <v/>
      </c>
    </row>
    <row r="12" spans="1:22" x14ac:dyDescent="0.25">
      <c r="A12" s="15">
        <v>2800</v>
      </c>
      <c r="B12" s="21" t="str">
        <f>IF(ISNUMBER('IAP data'!B12),('IAP data'!B12/'Des IAP AFR'!B12)-1,"")</f>
        <v/>
      </c>
      <c r="C12" s="21" t="str">
        <f>IF(ISNUMBER('IAP data'!C12),('IAP data'!C12/'Des IAP AFR'!C12)-1,"")</f>
        <v/>
      </c>
      <c r="D12" s="21" t="str">
        <f>IF(ISNUMBER('IAP data'!D12),('IAP data'!D12/'Des IAP AFR'!D12)-1,"")</f>
        <v/>
      </c>
      <c r="E12" s="21" t="str">
        <f>IF(ISNUMBER('IAP data'!E12),('IAP data'!E12/'Des IAP AFR'!E12)-1,"")</f>
        <v/>
      </c>
      <c r="F12" s="21" t="str">
        <f>IF(ISNUMBER('IAP data'!F12),('IAP data'!F12/'Des IAP AFR'!F12)-1,"")</f>
        <v/>
      </c>
      <c r="G12" s="21" t="str">
        <f>IF(ISNUMBER('IAP data'!G12),('IAP data'!G12/'Des IAP AFR'!G12)-1,"")</f>
        <v/>
      </c>
      <c r="H12" s="21" t="str">
        <f>IF(ISNUMBER('IAP data'!H12),('IAP data'!H12/'Des IAP AFR'!H12)-1,"")</f>
        <v/>
      </c>
      <c r="I12" s="21" t="str">
        <f>IF(ISNUMBER('IAP data'!I12),('IAP data'!I12/'Des IAP AFR'!I12)-1,"")</f>
        <v/>
      </c>
      <c r="J12" s="21" t="str">
        <f>IF(ISNUMBER('IAP data'!J12),('IAP data'!J12/'Des IAP AFR'!J12)-1,"")</f>
        <v/>
      </c>
      <c r="K12" s="21" t="str">
        <f>IF(ISNUMBER('IAP data'!K12),('IAP data'!K12/'Des IAP AFR'!K12)-1,"")</f>
        <v/>
      </c>
      <c r="L12" s="21" t="str">
        <f>IF(ISNUMBER('IAP data'!L12),('IAP data'!L12/'Des IAP AFR'!L12)-1,"")</f>
        <v/>
      </c>
      <c r="M12" s="21" t="str">
        <f>IF(ISNUMBER('IAP data'!M12),('IAP data'!M12/'Des IAP AFR'!M12)-1,"")</f>
        <v/>
      </c>
      <c r="N12" s="21" t="str">
        <f>IF(ISNUMBER('IAP data'!N12),('IAP data'!N12/'Des IAP AFR'!N12)-1,"")</f>
        <v/>
      </c>
      <c r="O12" s="21" t="str">
        <f>IF(ISNUMBER('IAP data'!O12),('IAP data'!O12/'Des IAP AFR'!O12)-1,"")</f>
        <v/>
      </c>
      <c r="P12" s="21" t="str">
        <f>IF(ISNUMBER('IAP data'!P12),('IAP data'!P12/'Des IAP AFR'!P12)-1,"")</f>
        <v/>
      </c>
      <c r="Q12" s="21" t="str">
        <f>IF(ISNUMBER('IAP data'!Q12),('IAP data'!Q12/'Des IAP AFR'!Q12)-1,"")</f>
        <v/>
      </c>
      <c r="R12" s="21" t="str">
        <f>IF(ISNUMBER('IAP data'!R12),('IAP data'!R12/'Des IAP AFR'!R12)-1,"")</f>
        <v/>
      </c>
      <c r="S12" s="21" t="str">
        <f>IF(ISNUMBER('IAP data'!S12),('IAP data'!S12/'Des IAP AFR'!S12)-1,"")</f>
        <v/>
      </c>
      <c r="T12" s="21" t="str">
        <f>IF(ISNUMBER('IAP data'!T12),('IAP data'!T12/'Des IAP AFR'!T12)-1,"")</f>
        <v/>
      </c>
      <c r="U12" s="21" t="str">
        <f>IF(ISNUMBER('IAP data'!U12),('IAP data'!U12/'Des IAP AFR'!U12)-1,"")</f>
        <v/>
      </c>
      <c r="V12" s="21" t="str">
        <f>IF(ISNUMBER('IAP data'!V12),('IAP data'!V12/'Des IAP AFR'!V12)-1,"")</f>
        <v/>
      </c>
    </row>
    <row r="13" spans="1:22" x14ac:dyDescent="0.25">
      <c r="A13" s="15">
        <v>3000</v>
      </c>
      <c r="B13" s="21" t="str">
        <f>IF(ISNUMBER('IAP data'!B13),('IAP data'!B13/'Des IAP AFR'!B13)-1,"")</f>
        <v/>
      </c>
      <c r="C13" s="21" t="str">
        <f>IF(ISNUMBER('IAP data'!C13),('IAP data'!C13/'Des IAP AFR'!C13)-1,"")</f>
        <v/>
      </c>
      <c r="D13" s="21" t="str">
        <f>IF(ISNUMBER('IAP data'!D13),('IAP data'!D13/'Des IAP AFR'!D13)-1,"")</f>
        <v/>
      </c>
      <c r="E13" s="21" t="str">
        <f>IF(ISNUMBER('IAP data'!E13),('IAP data'!E13/'Des IAP AFR'!E13)-1,"")</f>
        <v/>
      </c>
      <c r="F13" s="21" t="str">
        <f>IF(ISNUMBER('IAP data'!F13),('IAP data'!F13/'Des IAP AFR'!F13)-1,"")</f>
        <v/>
      </c>
      <c r="G13" s="21" t="str">
        <f>IF(ISNUMBER('IAP data'!G13),('IAP data'!G13/'Des IAP AFR'!G13)-1,"")</f>
        <v/>
      </c>
      <c r="H13" s="21" t="str">
        <f>IF(ISNUMBER('IAP data'!H13),('IAP data'!H13/'Des IAP AFR'!H13)-1,"")</f>
        <v/>
      </c>
      <c r="I13" s="21" t="str">
        <f>IF(ISNUMBER('IAP data'!I13),('IAP data'!I13/'Des IAP AFR'!I13)-1,"")</f>
        <v/>
      </c>
      <c r="J13" s="21" t="str">
        <f>IF(ISNUMBER('IAP data'!J13),('IAP data'!J13/'Des IAP AFR'!J13)-1,"")</f>
        <v/>
      </c>
      <c r="K13" s="21" t="str">
        <f>IF(ISNUMBER('IAP data'!K13),('IAP data'!K13/'Des IAP AFR'!K13)-1,"")</f>
        <v/>
      </c>
      <c r="L13" s="21" t="str">
        <f>IF(ISNUMBER('IAP data'!L13),('IAP data'!L13/'Des IAP AFR'!L13)-1,"")</f>
        <v/>
      </c>
      <c r="M13" s="21" t="str">
        <f>IF(ISNUMBER('IAP data'!M13),('IAP data'!M13/'Des IAP AFR'!M13)-1,"")</f>
        <v/>
      </c>
      <c r="N13" s="21" t="str">
        <f>IF(ISNUMBER('IAP data'!N13),('IAP data'!N13/'Des IAP AFR'!N13)-1,"")</f>
        <v/>
      </c>
      <c r="O13" s="21" t="str">
        <f>IF(ISNUMBER('IAP data'!O13),('IAP data'!O13/'Des IAP AFR'!O13)-1,"")</f>
        <v/>
      </c>
      <c r="P13" s="21" t="str">
        <f>IF(ISNUMBER('IAP data'!P13),('IAP data'!P13/'Des IAP AFR'!P13)-1,"")</f>
        <v/>
      </c>
      <c r="Q13" s="21" t="str">
        <f>IF(ISNUMBER('IAP data'!Q13),('IAP data'!Q13/'Des IAP AFR'!Q13)-1,"")</f>
        <v/>
      </c>
      <c r="R13" s="21" t="str">
        <f>IF(ISNUMBER('IAP data'!R13),('IAP data'!R13/'Des IAP AFR'!R13)-1,"")</f>
        <v/>
      </c>
      <c r="S13" s="21" t="str">
        <f>IF(ISNUMBER('IAP data'!S13),('IAP data'!S13/'Des IAP AFR'!S13)-1,"")</f>
        <v/>
      </c>
      <c r="T13" s="21" t="str">
        <f>IF(ISNUMBER('IAP data'!T13),('IAP data'!T13/'Des IAP AFR'!T13)-1,"")</f>
        <v/>
      </c>
      <c r="U13" s="21" t="str">
        <f>IF(ISNUMBER('IAP data'!U13),('IAP data'!U13/'Des IAP AFR'!U13)-1,"")</f>
        <v/>
      </c>
      <c r="V13" s="21" t="str">
        <f>IF(ISNUMBER('IAP data'!V13),('IAP data'!V13/'Des IAP AFR'!V13)-1,"")</f>
        <v/>
      </c>
    </row>
    <row r="14" spans="1:22" x14ac:dyDescent="0.25">
      <c r="A14" s="15">
        <v>3200</v>
      </c>
      <c r="B14" s="21" t="str">
        <f>IF(ISNUMBER('IAP data'!B14),('IAP data'!B14/'Des IAP AFR'!B14)-1,"")</f>
        <v/>
      </c>
      <c r="C14" s="21" t="str">
        <f>IF(ISNUMBER('IAP data'!C14),('IAP data'!C14/'Des IAP AFR'!C14)-1,"")</f>
        <v/>
      </c>
      <c r="D14" s="21" t="str">
        <f>IF(ISNUMBER('IAP data'!D14),('IAP data'!D14/'Des IAP AFR'!D14)-1,"")</f>
        <v/>
      </c>
      <c r="E14" s="21" t="str">
        <f>IF(ISNUMBER('IAP data'!E14),('IAP data'!E14/'Des IAP AFR'!E14)-1,"")</f>
        <v/>
      </c>
      <c r="F14" s="21" t="str">
        <f>IF(ISNUMBER('IAP data'!F14),('IAP data'!F14/'Des IAP AFR'!F14)-1,"")</f>
        <v/>
      </c>
      <c r="G14" s="21" t="str">
        <f>IF(ISNUMBER('IAP data'!G14),('IAP data'!G14/'Des IAP AFR'!G14)-1,"")</f>
        <v/>
      </c>
      <c r="H14" s="21" t="str">
        <f>IF(ISNUMBER('IAP data'!H14),('IAP data'!H14/'Des IAP AFR'!H14)-1,"")</f>
        <v/>
      </c>
      <c r="I14" s="21" t="str">
        <f>IF(ISNUMBER('IAP data'!I14),('IAP data'!I14/'Des IAP AFR'!I14)-1,"")</f>
        <v/>
      </c>
      <c r="J14" s="21" t="str">
        <f>IF(ISNUMBER('IAP data'!J14),('IAP data'!J14/'Des IAP AFR'!J14)-1,"")</f>
        <v/>
      </c>
      <c r="K14" s="21" t="str">
        <f>IF(ISNUMBER('IAP data'!K14),('IAP data'!K14/'Des IAP AFR'!K14)-1,"")</f>
        <v/>
      </c>
      <c r="L14" s="21" t="str">
        <f>IF(ISNUMBER('IAP data'!L14),('IAP data'!L14/'Des IAP AFR'!L14)-1,"")</f>
        <v/>
      </c>
      <c r="M14" s="21" t="str">
        <f>IF(ISNUMBER('IAP data'!M14),('IAP data'!M14/'Des IAP AFR'!M14)-1,"")</f>
        <v/>
      </c>
      <c r="N14" s="21" t="str">
        <f>IF(ISNUMBER('IAP data'!N14),('IAP data'!N14/'Des IAP AFR'!N14)-1,"")</f>
        <v/>
      </c>
      <c r="O14" s="21" t="str">
        <f>IF(ISNUMBER('IAP data'!O14),('IAP data'!O14/'Des IAP AFR'!O14)-1,"")</f>
        <v/>
      </c>
      <c r="P14" s="21" t="str">
        <f>IF(ISNUMBER('IAP data'!P14),('IAP data'!P14/'Des IAP AFR'!P14)-1,"")</f>
        <v/>
      </c>
      <c r="Q14" s="21" t="str">
        <f>IF(ISNUMBER('IAP data'!Q14),('IAP data'!Q14/'Des IAP AFR'!Q14)-1,"")</f>
        <v/>
      </c>
      <c r="R14" s="21" t="str">
        <f>IF(ISNUMBER('IAP data'!R14),('IAP data'!R14/'Des IAP AFR'!R14)-1,"")</f>
        <v/>
      </c>
      <c r="S14" s="21" t="str">
        <f>IF(ISNUMBER('IAP data'!S14),('IAP data'!S14/'Des IAP AFR'!S14)-1,"")</f>
        <v/>
      </c>
      <c r="T14" s="21" t="str">
        <f>IF(ISNUMBER('IAP data'!T14),('IAP data'!T14/'Des IAP AFR'!T14)-1,"")</f>
        <v/>
      </c>
      <c r="U14" s="21" t="str">
        <f>IF(ISNUMBER('IAP data'!U14),('IAP data'!U14/'Des IAP AFR'!U14)-1,"")</f>
        <v/>
      </c>
      <c r="V14" s="21" t="str">
        <f>IF(ISNUMBER('IAP data'!V14),('IAP data'!V14/'Des IAP AFR'!V14)-1,"")</f>
        <v/>
      </c>
    </row>
    <row r="15" spans="1:22" x14ac:dyDescent="0.25">
      <c r="A15" s="15">
        <v>3400</v>
      </c>
      <c r="B15" s="21" t="str">
        <f>IF(ISNUMBER('IAP data'!B15),('IAP data'!B15/'Des IAP AFR'!B15)-1,"")</f>
        <v/>
      </c>
      <c r="C15" s="21" t="str">
        <f>IF(ISNUMBER('IAP data'!C15),('IAP data'!C15/'Des IAP AFR'!C15)-1,"")</f>
        <v/>
      </c>
      <c r="D15" s="21" t="str">
        <f>IF(ISNUMBER('IAP data'!D15),('IAP data'!D15/'Des IAP AFR'!D15)-1,"")</f>
        <v/>
      </c>
      <c r="E15" s="21" t="str">
        <f>IF(ISNUMBER('IAP data'!E15),('IAP data'!E15/'Des IAP AFR'!E15)-1,"")</f>
        <v/>
      </c>
      <c r="F15" s="21" t="str">
        <f>IF(ISNUMBER('IAP data'!F15),('IAP data'!F15/'Des IAP AFR'!F15)-1,"")</f>
        <v/>
      </c>
      <c r="G15" s="21" t="str">
        <f>IF(ISNUMBER('IAP data'!G15),('IAP data'!G15/'Des IAP AFR'!G15)-1,"")</f>
        <v/>
      </c>
      <c r="H15" s="21" t="str">
        <f>IF(ISNUMBER('IAP data'!H15),('IAP data'!H15/'Des IAP AFR'!H15)-1,"")</f>
        <v/>
      </c>
      <c r="I15" s="21" t="str">
        <f>IF(ISNUMBER('IAP data'!I15),('IAP data'!I15/'Des IAP AFR'!I15)-1,"")</f>
        <v/>
      </c>
      <c r="J15" s="21" t="str">
        <f>IF(ISNUMBER('IAP data'!J15),('IAP data'!J15/'Des IAP AFR'!J15)-1,"")</f>
        <v/>
      </c>
      <c r="K15" s="21" t="str">
        <f>IF(ISNUMBER('IAP data'!K15),('IAP data'!K15/'Des IAP AFR'!K15)-1,"")</f>
        <v/>
      </c>
      <c r="L15" s="21" t="str">
        <f>IF(ISNUMBER('IAP data'!L15),('IAP data'!L15/'Des IAP AFR'!L15)-1,"")</f>
        <v/>
      </c>
      <c r="M15" s="21" t="str">
        <f>IF(ISNUMBER('IAP data'!M15),('IAP data'!M15/'Des IAP AFR'!M15)-1,"")</f>
        <v/>
      </c>
      <c r="N15" s="21" t="str">
        <f>IF(ISNUMBER('IAP data'!N15),('IAP data'!N15/'Des IAP AFR'!N15)-1,"")</f>
        <v/>
      </c>
      <c r="O15" s="21" t="str">
        <f>IF(ISNUMBER('IAP data'!O15),('IAP data'!O15/'Des IAP AFR'!O15)-1,"")</f>
        <v/>
      </c>
      <c r="P15" s="21" t="str">
        <f>IF(ISNUMBER('IAP data'!P15),('IAP data'!P15/'Des IAP AFR'!P15)-1,"")</f>
        <v/>
      </c>
      <c r="Q15" s="21" t="str">
        <f>IF(ISNUMBER('IAP data'!Q15),('IAP data'!Q15/'Des IAP AFR'!Q15)-1,"")</f>
        <v/>
      </c>
      <c r="R15" s="21" t="str">
        <f>IF(ISNUMBER('IAP data'!R15),('IAP data'!R15/'Des IAP AFR'!R15)-1,"")</f>
        <v/>
      </c>
      <c r="S15" s="21" t="str">
        <f>IF(ISNUMBER('IAP data'!S15),('IAP data'!S15/'Des IAP AFR'!S15)-1,"")</f>
        <v/>
      </c>
      <c r="T15" s="21" t="str">
        <f>IF(ISNUMBER('IAP data'!T15),('IAP data'!T15/'Des IAP AFR'!T15)-1,"")</f>
        <v/>
      </c>
      <c r="U15" s="21" t="str">
        <f>IF(ISNUMBER('IAP data'!U15),('IAP data'!U15/'Des IAP AFR'!U15)-1,"")</f>
        <v/>
      </c>
      <c r="V15" s="21" t="str">
        <f>IF(ISNUMBER('IAP data'!V15),('IAP data'!V15/'Des IAP AFR'!V15)-1,"")</f>
        <v/>
      </c>
    </row>
    <row r="16" spans="1:22" x14ac:dyDescent="0.25">
      <c r="A16" s="15">
        <v>3600</v>
      </c>
      <c r="B16" s="21" t="str">
        <f>IF(ISNUMBER('IAP data'!B16),('IAP data'!B16/'Des IAP AFR'!B16)-1,"")</f>
        <v/>
      </c>
      <c r="C16" s="21" t="str">
        <f>IF(ISNUMBER('IAP data'!C16),('IAP data'!C16/'Des IAP AFR'!C16)-1,"")</f>
        <v/>
      </c>
      <c r="D16" s="21" t="str">
        <f>IF(ISNUMBER('IAP data'!D16),('IAP data'!D16/'Des IAP AFR'!D16)-1,"")</f>
        <v/>
      </c>
      <c r="E16" s="21" t="str">
        <f>IF(ISNUMBER('IAP data'!E16),('IAP data'!E16/'Des IAP AFR'!E16)-1,"")</f>
        <v/>
      </c>
      <c r="F16" s="21" t="str">
        <f>IF(ISNUMBER('IAP data'!F16),('IAP data'!F16/'Des IAP AFR'!F16)-1,"")</f>
        <v/>
      </c>
      <c r="G16" s="21" t="str">
        <f>IF(ISNUMBER('IAP data'!G16),('IAP data'!G16/'Des IAP AFR'!G16)-1,"")</f>
        <v/>
      </c>
      <c r="H16" s="21" t="str">
        <f>IF(ISNUMBER('IAP data'!H16),('IAP data'!H16/'Des IAP AFR'!H16)-1,"")</f>
        <v/>
      </c>
      <c r="I16" s="21" t="str">
        <f>IF(ISNUMBER('IAP data'!I16),('IAP data'!I16/'Des IAP AFR'!I16)-1,"")</f>
        <v/>
      </c>
      <c r="J16" s="21" t="str">
        <f>IF(ISNUMBER('IAP data'!J16),('IAP data'!J16/'Des IAP AFR'!J16)-1,"")</f>
        <v/>
      </c>
      <c r="K16" s="21" t="str">
        <f>IF(ISNUMBER('IAP data'!K16),('IAP data'!K16/'Des IAP AFR'!K16)-1,"")</f>
        <v/>
      </c>
      <c r="L16" s="21" t="str">
        <f>IF(ISNUMBER('IAP data'!L16),('IAP data'!L16/'Des IAP AFR'!L16)-1,"")</f>
        <v/>
      </c>
      <c r="M16" s="21" t="str">
        <f>IF(ISNUMBER('IAP data'!M16),('IAP data'!M16/'Des IAP AFR'!M16)-1,"")</f>
        <v/>
      </c>
      <c r="N16" s="21" t="str">
        <f>IF(ISNUMBER('IAP data'!N16),('IAP data'!N16/'Des IAP AFR'!N16)-1,"")</f>
        <v/>
      </c>
      <c r="O16" s="21" t="str">
        <f>IF(ISNUMBER('IAP data'!O16),('IAP data'!O16/'Des IAP AFR'!O16)-1,"")</f>
        <v/>
      </c>
      <c r="P16" s="21" t="str">
        <f>IF(ISNUMBER('IAP data'!P16),('IAP data'!P16/'Des IAP AFR'!P16)-1,"")</f>
        <v/>
      </c>
      <c r="Q16" s="21" t="str">
        <f>IF(ISNUMBER('IAP data'!Q16),('IAP data'!Q16/'Des IAP AFR'!Q16)-1,"")</f>
        <v/>
      </c>
      <c r="R16" s="21" t="str">
        <f>IF(ISNUMBER('IAP data'!R16),('IAP data'!R16/'Des IAP AFR'!R16)-1,"")</f>
        <v/>
      </c>
      <c r="S16" s="21" t="str">
        <f>IF(ISNUMBER('IAP data'!S16),('IAP data'!S16/'Des IAP AFR'!S16)-1,"")</f>
        <v/>
      </c>
      <c r="T16" s="21" t="str">
        <f>IF(ISNUMBER('IAP data'!T16),('IAP data'!T16/'Des IAP AFR'!T16)-1,"")</f>
        <v/>
      </c>
      <c r="U16" s="21" t="str">
        <f>IF(ISNUMBER('IAP data'!U16),('IAP data'!U16/'Des IAP AFR'!U16)-1,"")</f>
        <v/>
      </c>
      <c r="V16" s="21" t="str">
        <f>IF(ISNUMBER('IAP data'!V16),('IAP data'!V16/'Des IAP AFR'!V16)-1,"")</f>
        <v/>
      </c>
    </row>
    <row r="17" spans="1:22" x14ac:dyDescent="0.25">
      <c r="A17" s="15">
        <v>3800</v>
      </c>
      <c r="B17" s="21" t="str">
        <f>IF(ISNUMBER('IAP data'!B17),('IAP data'!B17/'Des IAP AFR'!B17)-1,"")</f>
        <v/>
      </c>
      <c r="C17" s="21" t="str">
        <f>IF(ISNUMBER('IAP data'!C17),('IAP data'!C17/'Des IAP AFR'!C17)-1,"")</f>
        <v/>
      </c>
      <c r="D17" s="21" t="str">
        <f>IF(ISNUMBER('IAP data'!D17),('IAP data'!D17/'Des IAP AFR'!D17)-1,"")</f>
        <v/>
      </c>
      <c r="E17" s="21" t="str">
        <f>IF(ISNUMBER('IAP data'!E17),('IAP data'!E17/'Des IAP AFR'!E17)-1,"")</f>
        <v/>
      </c>
      <c r="F17" s="21" t="str">
        <f>IF(ISNUMBER('IAP data'!F17),('IAP data'!F17/'Des IAP AFR'!F17)-1,"")</f>
        <v/>
      </c>
      <c r="G17" s="21" t="str">
        <f>IF(ISNUMBER('IAP data'!G17),('IAP data'!G17/'Des IAP AFR'!G17)-1,"")</f>
        <v/>
      </c>
      <c r="H17" s="21" t="str">
        <f>IF(ISNUMBER('IAP data'!H17),('IAP data'!H17/'Des IAP AFR'!H17)-1,"")</f>
        <v/>
      </c>
      <c r="I17" s="21" t="str">
        <f>IF(ISNUMBER('IAP data'!I17),('IAP data'!I17/'Des IAP AFR'!I17)-1,"")</f>
        <v/>
      </c>
      <c r="J17" s="21" t="str">
        <f>IF(ISNUMBER('IAP data'!J17),('IAP data'!J17/'Des IAP AFR'!J17)-1,"")</f>
        <v/>
      </c>
      <c r="K17" s="21" t="str">
        <f>IF(ISNUMBER('IAP data'!K17),('IAP data'!K17/'Des IAP AFR'!K17)-1,"")</f>
        <v/>
      </c>
      <c r="L17" s="21" t="str">
        <f>IF(ISNUMBER('IAP data'!L17),('IAP data'!L17/'Des IAP AFR'!L17)-1,"")</f>
        <v/>
      </c>
      <c r="M17" s="21" t="str">
        <f>IF(ISNUMBER('IAP data'!M17),('IAP data'!M17/'Des IAP AFR'!M17)-1,"")</f>
        <v/>
      </c>
      <c r="N17" s="21" t="str">
        <f>IF(ISNUMBER('IAP data'!N17),('IAP data'!N17/'Des IAP AFR'!N17)-1,"")</f>
        <v/>
      </c>
      <c r="O17" s="21" t="str">
        <f>IF(ISNUMBER('IAP data'!O17),('IAP data'!O17/'Des IAP AFR'!O17)-1,"")</f>
        <v/>
      </c>
      <c r="P17" s="21" t="str">
        <f>IF(ISNUMBER('IAP data'!P17),('IAP data'!P17/'Des IAP AFR'!P17)-1,"")</f>
        <v/>
      </c>
      <c r="Q17" s="21" t="str">
        <f>IF(ISNUMBER('IAP data'!Q17),('IAP data'!Q17/'Des IAP AFR'!Q17)-1,"")</f>
        <v/>
      </c>
      <c r="R17" s="21" t="str">
        <f>IF(ISNUMBER('IAP data'!R17),('IAP data'!R17/'Des IAP AFR'!R17)-1,"")</f>
        <v/>
      </c>
      <c r="S17" s="21" t="str">
        <f>IF(ISNUMBER('IAP data'!S17),('IAP data'!S17/'Des IAP AFR'!S17)-1,"")</f>
        <v/>
      </c>
      <c r="T17" s="21" t="str">
        <f>IF(ISNUMBER('IAP data'!T17),('IAP data'!T17/'Des IAP AFR'!T17)-1,"")</f>
        <v/>
      </c>
      <c r="U17" s="21" t="str">
        <f>IF(ISNUMBER('IAP data'!U17),('IAP data'!U17/'Des IAP AFR'!U17)-1,"")</f>
        <v/>
      </c>
      <c r="V17" s="21" t="str">
        <f>IF(ISNUMBER('IAP data'!V17),('IAP data'!V17/'Des IAP AFR'!V17)-1,"")</f>
        <v/>
      </c>
    </row>
    <row r="18" spans="1:22" x14ac:dyDescent="0.25">
      <c r="A18" s="15">
        <v>4000</v>
      </c>
      <c r="B18" s="21" t="str">
        <f>IF(ISNUMBER('IAP data'!B18),('IAP data'!B18/'Des IAP AFR'!B18)-1,"")</f>
        <v/>
      </c>
      <c r="C18" s="21" t="str">
        <f>IF(ISNUMBER('IAP data'!C18),('IAP data'!C18/'Des IAP AFR'!C18)-1,"")</f>
        <v/>
      </c>
      <c r="D18" s="21" t="str">
        <f>IF(ISNUMBER('IAP data'!D18),('IAP data'!D18/'Des IAP AFR'!D18)-1,"")</f>
        <v/>
      </c>
      <c r="E18" s="21" t="str">
        <f>IF(ISNUMBER('IAP data'!E18),('IAP data'!E18/'Des IAP AFR'!E18)-1,"")</f>
        <v/>
      </c>
      <c r="F18" s="21" t="str">
        <f>IF(ISNUMBER('IAP data'!F18),('IAP data'!F18/'Des IAP AFR'!F18)-1,"")</f>
        <v/>
      </c>
      <c r="G18" s="21" t="str">
        <f>IF(ISNUMBER('IAP data'!G18),('IAP data'!G18/'Des IAP AFR'!G18)-1,"")</f>
        <v/>
      </c>
      <c r="H18" s="21" t="str">
        <f>IF(ISNUMBER('IAP data'!H18),('IAP data'!H18/'Des IAP AFR'!H18)-1,"")</f>
        <v/>
      </c>
      <c r="I18" s="21" t="str">
        <f>IF(ISNUMBER('IAP data'!I18),('IAP data'!I18/'Des IAP AFR'!I18)-1,"")</f>
        <v/>
      </c>
      <c r="J18" s="21" t="str">
        <f>IF(ISNUMBER('IAP data'!J18),('IAP data'!J18/'Des IAP AFR'!J18)-1,"")</f>
        <v/>
      </c>
      <c r="K18" s="21" t="str">
        <f>IF(ISNUMBER('IAP data'!K18),('IAP data'!K18/'Des IAP AFR'!K18)-1,"")</f>
        <v/>
      </c>
      <c r="L18" s="21" t="str">
        <f>IF(ISNUMBER('IAP data'!L18),('IAP data'!L18/'Des IAP AFR'!L18)-1,"")</f>
        <v/>
      </c>
      <c r="M18" s="21" t="str">
        <f>IF(ISNUMBER('IAP data'!M18),('IAP data'!M18/'Des IAP AFR'!M18)-1,"")</f>
        <v/>
      </c>
      <c r="N18" s="21" t="str">
        <f>IF(ISNUMBER('IAP data'!N18),('IAP data'!N18/'Des IAP AFR'!N18)-1,"")</f>
        <v/>
      </c>
      <c r="O18" s="21" t="str">
        <f>IF(ISNUMBER('IAP data'!O18),('IAP data'!O18/'Des IAP AFR'!O18)-1,"")</f>
        <v/>
      </c>
      <c r="P18" s="21" t="str">
        <f>IF(ISNUMBER('IAP data'!P18),('IAP data'!P18/'Des IAP AFR'!P18)-1,"")</f>
        <v/>
      </c>
      <c r="Q18" s="21" t="str">
        <f>IF(ISNUMBER('IAP data'!Q18),('IAP data'!Q18/'Des IAP AFR'!Q18)-1,"")</f>
        <v/>
      </c>
      <c r="R18" s="21" t="str">
        <f>IF(ISNUMBER('IAP data'!R18),('IAP data'!R18/'Des IAP AFR'!R18)-1,"")</f>
        <v/>
      </c>
      <c r="S18" s="21" t="str">
        <f>IF(ISNUMBER('IAP data'!S18),('IAP data'!S18/'Des IAP AFR'!S18)-1,"")</f>
        <v/>
      </c>
      <c r="T18" s="21" t="str">
        <f>IF(ISNUMBER('IAP data'!T18),('IAP data'!T18/'Des IAP AFR'!T18)-1,"")</f>
        <v/>
      </c>
      <c r="U18" s="21" t="str">
        <f>IF(ISNUMBER('IAP data'!U18),('IAP data'!U18/'Des IAP AFR'!U18)-1,"")</f>
        <v/>
      </c>
      <c r="V18" s="21" t="str">
        <f>IF(ISNUMBER('IAP data'!V18),('IAP data'!V18/'Des IAP AFR'!V18)-1,"")</f>
        <v/>
      </c>
    </row>
    <row r="19" spans="1:22" x14ac:dyDescent="0.25">
      <c r="A19" s="15">
        <v>4200</v>
      </c>
      <c r="B19" s="21" t="str">
        <f>IF(ISNUMBER('IAP data'!B19),('IAP data'!B19/'Des IAP AFR'!B19)-1,"")</f>
        <v/>
      </c>
      <c r="C19" s="21" t="str">
        <f>IF(ISNUMBER('IAP data'!C19),('IAP data'!C19/'Des IAP AFR'!C19)-1,"")</f>
        <v/>
      </c>
      <c r="D19" s="21" t="str">
        <f>IF(ISNUMBER('IAP data'!D19),('IAP data'!D19/'Des IAP AFR'!D19)-1,"")</f>
        <v/>
      </c>
      <c r="E19" s="21" t="str">
        <f>IF(ISNUMBER('IAP data'!E19),('IAP data'!E19/'Des IAP AFR'!E19)-1,"")</f>
        <v/>
      </c>
      <c r="F19" s="21" t="str">
        <f>IF(ISNUMBER('IAP data'!F19),('IAP data'!F19/'Des IAP AFR'!F19)-1,"")</f>
        <v/>
      </c>
      <c r="G19" s="21" t="str">
        <f>IF(ISNUMBER('IAP data'!G19),('IAP data'!G19/'Des IAP AFR'!G19)-1,"")</f>
        <v/>
      </c>
      <c r="H19" s="21" t="str">
        <f>IF(ISNUMBER('IAP data'!H19),('IAP data'!H19/'Des IAP AFR'!H19)-1,"")</f>
        <v/>
      </c>
      <c r="I19" s="21" t="str">
        <f>IF(ISNUMBER('IAP data'!I19),('IAP data'!I19/'Des IAP AFR'!I19)-1,"")</f>
        <v/>
      </c>
      <c r="J19" s="21" t="str">
        <f>IF(ISNUMBER('IAP data'!J19),('IAP data'!J19/'Des IAP AFR'!J19)-1,"")</f>
        <v/>
      </c>
      <c r="K19" s="21" t="str">
        <f>IF(ISNUMBER('IAP data'!K19),('IAP data'!K19/'Des IAP AFR'!K19)-1,"")</f>
        <v/>
      </c>
      <c r="L19" s="21" t="str">
        <f>IF(ISNUMBER('IAP data'!L19),('IAP data'!L19/'Des IAP AFR'!L19)-1,"")</f>
        <v/>
      </c>
      <c r="M19" s="21" t="str">
        <f>IF(ISNUMBER('IAP data'!M19),('IAP data'!M19/'Des IAP AFR'!M19)-1,"")</f>
        <v/>
      </c>
      <c r="N19" s="21" t="str">
        <f>IF(ISNUMBER('IAP data'!N19),('IAP data'!N19/'Des IAP AFR'!N19)-1,"")</f>
        <v/>
      </c>
      <c r="O19" s="21" t="str">
        <f>IF(ISNUMBER('IAP data'!O19),('IAP data'!O19/'Des IAP AFR'!O19)-1,"")</f>
        <v/>
      </c>
      <c r="P19" s="21" t="str">
        <f>IF(ISNUMBER('IAP data'!P19),('IAP data'!P19/'Des IAP AFR'!P19)-1,"")</f>
        <v/>
      </c>
      <c r="Q19" s="21" t="str">
        <f>IF(ISNUMBER('IAP data'!Q19),('IAP data'!Q19/'Des IAP AFR'!Q19)-1,"")</f>
        <v/>
      </c>
      <c r="R19" s="21" t="str">
        <f>IF(ISNUMBER('IAP data'!R19),('IAP data'!R19/'Des IAP AFR'!R19)-1,"")</f>
        <v/>
      </c>
      <c r="S19" s="21" t="str">
        <f>IF(ISNUMBER('IAP data'!S19),('IAP data'!S19/'Des IAP AFR'!S19)-1,"")</f>
        <v/>
      </c>
      <c r="T19" s="21" t="str">
        <f>IF(ISNUMBER('IAP data'!T19),('IAP data'!T19/'Des IAP AFR'!T19)-1,"")</f>
        <v/>
      </c>
      <c r="U19" s="21" t="str">
        <f>IF(ISNUMBER('IAP data'!U19),('IAP data'!U19/'Des IAP AFR'!U19)-1,"")</f>
        <v/>
      </c>
      <c r="V19" s="21" t="str">
        <f>IF(ISNUMBER('IAP data'!V19),('IAP data'!V19/'Des IAP AFR'!V19)-1,"")</f>
        <v/>
      </c>
    </row>
    <row r="20" spans="1:22" x14ac:dyDescent="0.25">
      <c r="A20" s="15">
        <v>4400</v>
      </c>
      <c r="B20" s="21" t="str">
        <f>IF(ISNUMBER('IAP data'!B20),('IAP data'!B20/'Des IAP AFR'!B20)-1,"")</f>
        <v/>
      </c>
      <c r="C20" s="21" t="str">
        <f>IF(ISNUMBER('IAP data'!C20),('IAP data'!C20/'Des IAP AFR'!C20)-1,"")</f>
        <v/>
      </c>
      <c r="D20" s="21" t="str">
        <f>IF(ISNUMBER('IAP data'!D20),('IAP data'!D20/'Des IAP AFR'!D20)-1,"")</f>
        <v/>
      </c>
      <c r="E20" s="21" t="str">
        <f>IF(ISNUMBER('IAP data'!E20),('IAP data'!E20/'Des IAP AFR'!E20)-1,"")</f>
        <v/>
      </c>
      <c r="F20" s="21" t="str">
        <f>IF(ISNUMBER('IAP data'!F20),('IAP data'!F20/'Des IAP AFR'!F20)-1,"")</f>
        <v/>
      </c>
      <c r="G20" s="21" t="str">
        <f>IF(ISNUMBER('IAP data'!G20),('IAP data'!G20/'Des IAP AFR'!G20)-1,"")</f>
        <v/>
      </c>
      <c r="H20" s="21" t="str">
        <f>IF(ISNUMBER('IAP data'!H20),('IAP data'!H20/'Des IAP AFR'!H20)-1,"")</f>
        <v/>
      </c>
      <c r="I20" s="21" t="str">
        <f>IF(ISNUMBER('IAP data'!I20),('IAP data'!I20/'Des IAP AFR'!I20)-1,"")</f>
        <v/>
      </c>
      <c r="J20" s="21" t="str">
        <f>IF(ISNUMBER('IAP data'!J20),('IAP data'!J20/'Des IAP AFR'!J20)-1,"")</f>
        <v/>
      </c>
      <c r="K20" s="21" t="str">
        <f>IF(ISNUMBER('IAP data'!K20),('IAP data'!K20/'Des IAP AFR'!K20)-1,"")</f>
        <v/>
      </c>
      <c r="L20" s="21" t="str">
        <f>IF(ISNUMBER('IAP data'!L20),('IAP data'!L20/'Des IAP AFR'!L20)-1,"")</f>
        <v/>
      </c>
      <c r="M20" s="21" t="str">
        <f>IF(ISNUMBER('IAP data'!M20),('IAP data'!M20/'Des IAP AFR'!M20)-1,"")</f>
        <v/>
      </c>
      <c r="N20" s="21" t="str">
        <f>IF(ISNUMBER('IAP data'!N20),('IAP data'!N20/'Des IAP AFR'!N20)-1,"")</f>
        <v/>
      </c>
      <c r="O20" s="21" t="str">
        <f>IF(ISNUMBER('IAP data'!O20),('IAP data'!O20/'Des IAP AFR'!O20)-1,"")</f>
        <v/>
      </c>
      <c r="P20" s="21" t="str">
        <f>IF(ISNUMBER('IAP data'!P20),('IAP data'!P20/'Des IAP AFR'!P20)-1,"")</f>
        <v/>
      </c>
      <c r="Q20" s="21" t="str">
        <f>IF(ISNUMBER('IAP data'!Q20),('IAP data'!Q20/'Des IAP AFR'!Q20)-1,"")</f>
        <v/>
      </c>
      <c r="R20" s="21" t="str">
        <f>IF(ISNUMBER('IAP data'!R20),('IAP data'!R20/'Des IAP AFR'!R20)-1,"")</f>
        <v/>
      </c>
      <c r="S20" s="21" t="str">
        <f>IF(ISNUMBER('IAP data'!S20),('IAP data'!S20/'Des IAP AFR'!S20)-1,"")</f>
        <v/>
      </c>
      <c r="T20" s="21" t="str">
        <f>IF(ISNUMBER('IAP data'!T20),('IAP data'!T20/'Des IAP AFR'!T20)-1,"")</f>
        <v/>
      </c>
      <c r="U20" s="21" t="str">
        <f>IF(ISNUMBER('IAP data'!U20),('IAP data'!U20/'Des IAP AFR'!U20)-1,"")</f>
        <v/>
      </c>
      <c r="V20" s="21" t="str">
        <f>IF(ISNUMBER('IAP data'!V20),('IAP data'!V20/'Des IAP AFR'!V20)-1,"")</f>
        <v/>
      </c>
    </row>
    <row r="21" spans="1:22" x14ac:dyDescent="0.25">
      <c r="A21" s="15">
        <v>4600</v>
      </c>
      <c r="B21" s="21" t="str">
        <f>IF(ISNUMBER('IAP data'!B21),('IAP data'!B21/'Des IAP AFR'!B21)-1,"")</f>
        <v/>
      </c>
      <c r="C21" s="21" t="str">
        <f>IF(ISNUMBER('IAP data'!C21),('IAP data'!C21/'Des IAP AFR'!C21)-1,"")</f>
        <v/>
      </c>
      <c r="D21" s="21" t="str">
        <f>IF(ISNUMBER('IAP data'!D21),('IAP data'!D21/'Des IAP AFR'!D21)-1,"")</f>
        <v/>
      </c>
      <c r="E21" s="21" t="str">
        <f>IF(ISNUMBER('IAP data'!E21),('IAP data'!E21/'Des IAP AFR'!E21)-1,"")</f>
        <v/>
      </c>
      <c r="F21" s="21" t="str">
        <f>IF(ISNUMBER('IAP data'!F21),('IAP data'!F21/'Des IAP AFR'!F21)-1,"")</f>
        <v/>
      </c>
      <c r="G21" s="21" t="str">
        <f>IF(ISNUMBER('IAP data'!G21),('IAP data'!G21/'Des IAP AFR'!G21)-1,"")</f>
        <v/>
      </c>
      <c r="H21" s="21" t="str">
        <f>IF(ISNUMBER('IAP data'!H21),('IAP data'!H21/'Des IAP AFR'!H21)-1,"")</f>
        <v/>
      </c>
      <c r="I21" s="21" t="str">
        <f>IF(ISNUMBER('IAP data'!I21),('IAP data'!I21/'Des IAP AFR'!I21)-1,"")</f>
        <v/>
      </c>
      <c r="J21" s="21" t="str">
        <f>IF(ISNUMBER('IAP data'!J21),('IAP data'!J21/'Des IAP AFR'!J21)-1,"")</f>
        <v/>
      </c>
      <c r="K21" s="21" t="str">
        <f>IF(ISNUMBER('IAP data'!K21),('IAP data'!K21/'Des IAP AFR'!K21)-1,"")</f>
        <v/>
      </c>
      <c r="L21" s="21" t="str">
        <f>IF(ISNUMBER('IAP data'!L21),('IAP data'!L21/'Des IAP AFR'!L21)-1,"")</f>
        <v/>
      </c>
      <c r="M21" s="21" t="str">
        <f>IF(ISNUMBER('IAP data'!M21),('IAP data'!M21/'Des IAP AFR'!M21)-1,"")</f>
        <v/>
      </c>
      <c r="N21" s="21" t="str">
        <f>IF(ISNUMBER('IAP data'!N21),('IAP data'!N21/'Des IAP AFR'!N21)-1,"")</f>
        <v/>
      </c>
      <c r="O21" s="21" t="str">
        <f>IF(ISNUMBER('IAP data'!O21),('IAP data'!O21/'Des IAP AFR'!O21)-1,"")</f>
        <v/>
      </c>
      <c r="P21" s="21" t="str">
        <f>IF(ISNUMBER('IAP data'!P21),('IAP data'!P21/'Des IAP AFR'!P21)-1,"")</f>
        <v/>
      </c>
      <c r="Q21" s="21" t="str">
        <f>IF(ISNUMBER('IAP data'!Q21),('IAP data'!Q21/'Des IAP AFR'!Q21)-1,"")</f>
        <v/>
      </c>
      <c r="R21" s="21" t="str">
        <f>IF(ISNUMBER('IAP data'!R21),('IAP data'!R21/'Des IAP AFR'!R21)-1,"")</f>
        <v/>
      </c>
      <c r="S21" s="21" t="str">
        <f>IF(ISNUMBER('IAP data'!S21),('IAP data'!S21/'Des IAP AFR'!S21)-1,"")</f>
        <v/>
      </c>
      <c r="T21" s="21" t="str">
        <f>IF(ISNUMBER('IAP data'!T21),('IAP data'!T21/'Des IAP AFR'!T21)-1,"")</f>
        <v/>
      </c>
      <c r="U21" s="21" t="str">
        <f>IF(ISNUMBER('IAP data'!U21),('IAP data'!U21/'Des IAP AFR'!U21)-1,"")</f>
        <v/>
      </c>
      <c r="V21" s="21" t="str">
        <f>IF(ISNUMBER('IAP data'!V21),('IAP data'!V21/'Des IAP AFR'!V21)-1,"")</f>
        <v/>
      </c>
    </row>
    <row r="22" spans="1:22" x14ac:dyDescent="0.25">
      <c r="A22" s="15">
        <v>4800</v>
      </c>
      <c r="B22" s="21" t="str">
        <f>IF(ISNUMBER('IAP data'!B22),('IAP data'!B22/'Des IAP AFR'!B22)-1,"")</f>
        <v/>
      </c>
      <c r="C22" s="21" t="str">
        <f>IF(ISNUMBER('IAP data'!C22),('IAP data'!C22/'Des IAP AFR'!C22)-1,"")</f>
        <v/>
      </c>
      <c r="D22" s="21" t="str">
        <f>IF(ISNUMBER('IAP data'!D22),('IAP data'!D22/'Des IAP AFR'!D22)-1,"")</f>
        <v/>
      </c>
      <c r="E22" s="21" t="str">
        <f>IF(ISNUMBER('IAP data'!E22),('IAP data'!E22/'Des IAP AFR'!E22)-1,"")</f>
        <v/>
      </c>
      <c r="F22" s="21" t="str">
        <f>IF(ISNUMBER('IAP data'!F22),('IAP data'!F22/'Des IAP AFR'!F22)-1,"")</f>
        <v/>
      </c>
      <c r="G22" s="21" t="str">
        <f>IF(ISNUMBER('IAP data'!G22),('IAP data'!G22/'Des IAP AFR'!G22)-1,"")</f>
        <v/>
      </c>
      <c r="H22" s="21" t="str">
        <f>IF(ISNUMBER('IAP data'!H22),('IAP data'!H22/'Des IAP AFR'!H22)-1,"")</f>
        <v/>
      </c>
      <c r="I22" s="21" t="str">
        <f>IF(ISNUMBER('IAP data'!I22),('IAP data'!I22/'Des IAP AFR'!I22)-1,"")</f>
        <v/>
      </c>
      <c r="J22" s="21" t="str">
        <f>IF(ISNUMBER('IAP data'!J22),('IAP data'!J22/'Des IAP AFR'!J22)-1,"")</f>
        <v/>
      </c>
      <c r="K22" s="21" t="str">
        <f>IF(ISNUMBER('IAP data'!K22),('IAP data'!K22/'Des IAP AFR'!K22)-1,"")</f>
        <v/>
      </c>
      <c r="L22" s="21" t="str">
        <f>IF(ISNUMBER('IAP data'!L22),('IAP data'!L22/'Des IAP AFR'!L22)-1,"")</f>
        <v/>
      </c>
      <c r="M22" s="21" t="str">
        <f>IF(ISNUMBER('IAP data'!M22),('IAP data'!M22/'Des IAP AFR'!M22)-1,"")</f>
        <v/>
      </c>
      <c r="N22" s="21" t="str">
        <f>IF(ISNUMBER('IAP data'!N22),('IAP data'!N22/'Des IAP AFR'!N22)-1,"")</f>
        <v/>
      </c>
      <c r="O22" s="21" t="str">
        <f>IF(ISNUMBER('IAP data'!O22),('IAP data'!O22/'Des IAP AFR'!O22)-1,"")</f>
        <v/>
      </c>
      <c r="P22" s="21" t="str">
        <f>IF(ISNUMBER('IAP data'!P22),('IAP data'!P22/'Des IAP AFR'!P22)-1,"")</f>
        <v/>
      </c>
      <c r="Q22" s="21" t="str">
        <f>IF(ISNUMBER('IAP data'!Q22),('IAP data'!Q22/'Des IAP AFR'!Q22)-1,"")</f>
        <v/>
      </c>
      <c r="R22" s="21" t="str">
        <f>IF(ISNUMBER('IAP data'!R22),('IAP data'!R22/'Des IAP AFR'!R22)-1,"")</f>
        <v/>
      </c>
      <c r="S22" s="21" t="str">
        <f>IF(ISNUMBER('IAP data'!S22),('IAP data'!S22/'Des IAP AFR'!S22)-1,"")</f>
        <v/>
      </c>
      <c r="T22" s="21" t="str">
        <f>IF(ISNUMBER('IAP data'!T22),('IAP data'!T22/'Des IAP AFR'!T22)-1,"")</f>
        <v/>
      </c>
      <c r="U22" s="21" t="str">
        <f>IF(ISNUMBER('IAP data'!U22),('IAP data'!U22/'Des IAP AFR'!U22)-1,"")</f>
        <v/>
      </c>
      <c r="V22" s="21" t="str">
        <f>IF(ISNUMBER('IAP data'!V22),('IAP data'!V22/'Des IAP AFR'!V22)-1,"")</f>
        <v/>
      </c>
    </row>
    <row r="23" spans="1:22" x14ac:dyDescent="0.25">
      <c r="A23" s="15">
        <v>5000</v>
      </c>
      <c r="B23" s="21" t="str">
        <f>IF(ISNUMBER('IAP data'!B23),('IAP data'!B23/'Des IAP AFR'!B23)-1,"")</f>
        <v/>
      </c>
      <c r="C23" s="21" t="str">
        <f>IF(ISNUMBER('IAP data'!C23),('IAP data'!C23/'Des IAP AFR'!C23)-1,"")</f>
        <v/>
      </c>
      <c r="D23" s="21" t="str">
        <f>IF(ISNUMBER('IAP data'!D23),('IAP data'!D23/'Des IAP AFR'!D23)-1,"")</f>
        <v/>
      </c>
      <c r="E23" s="21" t="str">
        <f>IF(ISNUMBER('IAP data'!E23),('IAP data'!E23/'Des IAP AFR'!E23)-1,"")</f>
        <v/>
      </c>
      <c r="F23" s="21" t="str">
        <f>IF(ISNUMBER('IAP data'!F23),('IAP data'!F23/'Des IAP AFR'!F23)-1,"")</f>
        <v/>
      </c>
      <c r="G23" s="21" t="str">
        <f>IF(ISNUMBER('IAP data'!G23),('IAP data'!G23/'Des IAP AFR'!G23)-1,"")</f>
        <v/>
      </c>
      <c r="H23" s="21" t="str">
        <f>IF(ISNUMBER('IAP data'!H23),('IAP data'!H23/'Des IAP AFR'!H23)-1,"")</f>
        <v/>
      </c>
      <c r="I23" s="21" t="str">
        <f>IF(ISNUMBER('IAP data'!I23),('IAP data'!I23/'Des IAP AFR'!I23)-1,"")</f>
        <v/>
      </c>
      <c r="J23" s="21" t="str">
        <f>IF(ISNUMBER('IAP data'!J23),('IAP data'!J23/'Des IAP AFR'!J23)-1,"")</f>
        <v/>
      </c>
      <c r="K23" s="21" t="str">
        <f>IF(ISNUMBER('IAP data'!K23),('IAP data'!K23/'Des IAP AFR'!K23)-1,"")</f>
        <v/>
      </c>
      <c r="L23" s="21" t="str">
        <f>IF(ISNUMBER('IAP data'!L23),('IAP data'!L23/'Des IAP AFR'!L23)-1,"")</f>
        <v/>
      </c>
      <c r="M23" s="21" t="str">
        <f>IF(ISNUMBER('IAP data'!M23),('IAP data'!M23/'Des IAP AFR'!M23)-1,"")</f>
        <v/>
      </c>
      <c r="N23" s="21" t="str">
        <f>IF(ISNUMBER('IAP data'!N23),('IAP data'!N23/'Des IAP AFR'!N23)-1,"")</f>
        <v/>
      </c>
      <c r="O23" s="21" t="str">
        <f>IF(ISNUMBER('IAP data'!O23),('IAP data'!O23/'Des IAP AFR'!O23)-1,"")</f>
        <v/>
      </c>
      <c r="P23" s="21" t="str">
        <f>IF(ISNUMBER('IAP data'!P23),('IAP data'!P23/'Des IAP AFR'!P23)-1,"")</f>
        <v/>
      </c>
      <c r="Q23" s="21" t="str">
        <f>IF(ISNUMBER('IAP data'!Q23),('IAP data'!Q23/'Des IAP AFR'!Q23)-1,"")</f>
        <v/>
      </c>
      <c r="R23" s="21" t="str">
        <f>IF(ISNUMBER('IAP data'!R23),('IAP data'!R23/'Des IAP AFR'!R23)-1,"")</f>
        <v/>
      </c>
      <c r="S23" s="21" t="str">
        <f>IF(ISNUMBER('IAP data'!S23),('IAP data'!S23/'Des IAP AFR'!S23)-1,"")</f>
        <v/>
      </c>
      <c r="T23" s="21" t="str">
        <f>IF(ISNUMBER('IAP data'!T23),('IAP data'!T23/'Des IAP AFR'!T23)-1,"")</f>
        <v/>
      </c>
      <c r="U23" s="21" t="str">
        <f>IF(ISNUMBER('IAP data'!U23),('IAP data'!U23/'Des IAP AFR'!U23)-1,"")</f>
        <v/>
      </c>
      <c r="V23" s="21" t="str">
        <f>IF(ISNUMBER('IAP data'!V23),('IAP data'!V23/'Des IAP AFR'!V23)-1,"")</f>
        <v/>
      </c>
    </row>
    <row r="24" spans="1:22" x14ac:dyDescent="0.25">
      <c r="A24" s="15">
        <v>5200</v>
      </c>
      <c r="B24" s="21" t="str">
        <f>IF(ISNUMBER('IAP data'!B24),('IAP data'!B24/'Des IAP AFR'!B24)-1,"")</f>
        <v/>
      </c>
      <c r="C24" s="21" t="str">
        <f>IF(ISNUMBER('IAP data'!C24),('IAP data'!C24/'Des IAP AFR'!C24)-1,"")</f>
        <v/>
      </c>
      <c r="D24" s="21" t="str">
        <f>IF(ISNUMBER('IAP data'!D24),('IAP data'!D24/'Des IAP AFR'!D24)-1,"")</f>
        <v/>
      </c>
      <c r="E24" s="21" t="str">
        <f>IF(ISNUMBER('IAP data'!E24),('IAP data'!E24/'Des IAP AFR'!E24)-1,"")</f>
        <v/>
      </c>
      <c r="F24" s="21" t="str">
        <f>IF(ISNUMBER('IAP data'!F24),('IAP data'!F24/'Des IAP AFR'!F24)-1,"")</f>
        <v/>
      </c>
      <c r="G24" s="21" t="str">
        <f>IF(ISNUMBER('IAP data'!G24),('IAP data'!G24/'Des IAP AFR'!G24)-1,"")</f>
        <v/>
      </c>
      <c r="H24" s="21" t="str">
        <f>IF(ISNUMBER('IAP data'!H24),('IAP data'!H24/'Des IAP AFR'!H24)-1,"")</f>
        <v/>
      </c>
      <c r="I24" s="21" t="str">
        <f>IF(ISNUMBER('IAP data'!I24),('IAP data'!I24/'Des IAP AFR'!I24)-1,"")</f>
        <v/>
      </c>
      <c r="J24" s="21" t="str">
        <f>IF(ISNUMBER('IAP data'!J24),('IAP data'!J24/'Des IAP AFR'!J24)-1,"")</f>
        <v/>
      </c>
      <c r="K24" s="21" t="str">
        <f>IF(ISNUMBER('IAP data'!K24),('IAP data'!K24/'Des IAP AFR'!K24)-1,"")</f>
        <v/>
      </c>
      <c r="L24" s="21" t="str">
        <f>IF(ISNUMBER('IAP data'!L24),('IAP data'!L24/'Des IAP AFR'!L24)-1,"")</f>
        <v/>
      </c>
      <c r="M24" s="21" t="str">
        <f>IF(ISNUMBER('IAP data'!M24),('IAP data'!M24/'Des IAP AFR'!M24)-1,"")</f>
        <v/>
      </c>
      <c r="N24" s="21" t="str">
        <f>IF(ISNUMBER('IAP data'!N24),('IAP data'!N24/'Des IAP AFR'!N24)-1,"")</f>
        <v/>
      </c>
      <c r="O24" s="21" t="str">
        <f>IF(ISNUMBER('IAP data'!O24),('IAP data'!O24/'Des IAP AFR'!O24)-1,"")</f>
        <v/>
      </c>
      <c r="P24" s="21" t="str">
        <f>IF(ISNUMBER('IAP data'!P24),('IAP data'!P24/'Des IAP AFR'!P24)-1,"")</f>
        <v/>
      </c>
      <c r="Q24" s="21" t="str">
        <f>IF(ISNUMBER('IAP data'!Q24),('IAP data'!Q24/'Des IAP AFR'!Q24)-1,"")</f>
        <v/>
      </c>
      <c r="R24" s="21" t="str">
        <f>IF(ISNUMBER('IAP data'!R24),('IAP data'!R24/'Des IAP AFR'!R24)-1,"")</f>
        <v/>
      </c>
      <c r="S24" s="21" t="str">
        <f>IF(ISNUMBER('IAP data'!S24),('IAP data'!S24/'Des IAP AFR'!S24)-1,"")</f>
        <v/>
      </c>
      <c r="T24" s="21" t="str">
        <f>IF(ISNUMBER('IAP data'!T24),('IAP data'!T24/'Des IAP AFR'!T24)-1,"")</f>
        <v/>
      </c>
      <c r="U24" s="21" t="str">
        <f>IF(ISNUMBER('IAP data'!U24),('IAP data'!U24/'Des IAP AFR'!U24)-1,"")</f>
        <v/>
      </c>
      <c r="V24" s="21" t="str">
        <f>IF(ISNUMBER('IAP data'!V24),('IAP data'!V24/'Des IAP AFR'!V24)-1,"")</f>
        <v/>
      </c>
    </row>
    <row r="25" spans="1:22" x14ac:dyDescent="0.25">
      <c r="A25" s="15">
        <v>5600</v>
      </c>
      <c r="B25" s="21" t="str">
        <f>IF(ISNUMBER('IAP data'!B25),('IAP data'!B25/'Des IAP AFR'!B25)-1,"")</f>
        <v/>
      </c>
      <c r="C25" s="21" t="str">
        <f>IF(ISNUMBER('IAP data'!C25),('IAP data'!C25/'Des IAP AFR'!C25)-1,"")</f>
        <v/>
      </c>
      <c r="D25" s="21" t="str">
        <f>IF(ISNUMBER('IAP data'!D25),('IAP data'!D25/'Des IAP AFR'!D25)-1,"")</f>
        <v/>
      </c>
      <c r="E25" s="21" t="str">
        <f>IF(ISNUMBER('IAP data'!E25),('IAP data'!E25/'Des IAP AFR'!E25)-1,"")</f>
        <v/>
      </c>
      <c r="F25" s="21" t="str">
        <f>IF(ISNUMBER('IAP data'!F25),('IAP data'!F25/'Des IAP AFR'!F25)-1,"")</f>
        <v/>
      </c>
      <c r="G25" s="21" t="str">
        <f>IF(ISNUMBER('IAP data'!G25),('IAP data'!G25/'Des IAP AFR'!G25)-1,"")</f>
        <v/>
      </c>
      <c r="H25" s="21" t="str">
        <f>IF(ISNUMBER('IAP data'!H25),('IAP data'!H25/'Des IAP AFR'!H25)-1,"")</f>
        <v/>
      </c>
      <c r="I25" s="21" t="str">
        <f>IF(ISNUMBER('IAP data'!I25),('IAP data'!I25/'Des IAP AFR'!I25)-1,"")</f>
        <v/>
      </c>
      <c r="J25" s="21" t="str">
        <f>IF(ISNUMBER('IAP data'!J25),('IAP data'!J25/'Des IAP AFR'!J25)-1,"")</f>
        <v/>
      </c>
      <c r="K25" s="21" t="str">
        <f>IF(ISNUMBER('IAP data'!K25),('IAP data'!K25/'Des IAP AFR'!K25)-1,"")</f>
        <v/>
      </c>
      <c r="L25" s="21" t="str">
        <f>IF(ISNUMBER('IAP data'!L25),('IAP data'!L25/'Des IAP AFR'!L25)-1,"")</f>
        <v/>
      </c>
      <c r="M25" s="21" t="str">
        <f>IF(ISNUMBER('IAP data'!M25),('IAP data'!M25/'Des IAP AFR'!M25)-1,"")</f>
        <v/>
      </c>
      <c r="N25" s="21" t="str">
        <f>IF(ISNUMBER('IAP data'!N25),('IAP data'!N25/'Des IAP AFR'!N25)-1,"")</f>
        <v/>
      </c>
      <c r="O25" s="21" t="str">
        <f>IF(ISNUMBER('IAP data'!O25),('IAP data'!O25/'Des IAP AFR'!O25)-1,"")</f>
        <v/>
      </c>
      <c r="P25" s="21" t="str">
        <f>IF(ISNUMBER('IAP data'!P25),('IAP data'!P25/'Des IAP AFR'!P25)-1,"")</f>
        <v/>
      </c>
      <c r="Q25" s="21" t="str">
        <f>IF(ISNUMBER('IAP data'!Q25),('IAP data'!Q25/'Des IAP AFR'!Q25)-1,"")</f>
        <v/>
      </c>
      <c r="R25" s="21" t="str">
        <f>IF(ISNUMBER('IAP data'!R25),('IAP data'!R25/'Des IAP AFR'!R25)-1,"")</f>
        <v/>
      </c>
      <c r="S25" s="21" t="str">
        <f>IF(ISNUMBER('IAP data'!S25),('IAP data'!S25/'Des IAP AFR'!S25)-1,"")</f>
        <v/>
      </c>
      <c r="T25" s="21" t="str">
        <f>IF(ISNUMBER('IAP data'!T25),('IAP data'!T25/'Des IAP AFR'!T25)-1,"")</f>
        <v/>
      </c>
      <c r="U25" s="21" t="str">
        <f>IF(ISNUMBER('IAP data'!U25),('IAP data'!U25/'Des IAP AFR'!U25)-1,"")</f>
        <v/>
      </c>
      <c r="V25" s="21" t="str">
        <f>IF(ISNUMBER('IAP data'!V25),('IAP data'!V25/'Des IAP AFR'!V25)-1,"")</f>
        <v/>
      </c>
    </row>
    <row r="26" spans="1:22" x14ac:dyDescent="0.25">
      <c r="A26" s="15">
        <v>6000</v>
      </c>
      <c r="B26" s="21" t="str">
        <f>IF(ISNUMBER('IAP data'!B26),('IAP data'!B26/'Des IAP AFR'!B26)-1,"")</f>
        <v/>
      </c>
      <c r="C26" s="21" t="str">
        <f>IF(ISNUMBER('IAP data'!C26),('IAP data'!C26/'Des IAP AFR'!C26)-1,"")</f>
        <v/>
      </c>
      <c r="D26" s="21" t="str">
        <f>IF(ISNUMBER('IAP data'!D26),('IAP data'!D26/'Des IAP AFR'!D26)-1,"")</f>
        <v/>
      </c>
      <c r="E26" s="21" t="str">
        <f>IF(ISNUMBER('IAP data'!E26),('IAP data'!E26/'Des IAP AFR'!E26)-1,"")</f>
        <v/>
      </c>
      <c r="F26" s="21" t="str">
        <f>IF(ISNUMBER('IAP data'!F26),('IAP data'!F26/'Des IAP AFR'!F26)-1,"")</f>
        <v/>
      </c>
      <c r="G26" s="21" t="str">
        <f>IF(ISNUMBER('IAP data'!G26),('IAP data'!G26/'Des IAP AFR'!G26)-1,"")</f>
        <v/>
      </c>
      <c r="H26" s="21" t="str">
        <f>IF(ISNUMBER('IAP data'!H26),('IAP data'!H26/'Des IAP AFR'!H26)-1,"")</f>
        <v/>
      </c>
      <c r="I26" s="21" t="str">
        <f>IF(ISNUMBER('IAP data'!I26),('IAP data'!I26/'Des IAP AFR'!I26)-1,"")</f>
        <v/>
      </c>
      <c r="J26" s="21" t="str">
        <f>IF(ISNUMBER('IAP data'!J26),('IAP data'!J26/'Des IAP AFR'!J26)-1,"")</f>
        <v/>
      </c>
      <c r="K26" s="21" t="str">
        <f>IF(ISNUMBER('IAP data'!K26),('IAP data'!K26/'Des IAP AFR'!K26)-1,"")</f>
        <v/>
      </c>
      <c r="L26" s="21" t="str">
        <f>IF(ISNUMBER('IAP data'!L26),('IAP data'!L26/'Des IAP AFR'!L26)-1,"")</f>
        <v/>
      </c>
      <c r="M26" s="21" t="str">
        <f>IF(ISNUMBER('IAP data'!M26),('IAP data'!M26/'Des IAP AFR'!M26)-1,"")</f>
        <v/>
      </c>
      <c r="N26" s="21" t="str">
        <f>IF(ISNUMBER('IAP data'!N26),('IAP data'!N26/'Des IAP AFR'!N26)-1,"")</f>
        <v/>
      </c>
      <c r="O26" s="21" t="str">
        <f>IF(ISNUMBER('IAP data'!O26),('IAP data'!O26/'Des IAP AFR'!O26)-1,"")</f>
        <v/>
      </c>
      <c r="P26" s="21" t="str">
        <f>IF(ISNUMBER('IAP data'!P26),('IAP data'!P26/'Des IAP AFR'!P26)-1,"")</f>
        <v/>
      </c>
      <c r="Q26" s="21" t="str">
        <f>IF(ISNUMBER('IAP data'!Q26),('IAP data'!Q26/'Des IAP AFR'!Q26)-1,"")</f>
        <v/>
      </c>
      <c r="R26" s="21" t="str">
        <f>IF(ISNUMBER('IAP data'!R26),('IAP data'!R26/'Des IAP AFR'!R26)-1,"")</f>
        <v/>
      </c>
      <c r="S26" s="21" t="str">
        <f>IF(ISNUMBER('IAP data'!S26),('IAP data'!S26/'Des IAP AFR'!S26)-1,"")</f>
        <v/>
      </c>
      <c r="T26" s="21" t="str">
        <f>IF(ISNUMBER('IAP data'!T26),('IAP data'!T26/'Des IAP AFR'!T26)-1,"")</f>
        <v/>
      </c>
      <c r="U26" s="21" t="str">
        <f>IF(ISNUMBER('IAP data'!U26),('IAP data'!U26/'Des IAP AFR'!U26)-1,"")</f>
        <v/>
      </c>
      <c r="V26" s="21" t="str">
        <f>IF(ISNUMBER('IAP data'!V26),('IAP data'!V26/'Des IAP AFR'!V26)-1,"")</f>
        <v/>
      </c>
    </row>
    <row r="27" spans="1:22" x14ac:dyDescent="0.25">
      <c r="A27" s="15">
        <v>6400</v>
      </c>
      <c r="B27" s="21" t="str">
        <f>IF(ISNUMBER('IAP data'!B27),('IAP data'!B27/'Des IAP AFR'!B27)-1,"")</f>
        <v/>
      </c>
      <c r="C27" s="21" t="str">
        <f>IF(ISNUMBER('IAP data'!C27),('IAP data'!C27/'Des IAP AFR'!C27)-1,"")</f>
        <v/>
      </c>
      <c r="D27" s="21" t="str">
        <f>IF(ISNUMBER('IAP data'!D27),('IAP data'!D27/'Des IAP AFR'!D27)-1,"")</f>
        <v/>
      </c>
      <c r="E27" s="21" t="str">
        <f>IF(ISNUMBER('IAP data'!E27),('IAP data'!E27/'Des IAP AFR'!E27)-1,"")</f>
        <v/>
      </c>
      <c r="F27" s="21" t="str">
        <f>IF(ISNUMBER('IAP data'!F27),('IAP data'!F27/'Des IAP AFR'!F27)-1,"")</f>
        <v/>
      </c>
      <c r="G27" s="21" t="str">
        <f>IF(ISNUMBER('IAP data'!G27),('IAP data'!G27/'Des IAP AFR'!G27)-1,"")</f>
        <v/>
      </c>
      <c r="H27" s="21" t="str">
        <f>IF(ISNUMBER('IAP data'!H27),('IAP data'!H27/'Des IAP AFR'!H27)-1,"")</f>
        <v/>
      </c>
      <c r="I27" s="21" t="str">
        <f>IF(ISNUMBER('IAP data'!I27),('IAP data'!I27/'Des IAP AFR'!I27)-1,"")</f>
        <v/>
      </c>
      <c r="J27" s="21" t="str">
        <f>IF(ISNUMBER('IAP data'!J27),('IAP data'!J27/'Des IAP AFR'!J27)-1,"")</f>
        <v/>
      </c>
      <c r="K27" s="21" t="str">
        <f>IF(ISNUMBER('IAP data'!K27),('IAP data'!K27/'Des IAP AFR'!K27)-1,"")</f>
        <v/>
      </c>
      <c r="L27" s="21" t="str">
        <f>IF(ISNUMBER('IAP data'!L27),('IAP data'!L27/'Des IAP AFR'!L27)-1,"")</f>
        <v/>
      </c>
      <c r="M27" s="21" t="str">
        <f>IF(ISNUMBER('IAP data'!M27),('IAP data'!M27/'Des IAP AFR'!M27)-1,"")</f>
        <v/>
      </c>
      <c r="N27" s="21" t="str">
        <f>IF(ISNUMBER('IAP data'!N27),('IAP data'!N27/'Des IAP AFR'!N27)-1,"")</f>
        <v/>
      </c>
      <c r="O27" s="21" t="str">
        <f>IF(ISNUMBER('IAP data'!O27),('IAP data'!O27/'Des IAP AFR'!O27)-1,"")</f>
        <v/>
      </c>
      <c r="P27" s="21" t="str">
        <f>IF(ISNUMBER('IAP data'!P27),('IAP data'!P27/'Des IAP AFR'!P27)-1,"")</f>
        <v/>
      </c>
      <c r="Q27" s="21" t="str">
        <f>IF(ISNUMBER('IAP data'!Q27),('IAP data'!Q27/'Des IAP AFR'!Q27)-1,"")</f>
        <v/>
      </c>
      <c r="R27" s="21" t="str">
        <f>IF(ISNUMBER('IAP data'!R27),('IAP data'!R27/'Des IAP AFR'!R27)-1,"")</f>
        <v/>
      </c>
      <c r="S27" s="21" t="str">
        <f>IF(ISNUMBER('IAP data'!S27),('IAP data'!S27/'Des IAP AFR'!S27)-1,"")</f>
        <v/>
      </c>
      <c r="T27" s="21" t="str">
        <f>IF(ISNUMBER('IAP data'!T27),('IAP data'!T27/'Des IAP AFR'!T27)-1,"")</f>
        <v/>
      </c>
      <c r="U27" s="21" t="str">
        <f>IF(ISNUMBER('IAP data'!U27),('IAP data'!U27/'Des IAP AFR'!U27)-1,"")</f>
        <v/>
      </c>
      <c r="V27" s="21" t="str">
        <f>IF(ISNUMBER('IAP data'!V27),('IAP data'!V27/'Des IAP AFR'!V27)-1,"")</f>
        <v/>
      </c>
    </row>
    <row r="28" spans="1:22" x14ac:dyDescent="0.25">
      <c r="A28" s="15">
        <v>6800</v>
      </c>
      <c r="B28" s="21" t="str">
        <f>IF(ISNUMBER('IAP data'!B28),('IAP data'!B28/'Des IAP AFR'!B28)-1,"")</f>
        <v/>
      </c>
      <c r="C28" s="21" t="str">
        <f>IF(ISNUMBER('IAP data'!C28),('IAP data'!C28/'Des IAP AFR'!C28)-1,"")</f>
        <v/>
      </c>
      <c r="D28" s="21" t="str">
        <f>IF(ISNUMBER('IAP data'!D28),('IAP data'!D28/'Des IAP AFR'!D28)-1,"")</f>
        <v/>
      </c>
      <c r="E28" s="21" t="str">
        <f>IF(ISNUMBER('IAP data'!E28),('IAP data'!E28/'Des IAP AFR'!E28)-1,"")</f>
        <v/>
      </c>
      <c r="F28" s="21" t="str">
        <f>IF(ISNUMBER('IAP data'!F28),('IAP data'!F28/'Des IAP AFR'!F28)-1,"")</f>
        <v/>
      </c>
      <c r="G28" s="21" t="str">
        <f>IF(ISNUMBER('IAP data'!G28),('IAP data'!G28/'Des IAP AFR'!G28)-1,"")</f>
        <v/>
      </c>
      <c r="H28" s="21" t="str">
        <f>IF(ISNUMBER('IAP data'!H28),('IAP data'!H28/'Des IAP AFR'!H28)-1,"")</f>
        <v/>
      </c>
      <c r="I28" s="21" t="str">
        <f>IF(ISNUMBER('IAP data'!I28),('IAP data'!I28/'Des IAP AFR'!I28)-1,"")</f>
        <v/>
      </c>
      <c r="J28" s="21" t="str">
        <f>IF(ISNUMBER('IAP data'!J28),('IAP data'!J28/'Des IAP AFR'!J28)-1,"")</f>
        <v/>
      </c>
      <c r="K28" s="21" t="str">
        <f>IF(ISNUMBER('IAP data'!K28),('IAP data'!K28/'Des IAP AFR'!K28)-1,"")</f>
        <v/>
      </c>
      <c r="L28" s="21" t="str">
        <f>IF(ISNUMBER('IAP data'!L28),('IAP data'!L28/'Des IAP AFR'!L28)-1,"")</f>
        <v/>
      </c>
      <c r="M28" s="21" t="str">
        <f>IF(ISNUMBER('IAP data'!M28),('IAP data'!M28/'Des IAP AFR'!M28)-1,"")</f>
        <v/>
      </c>
      <c r="N28" s="21" t="str">
        <f>IF(ISNUMBER('IAP data'!N28),('IAP data'!N28/'Des IAP AFR'!N28)-1,"")</f>
        <v/>
      </c>
      <c r="O28" s="21" t="str">
        <f>IF(ISNUMBER('IAP data'!O28),('IAP data'!O28/'Des IAP AFR'!O28)-1,"")</f>
        <v/>
      </c>
      <c r="P28" s="21" t="str">
        <f>IF(ISNUMBER('IAP data'!P28),('IAP data'!P28/'Des IAP AFR'!P28)-1,"")</f>
        <v/>
      </c>
      <c r="Q28" s="21" t="str">
        <f>IF(ISNUMBER('IAP data'!Q28),('IAP data'!Q28/'Des IAP AFR'!Q28)-1,"")</f>
        <v/>
      </c>
      <c r="R28" s="21" t="str">
        <f>IF(ISNUMBER('IAP data'!R28),('IAP data'!R28/'Des IAP AFR'!R28)-1,"")</f>
        <v/>
      </c>
      <c r="S28" s="21" t="str">
        <f>IF(ISNUMBER('IAP data'!S28),('IAP data'!S28/'Des IAP AFR'!S28)-1,"")</f>
        <v/>
      </c>
      <c r="T28" s="21" t="str">
        <f>IF(ISNUMBER('IAP data'!T28),('IAP data'!T28/'Des IAP AFR'!T28)-1,"")</f>
        <v/>
      </c>
      <c r="U28" s="21" t="str">
        <f>IF(ISNUMBER('IAP data'!U28),('IAP data'!U28/'Des IAP AFR'!U28)-1,"")</f>
        <v/>
      </c>
      <c r="V28" s="21" t="str">
        <f>IF(ISNUMBER('IAP data'!V28),('IAP data'!V28/'Des IAP AFR'!V28)-1,"")</f>
        <v/>
      </c>
    </row>
    <row r="29" spans="1:22" x14ac:dyDescent="0.25">
      <c r="A29" s="15">
        <v>7200</v>
      </c>
      <c r="B29" s="21" t="str">
        <f>IF(ISNUMBER('IAP data'!B29),('IAP data'!B29/'Des IAP AFR'!B29)-1,"")</f>
        <v/>
      </c>
      <c r="C29" s="21" t="str">
        <f>IF(ISNUMBER('IAP data'!C29),('IAP data'!C29/'Des IAP AFR'!C29)-1,"")</f>
        <v/>
      </c>
      <c r="D29" s="21" t="str">
        <f>IF(ISNUMBER('IAP data'!D29),('IAP data'!D29/'Des IAP AFR'!D29)-1,"")</f>
        <v/>
      </c>
      <c r="E29" s="21" t="str">
        <f>IF(ISNUMBER('IAP data'!E29),('IAP data'!E29/'Des IAP AFR'!E29)-1,"")</f>
        <v/>
      </c>
      <c r="F29" s="21" t="str">
        <f>IF(ISNUMBER('IAP data'!F29),('IAP data'!F29/'Des IAP AFR'!F29)-1,"")</f>
        <v/>
      </c>
      <c r="G29" s="21" t="str">
        <f>IF(ISNUMBER('IAP data'!G29),('IAP data'!G29/'Des IAP AFR'!G29)-1,"")</f>
        <v/>
      </c>
      <c r="H29" s="21" t="str">
        <f>IF(ISNUMBER('IAP data'!H29),('IAP data'!H29/'Des IAP AFR'!H29)-1,"")</f>
        <v/>
      </c>
      <c r="I29" s="21" t="str">
        <f>IF(ISNUMBER('IAP data'!I29),('IAP data'!I29/'Des IAP AFR'!I29)-1,"")</f>
        <v/>
      </c>
      <c r="J29" s="21" t="str">
        <f>IF(ISNUMBER('IAP data'!J29),('IAP data'!J29/'Des IAP AFR'!J29)-1,"")</f>
        <v/>
      </c>
      <c r="K29" s="21" t="str">
        <f>IF(ISNUMBER('IAP data'!K29),('IAP data'!K29/'Des IAP AFR'!K29)-1,"")</f>
        <v/>
      </c>
      <c r="L29" s="21" t="str">
        <f>IF(ISNUMBER('IAP data'!L29),('IAP data'!L29/'Des IAP AFR'!L29)-1,"")</f>
        <v/>
      </c>
      <c r="M29" s="21" t="str">
        <f>IF(ISNUMBER('IAP data'!M29),('IAP data'!M29/'Des IAP AFR'!M29)-1,"")</f>
        <v/>
      </c>
      <c r="N29" s="21" t="str">
        <f>IF(ISNUMBER('IAP data'!N29),('IAP data'!N29/'Des IAP AFR'!N29)-1,"")</f>
        <v/>
      </c>
      <c r="O29" s="21" t="str">
        <f>IF(ISNUMBER('IAP data'!O29),('IAP data'!O29/'Des IAP AFR'!O29)-1,"")</f>
        <v/>
      </c>
      <c r="P29" s="21" t="str">
        <f>IF(ISNUMBER('IAP data'!P29),('IAP data'!P29/'Des IAP AFR'!P29)-1,"")</f>
        <v/>
      </c>
      <c r="Q29" s="21" t="str">
        <f>IF(ISNUMBER('IAP data'!Q29),('IAP data'!Q29/'Des IAP AFR'!Q29)-1,"")</f>
        <v/>
      </c>
      <c r="R29" s="21" t="str">
        <f>IF(ISNUMBER('IAP data'!R29),('IAP data'!R29/'Des IAP AFR'!R29)-1,"")</f>
        <v/>
      </c>
      <c r="S29" s="21" t="str">
        <f>IF(ISNUMBER('IAP data'!S29),('IAP data'!S29/'Des IAP AFR'!S29)-1,"")</f>
        <v/>
      </c>
      <c r="T29" s="21" t="str">
        <f>IF(ISNUMBER('IAP data'!T29),('IAP data'!T29/'Des IAP AFR'!T29)-1,"")</f>
        <v/>
      </c>
      <c r="U29" s="21" t="str">
        <f>IF(ISNUMBER('IAP data'!U29),('IAP data'!U29/'Des IAP AFR'!U29)-1,"")</f>
        <v/>
      </c>
      <c r="V29" s="21" t="str">
        <f>IF(ISNUMBER('IAP data'!V29),('IAP data'!V29/'Des IAP AFR'!V29)-1,"")</f>
        <v/>
      </c>
    </row>
    <row r="30" spans="1:22" x14ac:dyDescent="0.25">
      <c r="A30" s="15">
        <v>7600</v>
      </c>
      <c r="B30" s="21" t="str">
        <f>IF(ISNUMBER('IAP data'!B30),('IAP data'!B30/'Des IAP AFR'!B30)-1,"")</f>
        <v/>
      </c>
      <c r="C30" s="21" t="str">
        <f>IF(ISNUMBER('IAP data'!C30),('IAP data'!C30/'Des IAP AFR'!C30)-1,"")</f>
        <v/>
      </c>
      <c r="D30" s="21" t="str">
        <f>IF(ISNUMBER('IAP data'!D30),('IAP data'!D30/'Des IAP AFR'!D30)-1,"")</f>
        <v/>
      </c>
      <c r="E30" s="21" t="str">
        <f>IF(ISNUMBER('IAP data'!E30),('IAP data'!E30/'Des IAP AFR'!E30)-1,"")</f>
        <v/>
      </c>
      <c r="F30" s="21" t="str">
        <f>IF(ISNUMBER('IAP data'!F30),('IAP data'!F30/'Des IAP AFR'!F30)-1,"")</f>
        <v/>
      </c>
      <c r="G30" s="21" t="str">
        <f>IF(ISNUMBER('IAP data'!G30),('IAP data'!G30/'Des IAP AFR'!G30)-1,"")</f>
        <v/>
      </c>
      <c r="H30" s="21" t="str">
        <f>IF(ISNUMBER('IAP data'!H30),('IAP data'!H30/'Des IAP AFR'!H30)-1,"")</f>
        <v/>
      </c>
      <c r="I30" s="21" t="str">
        <f>IF(ISNUMBER('IAP data'!I30),('IAP data'!I30/'Des IAP AFR'!I30)-1,"")</f>
        <v/>
      </c>
      <c r="J30" s="21" t="str">
        <f>IF(ISNUMBER('IAP data'!J30),('IAP data'!J30/'Des IAP AFR'!J30)-1,"")</f>
        <v/>
      </c>
      <c r="K30" s="21" t="str">
        <f>IF(ISNUMBER('IAP data'!K30),('IAP data'!K30/'Des IAP AFR'!K30)-1,"")</f>
        <v/>
      </c>
      <c r="L30" s="21" t="str">
        <f>IF(ISNUMBER('IAP data'!L30),('IAP data'!L30/'Des IAP AFR'!L30)-1,"")</f>
        <v/>
      </c>
      <c r="M30" s="21" t="str">
        <f>IF(ISNUMBER('IAP data'!M30),('IAP data'!M30/'Des IAP AFR'!M30)-1,"")</f>
        <v/>
      </c>
      <c r="N30" s="21" t="str">
        <f>IF(ISNUMBER('IAP data'!N30),('IAP data'!N30/'Des IAP AFR'!N30)-1,"")</f>
        <v/>
      </c>
      <c r="O30" s="21" t="str">
        <f>IF(ISNUMBER('IAP data'!O30),('IAP data'!O30/'Des IAP AFR'!O30)-1,"")</f>
        <v/>
      </c>
      <c r="P30" s="21" t="str">
        <f>IF(ISNUMBER('IAP data'!P30),('IAP data'!P30/'Des IAP AFR'!P30)-1,"")</f>
        <v/>
      </c>
      <c r="Q30" s="21" t="str">
        <f>IF(ISNUMBER('IAP data'!Q30),('IAP data'!Q30/'Des IAP AFR'!Q30)-1,"")</f>
        <v/>
      </c>
      <c r="R30" s="21" t="str">
        <f>IF(ISNUMBER('IAP data'!R30),('IAP data'!R30/'Des IAP AFR'!R30)-1,"")</f>
        <v/>
      </c>
      <c r="S30" s="21" t="str">
        <f>IF(ISNUMBER('IAP data'!S30),('IAP data'!S30/'Des IAP AFR'!S30)-1,"")</f>
        <v/>
      </c>
      <c r="T30" s="21" t="str">
        <f>IF(ISNUMBER('IAP data'!T30),('IAP data'!T30/'Des IAP AFR'!T30)-1,"")</f>
        <v/>
      </c>
      <c r="U30" s="21" t="str">
        <f>IF(ISNUMBER('IAP data'!U30),('IAP data'!U30/'Des IAP AFR'!U30)-1,"")</f>
        <v/>
      </c>
      <c r="V30" s="21" t="str">
        <f>IF(ISNUMBER('IAP data'!V30),('IAP data'!V30/'Des IAP AFR'!V30)-1,"")</f>
        <v/>
      </c>
    </row>
    <row r="31" spans="1:22" x14ac:dyDescent="0.25">
      <c r="A31" s="15">
        <v>8000</v>
      </c>
      <c r="B31" s="21" t="str">
        <f>IF(ISNUMBER('IAP data'!B31),('IAP data'!B31/'Des IAP AFR'!B31)-1,"")</f>
        <v/>
      </c>
      <c r="C31" s="21" t="str">
        <f>IF(ISNUMBER('IAP data'!C31),('IAP data'!C31/'Des IAP AFR'!C31)-1,"")</f>
        <v/>
      </c>
      <c r="D31" s="21" t="str">
        <f>IF(ISNUMBER('IAP data'!D31),('IAP data'!D31/'Des IAP AFR'!D31)-1,"")</f>
        <v/>
      </c>
      <c r="E31" s="21" t="str">
        <f>IF(ISNUMBER('IAP data'!E31),('IAP data'!E31/'Des IAP AFR'!E31)-1,"")</f>
        <v/>
      </c>
      <c r="F31" s="21" t="str">
        <f>IF(ISNUMBER('IAP data'!F31),('IAP data'!F31/'Des IAP AFR'!F31)-1,"")</f>
        <v/>
      </c>
      <c r="G31" s="21" t="str">
        <f>IF(ISNUMBER('IAP data'!G31),('IAP data'!G31/'Des IAP AFR'!G31)-1,"")</f>
        <v/>
      </c>
      <c r="H31" s="21" t="str">
        <f>IF(ISNUMBER('IAP data'!H31),('IAP data'!H31/'Des IAP AFR'!H31)-1,"")</f>
        <v/>
      </c>
      <c r="I31" s="21" t="str">
        <f>IF(ISNUMBER('IAP data'!I31),('IAP data'!I31/'Des IAP AFR'!I31)-1,"")</f>
        <v/>
      </c>
      <c r="J31" s="21" t="str">
        <f>IF(ISNUMBER('IAP data'!J31),('IAP data'!J31/'Des IAP AFR'!J31)-1,"")</f>
        <v/>
      </c>
      <c r="K31" s="21" t="str">
        <f>IF(ISNUMBER('IAP data'!K31),('IAP data'!K31/'Des IAP AFR'!K31)-1,"")</f>
        <v/>
      </c>
      <c r="L31" s="21" t="str">
        <f>IF(ISNUMBER('IAP data'!L31),('IAP data'!L31/'Des IAP AFR'!L31)-1,"")</f>
        <v/>
      </c>
      <c r="M31" s="21" t="str">
        <f>IF(ISNUMBER('IAP data'!M31),('IAP data'!M31/'Des IAP AFR'!M31)-1,"")</f>
        <v/>
      </c>
      <c r="N31" s="21" t="str">
        <f>IF(ISNUMBER('IAP data'!N31),('IAP data'!N31/'Des IAP AFR'!N31)-1,"")</f>
        <v/>
      </c>
      <c r="O31" s="21" t="str">
        <f>IF(ISNUMBER('IAP data'!O31),('IAP data'!O31/'Des IAP AFR'!O31)-1,"")</f>
        <v/>
      </c>
      <c r="P31" s="21" t="str">
        <f>IF(ISNUMBER('IAP data'!P31),('IAP data'!P31/'Des IAP AFR'!P31)-1,"")</f>
        <v/>
      </c>
      <c r="Q31" s="21" t="str">
        <f>IF(ISNUMBER('IAP data'!Q31),('IAP data'!Q31/'Des IAP AFR'!Q31)-1,"")</f>
        <v/>
      </c>
      <c r="R31" s="21" t="str">
        <f>IF(ISNUMBER('IAP data'!R31),('IAP data'!R31/'Des IAP AFR'!R31)-1,"")</f>
        <v/>
      </c>
      <c r="S31" s="21" t="str">
        <f>IF(ISNUMBER('IAP data'!S31),('IAP data'!S31/'Des IAP AFR'!S31)-1,"")</f>
        <v/>
      </c>
      <c r="T31" s="21" t="str">
        <f>IF(ISNUMBER('IAP data'!T31),('IAP data'!T31/'Des IAP AFR'!T31)-1,"")</f>
        <v/>
      </c>
      <c r="U31" s="21" t="str">
        <f>IF(ISNUMBER('IAP data'!U31),('IAP data'!U31/'Des IAP AFR'!U31)-1,"")</f>
        <v/>
      </c>
      <c r="V31" s="21" t="str">
        <f>IF(ISNUMBER('IAP data'!V31),('IAP data'!V31/'Des IAP AFR'!V31)-1,"")</f>
        <v/>
      </c>
    </row>
    <row r="32" spans="1:22" x14ac:dyDescent="0.25">
      <c r="A32" s="15">
        <v>8400</v>
      </c>
      <c r="B32" s="21" t="str">
        <f>IF(ISNUMBER('IAP data'!B32),('IAP data'!B32/'Des IAP AFR'!B32)-1,"")</f>
        <v/>
      </c>
      <c r="C32" s="21" t="str">
        <f>IF(ISNUMBER('IAP data'!C32),('IAP data'!C32/'Des IAP AFR'!C32)-1,"")</f>
        <v/>
      </c>
      <c r="D32" s="21" t="str">
        <f>IF(ISNUMBER('IAP data'!D32),('IAP data'!D32/'Des IAP AFR'!D32)-1,"")</f>
        <v/>
      </c>
      <c r="E32" s="21" t="str">
        <f>IF(ISNUMBER('IAP data'!E32),('IAP data'!E32/'Des IAP AFR'!E32)-1,"")</f>
        <v/>
      </c>
      <c r="F32" s="21" t="str">
        <f>IF(ISNUMBER('IAP data'!F32),('IAP data'!F32/'Des IAP AFR'!F32)-1,"")</f>
        <v/>
      </c>
      <c r="G32" s="21" t="str">
        <f>IF(ISNUMBER('IAP data'!G32),('IAP data'!G32/'Des IAP AFR'!G32)-1,"")</f>
        <v/>
      </c>
      <c r="H32" s="21" t="str">
        <f>IF(ISNUMBER('IAP data'!H32),('IAP data'!H32/'Des IAP AFR'!H32)-1,"")</f>
        <v/>
      </c>
      <c r="I32" s="21" t="str">
        <f>IF(ISNUMBER('IAP data'!I32),('IAP data'!I32/'Des IAP AFR'!I32)-1,"")</f>
        <v/>
      </c>
      <c r="J32" s="21" t="str">
        <f>IF(ISNUMBER('IAP data'!J32),('IAP data'!J32/'Des IAP AFR'!J32)-1,"")</f>
        <v/>
      </c>
      <c r="K32" s="21" t="str">
        <f>IF(ISNUMBER('IAP data'!K32),('IAP data'!K32/'Des IAP AFR'!K32)-1,"")</f>
        <v/>
      </c>
      <c r="L32" s="21" t="str">
        <f>IF(ISNUMBER('IAP data'!L32),('IAP data'!L32/'Des IAP AFR'!L32)-1,"")</f>
        <v/>
      </c>
      <c r="M32" s="21" t="str">
        <f>IF(ISNUMBER('IAP data'!M32),('IAP data'!M32/'Des IAP AFR'!M32)-1,"")</f>
        <v/>
      </c>
      <c r="N32" s="21" t="str">
        <f>IF(ISNUMBER('IAP data'!N32),('IAP data'!N32/'Des IAP AFR'!N32)-1,"")</f>
        <v/>
      </c>
      <c r="O32" s="21" t="str">
        <f>IF(ISNUMBER('IAP data'!O32),('IAP data'!O32/'Des IAP AFR'!O32)-1,"")</f>
        <v/>
      </c>
      <c r="P32" s="21" t="str">
        <f>IF(ISNUMBER('IAP data'!P32),('IAP data'!P32/'Des IAP AFR'!P32)-1,"")</f>
        <v/>
      </c>
      <c r="Q32" s="21" t="str">
        <f>IF(ISNUMBER('IAP data'!Q32),('IAP data'!Q32/'Des IAP AFR'!Q32)-1,"")</f>
        <v/>
      </c>
      <c r="R32" s="21" t="str">
        <f>IF(ISNUMBER('IAP data'!R32),('IAP data'!R32/'Des IAP AFR'!R32)-1,"")</f>
        <v/>
      </c>
      <c r="S32" s="21" t="str">
        <f>IF(ISNUMBER('IAP data'!S32),('IAP data'!S32/'Des IAP AFR'!S32)-1,"")</f>
        <v/>
      </c>
      <c r="T32" s="21" t="str">
        <f>IF(ISNUMBER('IAP data'!T32),('IAP data'!T32/'Des IAP AFR'!T32)-1,"")</f>
        <v/>
      </c>
      <c r="U32" s="21" t="str">
        <f>IF(ISNUMBER('IAP data'!U32),('IAP data'!U32/'Des IAP AFR'!U32)-1,"")</f>
        <v/>
      </c>
      <c r="V32" s="21" t="str">
        <f>IF(ISNUMBER('IAP data'!V32),('IAP data'!V32/'Des IAP AFR'!V32)-1,"")</f>
        <v/>
      </c>
    </row>
    <row r="33" spans="1:22" x14ac:dyDescent="0.25">
      <c r="A33" s="15">
        <v>8800</v>
      </c>
      <c r="B33" s="21" t="str">
        <f>IF(ISNUMBER('IAP data'!B33),('IAP data'!B33/'Des IAP AFR'!B33)-1,"")</f>
        <v/>
      </c>
      <c r="C33" s="21" t="str">
        <f>IF(ISNUMBER('IAP data'!C33),('IAP data'!C33/'Des IAP AFR'!C33)-1,"")</f>
        <v/>
      </c>
      <c r="D33" s="21" t="str">
        <f>IF(ISNUMBER('IAP data'!D33),('IAP data'!D33/'Des IAP AFR'!D33)-1,"")</f>
        <v/>
      </c>
      <c r="E33" s="21" t="str">
        <f>IF(ISNUMBER('IAP data'!E33),('IAP data'!E33/'Des IAP AFR'!E33)-1,"")</f>
        <v/>
      </c>
      <c r="F33" s="21" t="str">
        <f>IF(ISNUMBER('IAP data'!F33),('IAP data'!F33/'Des IAP AFR'!F33)-1,"")</f>
        <v/>
      </c>
      <c r="G33" s="21" t="str">
        <f>IF(ISNUMBER('IAP data'!G33),('IAP data'!G33/'Des IAP AFR'!G33)-1,"")</f>
        <v/>
      </c>
      <c r="H33" s="21" t="str">
        <f>IF(ISNUMBER('IAP data'!H33),('IAP data'!H33/'Des IAP AFR'!H33)-1,"")</f>
        <v/>
      </c>
      <c r="I33" s="21" t="str">
        <f>IF(ISNUMBER('IAP data'!I33),('IAP data'!I33/'Des IAP AFR'!I33)-1,"")</f>
        <v/>
      </c>
      <c r="J33" s="21" t="str">
        <f>IF(ISNUMBER('IAP data'!J33),('IAP data'!J33/'Des IAP AFR'!J33)-1,"")</f>
        <v/>
      </c>
      <c r="K33" s="21" t="str">
        <f>IF(ISNUMBER('IAP data'!K33),('IAP data'!K33/'Des IAP AFR'!K33)-1,"")</f>
        <v/>
      </c>
      <c r="L33" s="21" t="str">
        <f>IF(ISNUMBER('IAP data'!L33),('IAP data'!L33/'Des IAP AFR'!L33)-1,"")</f>
        <v/>
      </c>
      <c r="M33" s="21" t="str">
        <f>IF(ISNUMBER('IAP data'!M33),('IAP data'!M33/'Des IAP AFR'!M33)-1,"")</f>
        <v/>
      </c>
      <c r="N33" s="21" t="str">
        <f>IF(ISNUMBER('IAP data'!N33),('IAP data'!N33/'Des IAP AFR'!N33)-1,"")</f>
        <v/>
      </c>
      <c r="O33" s="21" t="str">
        <f>IF(ISNUMBER('IAP data'!O33),('IAP data'!O33/'Des IAP AFR'!O33)-1,"")</f>
        <v/>
      </c>
      <c r="P33" s="21" t="str">
        <f>IF(ISNUMBER('IAP data'!P33),('IAP data'!P33/'Des IAP AFR'!P33)-1,"")</f>
        <v/>
      </c>
      <c r="Q33" s="21" t="str">
        <f>IF(ISNUMBER('IAP data'!Q33),('IAP data'!Q33/'Des IAP AFR'!Q33)-1,"")</f>
        <v/>
      </c>
      <c r="R33" s="21" t="str">
        <f>IF(ISNUMBER('IAP data'!R33),('IAP data'!R33/'Des IAP AFR'!R33)-1,"")</f>
        <v/>
      </c>
      <c r="S33" s="21" t="str">
        <f>IF(ISNUMBER('IAP data'!S33),('IAP data'!S33/'Des IAP AFR'!S33)-1,"")</f>
        <v/>
      </c>
      <c r="T33" s="21" t="str">
        <f>IF(ISNUMBER('IAP data'!T33),('IAP data'!T33/'Des IAP AFR'!T33)-1,"")</f>
        <v/>
      </c>
      <c r="U33" s="21" t="str">
        <f>IF(ISNUMBER('IAP data'!U33),('IAP data'!U33/'Des IAP AFR'!U33)-1,"")</f>
        <v/>
      </c>
      <c r="V33" s="21" t="str">
        <f>IF(ISNUMBER('IAP data'!V33),('IAP data'!V33/'Des IAP AFR'!V33)-1,"")</f>
        <v/>
      </c>
    </row>
    <row r="34" spans="1:22" x14ac:dyDescent="0.25">
      <c r="A34" s="15">
        <v>9200</v>
      </c>
      <c r="B34" s="21" t="str">
        <f>IF(ISNUMBER('IAP data'!B34),('IAP data'!B34/'Des IAP AFR'!B34)-1,"")</f>
        <v/>
      </c>
      <c r="C34" s="21" t="str">
        <f>IF(ISNUMBER('IAP data'!C34),('IAP data'!C34/'Des IAP AFR'!C34)-1,"")</f>
        <v/>
      </c>
      <c r="D34" s="21" t="str">
        <f>IF(ISNUMBER('IAP data'!D34),('IAP data'!D34/'Des IAP AFR'!D34)-1,"")</f>
        <v/>
      </c>
      <c r="E34" s="21" t="str">
        <f>IF(ISNUMBER('IAP data'!E34),('IAP data'!E34/'Des IAP AFR'!E34)-1,"")</f>
        <v/>
      </c>
      <c r="F34" s="21" t="str">
        <f>IF(ISNUMBER('IAP data'!F34),('IAP data'!F34/'Des IAP AFR'!F34)-1,"")</f>
        <v/>
      </c>
      <c r="G34" s="21" t="str">
        <f>IF(ISNUMBER('IAP data'!G34),('IAP data'!G34/'Des IAP AFR'!G34)-1,"")</f>
        <v/>
      </c>
      <c r="H34" s="21" t="str">
        <f>IF(ISNUMBER('IAP data'!H34),('IAP data'!H34/'Des IAP AFR'!H34)-1,"")</f>
        <v/>
      </c>
      <c r="I34" s="21" t="str">
        <f>IF(ISNUMBER('IAP data'!I34),('IAP data'!I34/'Des IAP AFR'!I34)-1,"")</f>
        <v/>
      </c>
      <c r="J34" s="21" t="str">
        <f>IF(ISNUMBER('IAP data'!J34),('IAP data'!J34/'Des IAP AFR'!J34)-1,"")</f>
        <v/>
      </c>
      <c r="K34" s="21" t="str">
        <f>IF(ISNUMBER('IAP data'!K34),('IAP data'!K34/'Des IAP AFR'!K34)-1,"")</f>
        <v/>
      </c>
      <c r="L34" s="21" t="str">
        <f>IF(ISNUMBER('IAP data'!L34),('IAP data'!L34/'Des IAP AFR'!L34)-1,"")</f>
        <v/>
      </c>
      <c r="M34" s="21" t="str">
        <f>IF(ISNUMBER('IAP data'!M34),('IAP data'!M34/'Des IAP AFR'!M34)-1,"")</f>
        <v/>
      </c>
      <c r="N34" s="21" t="str">
        <f>IF(ISNUMBER('IAP data'!N34),('IAP data'!N34/'Des IAP AFR'!N34)-1,"")</f>
        <v/>
      </c>
      <c r="O34" s="21" t="str">
        <f>IF(ISNUMBER('IAP data'!O34),('IAP data'!O34/'Des IAP AFR'!O34)-1,"")</f>
        <v/>
      </c>
      <c r="P34" s="21" t="str">
        <f>IF(ISNUMBER('IAP data'!P34),('IAP data'!P34/'Des IAP AFR'!P34)-1,"")</f>
        <v/>
      </c>
      <c r="Q34" s="21" t="str">
        <f>IF(ISNUMBER('IAP data'!Q34),('IAP data'!Q34/'Des IAP AFR'!Q34)-1,"")</f>
        <v/>
      </c>
      <c r="R34" s="21" t="str">
        <f>IF(ISNUMBER('IAP data'!R34),('IAP data'!R34/'Des IAP AFR'!R34)-1,"")</f>
        <v/>
      </c>
      <c r="S34" s="21" t="str">
        <f>IF(ISNUMBER('IAP data'!S34),('IAP data'!S34/'Des IAP AFR'!S34)-1,"")</f>
        <v/>
      </c>
      <c r="T34" s="21" t="str">
        <f>IF(ISNUMBER('IAP data'!T34),('IAP data'!T34/'Des IAP AFR'!T34)-1,"")</f>
        <v/>
      </c>
      <c r="U34" s="21" t="str">
        <f>IF(ISNUMBER('IAP data'!U34),('IAP data'!U34/'Des IAP AFR'!U34)-1,"")</f>
        <v/>
      </c>
      <c r="V34" s="21" t="str">
        <f>IF(ISNUMBER('IAP data'!V34),('IAP data'!V34/'Des IAP AFR'!V34)-1,"")</f>
        <v/>
      </c>
    </row>
    <row r="35" spans="1:22" x14ac:dyDescent="0.25">
      <c r="A35" s="15">
        <v>9600</v>
      </c>
      <c r="B35" s="21" t="str">
        <f>IF(ISNUMBER('IAP data'!B35),('IAP data'!B35/'Des IAP AFR'!B35)-1,"")</f>
        <v/>
      </c>
      <c r="C35" s="21" t="str">
        <f>IF(ISNUMBER('IAP data'!C35),('IAP data'!C35/'Des IAP AFR'!C35)-1,"")</f>
        <v/>
      </c>
      <c r="D35" s="21" t="str">
        <f>IF(ISNUMBER('IAP data'!D35),('IAP data'!D35/'Des IAP AFR'!D35)-1,"")</f>
        <v/>
      </c>
      <c r="E35" s="21" t="str">
        <f>IF(ISNUMBER('IAP data'!E35),('IAP data'!E35/'Des IAP AFR'!E35)-1,"")</f>
        <v/>
      </c>
      <c r="F35" s="21" t="str">
        <f>IF(ISNUMBER('IAP data'!F35),('IAP data'!F35/'Des IAP AFR'!F35)-1,"")</f>
        <v/>
      </c>
      <c r="G35" s="21" t="str">
        <f>IF(ISNUMBER('IAP data'!G35),('IAP data'!G35/'Des IAP AFR'!G35)-1,"")</f>
        <v/>
      </c>
      <c r="H35" s="21" t="str">
        <f>IF(ISNUMBER('IAP data'!H35),('IAP data'!H35/'Des IAP AFR'!H35)-1,"")</f>
        <v/>
      </c>
      <c r="I35" s="21" t="str">
        <f>IF(ISNUMBER('IAP data'!I35),('IAP data'!I35/'Des IAP AFR'!I35)-1,"")</f>
        <v/>
      </c>
      <c r="J35" s="21" t="str">
        <f>IF(ISNUMBER('IAP data'!J35),('IAP data'!J35/'Des IAP AFR'!J35)-1,"")</f>
        <v/>
      </c>
      <c r="K35" s="21" t="str">
        <f>IF(ISNUMBER('IAP data'!K35),('IAP data'!K35/'Des IAP AFR'!K35)-1,"")</f>
        <v/>
      </c>
      <c r="L35" s="21" t="str">
        <f>IF(ISNUMBER('IAP data'!L35),('IAP data'!L35/'Des IAP AFR'!L35)-1,"")</f>
        <v/>
      </c>
      <c r="M35" s="21" t="str">
        <f>IF(ISNUMBER('IAP data'!M35),('IAP data'!M35/'Des IAP AFR'!M35)-1,"")</f>
        <v/>
      </c>
      <c r="N35" s="21" t="str">
        <f>IF(ISNUMBER('IAP data'!N35),('IAP data'!N35/'Des IAP AFR'!N35)-1,"")</f>
        <v/>
      </c>
      <c r="O35" s="21" t="str">
        <f>IF(ISNUMBER('IAP data'!O35),('IAP data'!O35/'Des IAP AFR'!O35)-1,"")</f>
        <v/>
      </c>
      <c r="P35" s="21" t="str">
        <f>IF(ISNUMBER('IAP data'!P35),('IAP data'!P35/'Des IAP AFR'!P35)-1,"")</f>
        <v/>
      </c>
      <c r="Q35" s="21" t="str">
        <f>IF(ISNUMBER('IAP data'!Q35),('IAP data'!Q35/'Des IAP AFR'!Q35)-1,"")</f>
        <v/>
      </c>
      <c r="R35" s="21" t="str">
        <f>IF(ISNUMBER('IAP data'!R35),('IAP data'!R35/'Des IAP AFR'!R35)-1,"")</f>
        <v/>
      </c>
      <c r="S35" s="21" t="str">
        <f>IF(ISNUMBER('IAP data'!S35),('IAP data'!S35/'Des IAP AFR'!S35)-1,"")</f>
        <v/>
      </c>
      <c r="T35" s="21" t="str">
        <f>IF(ISNUMBER('IAP data'!T35),('IAP data'!T35/'Des IAP AFR'!T35)-1,"")</f>
        <v/>
      </c>
      <c r="U35" s="21" t="str">
        <f>IF(ISNUMBER('IAP data'!U35),('IAP data'!U35/'Des IAP AFR'!U35)-1,"")</f>
        <v/>
      </c>
      <c r="V35" s="21" t="str">
        <f>IF(ISNUMBER('IAP data'!V35),('IAP data'!V35/'Des IAP AFR'!V35)-1,"")</f>
        <v/>
      </c>
    </row>
    <row r="36" spans="1:22" x14ac:dyDescent="0.25">
      <c r="A36" s="15">
        <v>10000</v>
      </c>
      <c r="B36" s="21" t="str">
        <f>IF(ISNUMBER('IAP data'!B36),('IAP data'!B36/'Des IAP AFR'!B36)-1,"")</f>
        <v/>
      </c>
      <c r="C36" s="21" t="str">
        <f>IF(ISNUMBER('IAP data'!C36),('IAP data'!C36/'Des IAP AFR'!C36)-1,"")</f>
        <v/>
      </c>
      <c r="D36" s="21" t="str">
        <f>IF(ISNUMBER('IAP data'!D36),('IAP data'!D36/'Des IAP AFR'!D36)-1,"")</f>
        <v/>
      </c>
      <c r="E36" s="21" t="str">
        <f>IF(ISNUMBER('IAP data'!E36),('IAP data'!E36/'Des IAP AFR'!E36)-1,"")</f>
        <v/>
      </c>
      <c r="F36" s="21" t="str">
        <f>IF(ISNUMBER('IAP data'!F36),('IAP data'!F36/'Des IAP AFR'!F36)-1,"")</f>
        <v/>
      </c>
      <c r="G36" s="21" t="str">
        <f>IF(ISNUMBER('IAP data'!G36),('IAP data'!G36/'Des IAP AFR'!G36)-1,"")</f>
        <v/>
      </c>
      <c r="H36" s="21" t="str">
        <f>IF(ISNUMBER('IAP data'!H36),('IAP data'!H36/'Des IAP AFR'!H36)-1,"")</f>
        <v/>
      </c>
      <c r="I36" s="21" t="str">
        <f>IF(ISNUMBER('IAP data'!I36),('IAP data'!I36/'Des IAP AFR'!I36)-1,"")</f>
        <v/>
      </c>
      <c r="J36" s="21" t="str">
        <f>IF(ISNUMBER('IAP data'!J36),('IAP data'!J36/'Des IAP AFR'!J36)-1,"")</f>
        <v/>
      </c>
      <c r="K36" s="21" t="str">
        <f>IF(ISNUMBER('IAP data'!K36),('IAP data'!K36/'Des IAP AFR'!K36)-1,"")</f>
        <v/>
      </c>
      <c r="L36" s="21" t="str">
        <f>IF(ISNUMBER('IAP data'!L36),('IAP data'!L36/'Des IAP AFR'!L36)-1,"")</f>
        <v/>
      </c>
      <c r="M36" s="21" t="str">
        <f>IF(ISNUMBER('IAP data'!M36),('IAP data'!M36/'Des IAP AFR'!M36)-1,"")</f>
        <v/>
      </c>
      <c r="N36" s="21" t="str">
        <f>IF(ISNUMBER('IAP data'!N36),('IAP data'!N36/'Des IAP AFR'!N36)-1,"")</f>
        <v/>
      </c>
      <c r="O36" s="21" t="str">
        <f>IF(ISNUMBER('IAP data'!O36),('IAP data'!O36/'Des IAP AFR'!O36)-1,"")</f>
        <v/>
      </c>
      <c r="P36" s="21" t="str">
        <f>IF(ISNUMBER('IAP data'!P36),('IAP data'!P36/'Des IAP AFR'!P36)-1,"")</f>
        <v/>
      </c>
      <c r="Q36" s="21" t="str">
        <f>IF(ISNUMBER('IAP data'!Q36),('IAP data'!Q36/'Des IAP AFR'!Q36)-1,"")</f>
        <v/>
      </c>
      <c r="R36" s="21" t="str">
        <f>IF(ISNUMBER('IAP data'!R36),('IAP data'!R36/'Des IAP AFR'!R36)-1,"")</f>
        <v/>
      </c>
      <c r="S36" s="21" t="str">
        <f>IF(ISNUMBER('IAP data'!S36),('IAP data'!S36/'Des IAP AFR'!S36)-1,"")</f>
        <v/>
      </c>
      <c r="T36" s="21" t="str">
        <f>IF(ISNUMBER('IAP data'!T36),('IAP data'!T36/'Des IAP AFR'!T36)-1,"")</f>
        <v/>
      </c>
      <c r="U36" s="21" t="str">
        <f>IF(ISNUMBER('IAP data'!U36),('IAP data'!U36/'Des IAP AFR'!U36)-1,"")</f>
        <v/>
      </c>
      <c r="V36" s="21" t="str">
        <f>IF(ISNUMBER('IAP data'!V36),('IAP data'!V36/'Des IAP AFR'!V36)-1,"")</f>
        <v/>
      </c>
    </row>
    <row r="37" spans="1:22" x14ac:dyDescent="0.25">
      <c r="A37" s="15">
        <v>10400</v>
      </c>
      <c r="B37" s="21" t="str">
        <f>IF(ISNUMBER('IAP data'!B37),('IAP data'!B37/'Des IAP AFR'!B37)-1,"")</f>
        <v/>
      </c>
      <c r="C37" s="21" t="str">
        <f>IF(ISNUMBER('IAP data'!C37),('IAP data'!C37/'Des IAP AFR'!C37)-1,"")</f>
        <v/>
      </c>
      <c r="D37" s="21" t="str">
        <f>IF(ISNUMBER('IAP data'!D37),('IAP data'!D37/'Des IAP AFR'!D37)-1,"")</f>
        <v/>
      </c>
      <c r="E37" s="21" t="str">
        <f>IF(ISNUMBER('IAP data'!E37),('IAP data'!E37/'Des IAP AFR'!E37)-1,"")</f>
        <v/>
      </c>
      <c r="F37" s="21" t="str">
        <f>IF(ISNUMBER('IAP data'!F37),('IAP data'!F37/'Des IAP AFR'!F37)-1,"")</f>
        <v/>
      </c>
      <c r="G37" s="21" t="str">
        <f>IF(ISNUMBER('IAP data'!G37),('IAP data'!G37/'Des IAP AFR'!G37)-1,"")</f>
        <v/>
      </c>
      <c r="H37" s="21" t="str">
        <f>IF(ISNUMBER('IAP data'!H37),('IAP data'!H37/'Des IAP AFR'!H37)-1,"")</f>
        <v/>
      </c>
      <c r="I37" s="21" t="str">
        <f>IF(ISNUMBER('IAP data'!I37),('IAP data'!I37/'Des IAP AFR'!I37)-1,"")</f>
        <v/>
      </c>
      <c r="J37" s="21" t="str">
        <f>IF(ISNUMBER('IAP data'!J37),('IAP data'!J37/'Des IAP AFR'!J37)-1,"")</f>
        <v/>
      </c>
      <c r="K37" s="21" t="str">
        <f>IF(ISNUMBER('IAP data'!K37),('IAP data'!K37/'Des IAP AFR'!K37)-1,"")</f>
        <v/>
      </c>
      <c r="L37" s="21" t="str">
        <f>IF(ISNUMBER('IAP data'!L37),('IAP data'!L37/'Des IAP AFR'!L37)-1,"")</f>
        <v/>
      </c>
      <c r="M37" s="21" t="str">
        <f>IF(ISNUMBER('IAP data'!M37),('IAP data'!M37/'Des IAP AFR'!M37)-1,"")</f>
        <v/>
      </c>
      <c r="N37" s="21" t="str">
        <f>IF(ISNUMBER('IAP data'!N37),('IAP data'!N37/'Des IAP AFR'!N37)-1,"")</f>
        <v/>
      </c>
      <c r="O37" s="21" t="str">
        <f>IF(ISNUMBER('IAP data'!O37),('IAP data'!O37/'Des IAP AFR'!O37)-1,"")</f>
        <v/>
      </c>
      <c r="P37" s="21" t="str">
        <f>IF(ISNUMBER('IAP data'!P37),('IAP data'!P37/'Des IAP AFR'!P37)-1,"")</f>
        <v/>
      </c>
      <c r="Q37" s="21" t="str">
        <f>IF(ISNUMBER('IAP data'!Q37),('IAP data'!Q37/'Des IAP AFR'!Q37)-1,"")</f>
        <v/>
      </c>
      <c r="R37" s="21" t="str">
        <f>IF(ISNUMBER('IAP data'!R37),('IAP data'!R37/'Des IAP AFR'!R37)-1,"")</f>
        <v/>
      </c>
      <c r="S37" s="21" t="str">
        <f>IF(ISNUMBER('IAP data'!S37),('IAP data'!S37/'Des IAP AFR'!S37)-1,"")</f>
        <v/>
      </c>
      <c r="T37" s="21" t="str">
        <f>IF(ISNUMBER('IAP data'!T37),('IAP data'!T37/'Des IAP AFR'!T37)-1,"")</f>
        <v/>
      </c>
      <c r="U37" s="21" t="str">
        <f>IF(ISNUMBER('IAP data'!U37),('IAP data'!U37/'Des IAP AFR'!U37)-1,"")</f>
        <v/>
      </c>
      <c r="V37" s="21" t="str">
        <f>IF(ISNUMBER('IAP data'!V37),('IAP data'!V37/'Des IAP AFR'!V37)-1,"")</f>
        <v/>
      </c>
    </row>
    <row r="38" spans="1:22" x14ac:dyDescent="0.25">
      <c r="A38" s="15">
        <v>10800</v>
      </c>
      <c r="B38" s="21" t="str">
        <f>IF(ISNUMBER('IAP data'!B38),('IAP data'!B38/'Des IAP AFR'!B38)-1,"")</f>
        <v/>
      </c>
      <c r="C38" s="21" t="str">
        <f>IF(ISNUMBER('IAP data'!C38),('IAP data'!C38/'Des IAP AFR'!C38)-1,"")</f>
        <v/>
      </c>
      <c r="D38" s="21" t="str">
        <f>IF(ISNUMBER('IAP data'!D38),('IAP data'!D38/'Des IAP AFR'!D38)-1,"")</f>
        <v/>
      </c>
      <c r="E38" s="21" t="str">
        <f>IF(ISNUMBER('IAP data'!E38),('IAP data'!E38/'Des IAP AFR'!E38)-1,"")</f>
        <v/>
      </c>
      <c r="F38" s="21" t="str">
        <f>IF(ISNUMBER('IAP data'!F38),('IAP data'!F38/'Des IAP AFR'!F38)-1,"")</f>
        <v/>
      </c>
      <c r="G38" s="21" t="str">
        <f>IF(ISNUMBER('IAP data'!G38),('IAP data'!G38/'Des IAP AFR'!G38)-1,"")</f>
        <v/>
      </c>
      <c r="H38" s="21" t="str">
        <f>IF(ISNUMBER('IAP data'!H38),('IAP data'!H38/'Des IAP AFR'!H38)-1,"")</f>
        <v/>
      </c>
      <c r="I38" s="21" t="str">
        <f>IF(ISNUMBER('IAP data'!I38),('IAP data'!I38/'Des IAP AFR'!I38)-1,"")</f>
        <v/>
      </c>
      <c r="J38" s="21" t="str">
        <f>IF(ISNUMBER('IAP data'!J38),('IAP data'!J38/'Des IAP AFR'!J38)-1,"")</f>
        <v/>
      </c>
      <c r="K38" s="21" t="str">
        <f>IF(ISNUMBER('IAP data'!K38),('IAP data'!K38/'Des IAP AFR'!K38)-1,"")</f>
        <v/>
      </c>
      <c r="L38" s="21" t="str">
        <f>IF(ISNUMBER('IAP data'!L38),('IAP data'!L38/'Des IAP AFR'!L38)-1,"")</f>
        <v/>
      </c>
      <c r="M38" s="21" t="str">
        <f>IF(ISNUMBER('IAP data'!M38),('IAP data'!M38/'Des IAP AFR'!M38)-1,"")</f>
        <v/>
      </c>
      <c r="N38" s="21" t="str">
        <f>IF(ISNUMBER('IAP data'!N38),('IAP data'!N38/'Des IAP AFR'!N38)-1,"")</f>
        <v/>
      </c>
      <c r="O38" s="21" t="str">
        <f>IF(ISNUMBER('IAP data'!O38),('IAP data'!O38/'Des IAP AFR'!O38)-1,"")</f>
        <v/>
      </c>
      <c r="P38" s="21" t="str">
        <f>IF(ISNUMBER('IAP data'!P38),('IAP data'!P38/'Des IAP AFR'!P38)-1,"")</f>
        <v/>
      </c>
      <c r="Q38" s="21" t="str">
        <f>IF(ISNUMBER('IAP data'!Q38),('IAP data'!Q38/'Des IAP AFR'!Q38)-1,"")</f>
        <v/>
      </c>
      <c r="R38" s="21" t="str">
        <f>IF(ISNUMBER('IAP data'!R38),('IAP data'!R38/'Des IAP AFR'!R38)-1,"")</f>
        <v/>
      </c>
      <c r="S38" s="21" t="str">
        <f>IF(ISNUMBER('IAP data'!S38),('IAP data'!S38/'Des IAP AFR'!S38)-1,"")</f>
        <v/>
      </c>
      <c r="T38" s="21" t="str">
        <f>IF(ISNUMBER('IAP data'!T38),('IAP data'!T38/'Des IAP AFR'!T38)-1,"")</f>
        <v/>
      </c>
      <c r="U38" s="21" t="str">
        <f>IF(ISNUMBER('IAP data'!U38),('IAP data'!U38/'Des IAP AFR'!U38)-1,"")</f>
        <v/>
      </c>
      <c r="V38" s="21" t="str">
        <f>IF(ISNUMBER('IAP data'!V38),('IAP data'!V38/'Des IAP AFR'!V38)-1,"")</f>
        <v/>
      </c>
    </row>
    <row r="39" spans="1:22" x14ac:dyDescent="0.25">
      <c r="A39" s="15">
        <v>11200</v>
      </c>
      <c r="B39" s="21" t="str">
        <f>IF(ISNUMBER('IAP data'!B39),('IAP data'!B39/'Des IAP AFR'!B39)-1,"")</f>
        <v/>
      </c>
      <c r="C39" s="21" t="str">
        <f>IF(ISNUMBER('IAP data'!C39),('IAP data'!C39/'Des IAP AFR'!C39)-1,"")</f>
        <v/>
      </c>
      <c r="D39" s="21" t="str">
        <f>IF(ISNUMBER('IAP data'!D39),('IAP data'!D39/'Des IAP AFR'!D39)-1,"")</f>
        <v/>
      </c>
      <c r="E39" s="21" t="str">
        <f>IF(ISNUMBER('IAP data'!E39),('IAP data'!E39/'Des IAP AFR'!E39)-1,"")</f>
        <v/>
      </c>
      <c r="F39" s="21" t="str">
        <f>IF(ISNUMBER('IAP data'!F39),('IAP data'!F39/'Des IAP AFR'!F39)-1,"")</f>
        <v/>
      </c>
      <c r="G39" s="21" t="str">
        <f>IF(ISNUMBER('IAP data'!G39),('IAP data'!G39/'Des IAP AFR'!G39)-1,"")</f>
        <v/>
      </c>
      <c r="H39" s="21" t="str">
        <f>IF(ISNUMBER('IAP data'!H39),('IAP data'!H39/'Des IAP AFR'!H39)-1,"")</f>
        <v/>
      </c>
      <c r="I39" s="21" t="str">
        <f>IF(ISNUMBER('IAP data'!I39),('IAP data'!I39/'Des IAP AFR'!I39)-1,"")</f>
        <v/>
      </c>
      <c r="J39" s="21" t="str">
        <f>IF(ISNUMBER('IAP data'!J39),('IAP data'!J39/'Des IAP AFR'!J39)-1,"")</f>
        <v/>
      </c>
      <c r="K39" s="21" t="str">
        <f>IF(ISNUMBER('IAP data'!K39),('IAP data'!K39/'Des IAP AFR'!K39)-1,"")</f>
        <v/>
      </c>
      <c r="L39" s="21" t="str">
        <f>IF(ISNUMBER('IAP data'!L39),('IAP data'!L39/'Des IAP AFR'!L39)-1,"")</f>
        <v/>
      </c>
      <c r="M39" s="21" t="str">
        <f>IF(ISNUMBER('IAP data'!M39),('IAP data'!M39/'Des IAP AFR'!M39)-1,"")</f>
        <v/>
      </c>
      <c r="N39" s="21" t="str">
        <f>IF(ISNUMBER('IAP data'!N39),('IAP data'!N39/'Des IAP AFR'!N39)-1,"")</f>
        <v/>
      </c>
      <c r="O39" s="21" t="str">
        <f>IF(ISNUMBER('IAP data'!O39),('IAP data'!O39/'Des IAP AFR'!O39)-1,"")</f>
        <v/>
      </c>
      <c r="P39" s="21" t="str">
        <f>IF(ISNUMBER('IAP data'!P39),('IAP data'!P39/'Des IAP AFR'!P39)-1,"")</f>
        <v/>
      </c>
      <c r="Q39" s="21" t="str">
        <f>IF(ISNUMBER('IAP data'!Q39),('IAP data'!Q39/'Des IAP AFR'!Q39)-1,"")</f>
        <v/>
      </c>
      <c r="R39" s="21" t="str">
        <f>IF(ISNUMBER('IAP data'!R39),('IAP data'!R39/'Des IAP AFR'!R39)-1,"")</f>
        <v/>
      </c>
      <c r="S39" s="21" t="str">
        <f>IF(ISNUMBER('IAP data'!S39),('IAP data'!S39/'Des IAP AFR'!S39)-1,"")</f>
        <v/>
      </c>
      <c r="T39" s="21" t="str">
        <f>IF(ISNUMBER('IAP data'!T39),('IAP data'!T39/'Des IAP AFR'!T39)-1,"")</f>
        <v/>
      </c>
      <c r="U39" s="21" t="str">
        <f>IF(ISNUMBER('IAP data'!U39),('IAP data'!U39/'Des IAP AFR'!U39)-1,"")</f>
        <v/>
      </c>
      <c r="V39" s="21" t="str">
        <f>IF(ISNUMBER('IAP data'!V39),('IAP data'!V39/'Des IAP AFR'!V39)-1,"")</f>
        <v/>
      </c>
    </row>
    <row r="40" spans="1:22" x14ac:dyDescent="0.25">
      <c r="A40" s="15">
        <v>11600</v>
      </c>
      <c r="B40" s="21" t="str">
        <f>IF(ISNUMBER('IAP data'!B40),('IAP data'!B40/'Des IAP AFR'!B40)-1,"")</f>
        <v/>
      </c>
      <c r="C40" s="21" t="str">
        <f>IF(ISNUMBER('IAP data'!C40),('IAP data'!C40/'Des IAP AFR'!C40)-1,"")</f>
        <v/>
      </c>
      <c r="D40" s="21" t="str">
        <f>IF(ISNUMBER('IAP data'!D40),('IAP data'!D40/'Des IAP AFR'!D40)-1,"")</f>
        <v/>
      </c>
      <c r="E40" s="21" t="str">
        <f>IF(ISNUMBER('IAP data'!E40),('IAP data'!E40/'Des IAP AFR'!E40)-1,"")</f>
        <v/>
      </c>
      <c r="F40" s="21" t="str">
        <f>IF(ISNUMBER('IAP data'!F40),('IAP data'!F40/'Des IAP AFR'!F40)-1,"")</f>
        <v/>
      </c>
      <c r="G40" s="21" t="str">
        <f>IF(ISNUMBER('IAP data'!G40),('IAP data'!G40/'Des IAP AFR'!G40)-1,"")</f>
        <v/>
      </c>
      <c r="H40" s="21" t="str">
        <f>IF(ISNUMBER('IAP data'!H40),('IAP data'!H40/'Des IAP AFR'!H40)-1,"")</f>
        <v/>
      </c>
      <c r="I40" s="21" t="str">
        <f>IF(ISNUMBER('IAP data'!I40),('IAP data'!I40/'Des IAP AFR'!I40)-1,"")</f>
        <v/>
      </c>
      <c r="J40" s="21" t="str">
        <f>IF(ISNUMBER('IAP data'!J40),('IAP data'!J40/'Des IAP AFR'!J40)-1,"")</f>
        <v/>
      </c>
      <c r="K40" s="21" t="str">
        <f>IF(ISNUMBER('IAP data'!K40),('IAP data'!K40/'Des IAP AFR'!K40)-1,"")</f>
        <v/>
      </c>
      <c r="L40" s="21" t="str">
        <f>IF(ISNUMBER('IAP data'!L40),('IAP data'!L40/'Des IAP AFR'!L40)-1,"")</f>
        <v/>
      </c>
      <c r="M40" s="21" t="str">
        <f>IF(ISNUMBER('IAP data'!M40),('IAP data'!M40/'Des IAP AFR'!M40)-1,"")</f>
        <v/>
      </c>
      <c r="N40" s="21" t="str">
        <f>IF(ISNUMBER('IAP data'!N40),('IAP data'!N40/'Des IAP AFR'!N40)-1,"")</f>
        <v/>
      </c>
      <c r="O40" s="21" t="str">
        <f>IF(ISNUMBER('IAP data'!O40),('IAP data'!O40/'Des IAP AFR'!O40)-1,"")</f>
        <v/>
      </c>
      <c r="P40" s="21" t="str">
        <f>IF(ISNUMBER('IAP data'!P40),('IAP data'!P40/'Des IAP AFR'!P40)-1,"")</f>
        <v/>
      </c>
      <c r="Q40" s="21" t="str">
        <f>IF(ISNUMBER('IAP data'!Q40),('IAP data'!Q40/'Des IAP AFR'!Q40)-1,"")</f>
        <v/>
      </c>
      <c r="R40" s="21" t="str">
        <f>IF(ISNUMBER('IAP data'!R40),('IAP data'!R40/'Des IAP AFR'!R40)-1,"")</f>
        <v/>
      </c>
      <c r="S40" s="21" t="str">
        <f>IF(ISNUMBER('IAP data'!S40),('IAP data'!S40/'Des IAP AFR'!S40)-1,"")</f>
        <v/>
      </c>
      <c r="T40" s="21" t="str">
        <f>IF(ISNUMBER('IAP data'!T40),('IAP data'!T40/'Des IAP AFR'!T40)-1,"")</f>
        <v/>
      </c>
      <c r="U40" s="21" t="str">
        <f>IF(ISNUMBER('IAP data'!U40),('IAP data'!U40/'Des IAP AFR'!U40)-1,"")</f>
        <v/>
      </c>
      <c r="V40" s="21" t="str">
        <f>IF(ISNUMBER('IAP data'!V40),('IAP data'!V40/'Des IAP AFR'!V40)-1,"")</f>
        <v/>
      </c>
    </row>
    <row r="41" spans="1:22" x14ac:dyDescent="0.25">
      <c r="A41" s="15">
        <v>12000</v>
      </c>
      <c r="B41" s="21" t="str">
        <f>IF(ISNUMBER('IAP data'!B41),('IAP data'!B41/'Des IAP AFR'!B41)-1,"")</f>
        <v/>
      </c>
      <c r="C41" s="21" t="str">
        <f>IF(ISNUMBER('IAP data'!C41),('IAP data'!C41/'Des IAP AFR'!C41)-1,"")</f>
        <v/>
      </c>
      <c r="D41" s="21" t="str">
        <f>IF(ISNUMBER('IAP data'!D41),('IAP data'!D41/'Des IAP AFR'!D41)-1,"")</f>
        <v/>
      </c>
      <c r="E41" s="21" t="str">
        <f>IF(ISNUMBER('IAP data'!E41),('IAP data'!E41/'Des IAP AFR'!E41)-1,"")</f>
        <v/>
      </c>
      <c r="F41" s="21" t="str">
        <f>IF(ISNUMBER('IAP data'!F41),('IAP data'!F41/'Des IAP AFR'!F41)-1,"")</f>
        <v/>
      </c>
      <c r="G41" s="21" t="str">
        <f>IF(ISNUMBER('IAP data'!G41),('IAP data'!G41/'Des IAP AFR'!G41)-1,"")</f>
        <v/>
      </c>
      <c r="H41" s="21" t="str">
        <f>IF(ISNUMBER('IAP data'!H41),('IAP data'!H41/'Des IAP AFR'!H41)-1,"")</f>
        <v/>
      </c>
      <c r="I41" s="21" t="str">
        <f>IF(ISNUMBER('IAP data'!I41),('IAP data'!I41/'Des IAP AFR'!I41)-1,"")</f>
        <v/>
      </c>
      <c r="J41" s="21" t="str">
        <f>IF(ISNUMBER('IAP data'!J41),('IAP data'!J41/'Des IAP AFR'!J41)-1,"")</f>
        <v/>
      </c>
      <c r="K41" s="21" t="str">
        <f>IF(ISNUMBER('IAP data'!K41),('IAP data'!K41/'Des IAP AFR'!K41)-1,"")</f>
        <v/>
      </c>
      <c r="L41" s="21" t="str">
        <f>IF(ISNUMBER('IAP data'!L41),('IAP data'!L41/'Des IAP AFR'!L41)-1,"")</f>
        <v/>
      </c>
      <c r="M41" s="21" t="str">
        <f>IF(ISNUMBER('IAP data'!M41),('IAP data'!M41/'Des IAP AFR'!M41)-1,"")</f>
        <v/>
      </c>
      <c r="N41" s="21" t="str">
        <f>IF(ISNUMBER('IAP data'!N41),('IAP data'!N41/'Des IAP AFR'!N41)-1,"")</f>
        <v/>
      </c>
      <c r="O41" s="21" t="str">
        <f>IF(ISNUMBER('IAP data'!O41),('IAP data'!O41/'Des IAP AFR'!O41)-1,"")</f>
        <v/>
      </c>
      <c r="P41" s="21" t="str">
        <f>IF(ISNUMBER('IAP data'!P41),('IAP data'!P41/'Des IAP AFR'!P41)-1,"")</f>
        <v/>
      </c>
      <c r="Q41" s="21" t="str">
        <f>IF(ISNUMBER('IAP data'!Q41),('IAP data'!Q41/'Des IAP AFR'!Q41)-1,"")</f>
        <v/>
      </c>
      <c r="R41" s="21" t="str">
        <f>IF(ISNUMBER('IAP data'!R41),('IAP data'!R41/'Des IAP AFR'!R41)-1,"")</f>
        <v/>
      </c>
      <c r="S41" s="21" t="str">
        <f>IF(ISNUMBER('IAP data'!S41),('IAP data'!S41/'Des IAP AFR'!S41)-1,"")</f>
        <v/>
      </c>
      <c r="T41" s="21" t="str">
        <f>IF(ISNUMBER('IAP data'!T41),('IAP data'!T41/'Des IAP AFR'!T41)-1,"")</f>
        <v/>
      </c>
      <c r="U41" s="21" t="str">
        <f>IF(ISNUMBER('IAP data'!U41),('IAP data'!U41/'Des IAP AFR'!U41)-1,"")</f>
        <v/>
      </c>
      <c r="V41" s="21" t="str">
        <f>IF(ISNUMBER('IAP data'!V41),('IAP data'!V41/'Des IAP AFR'!V41)-1,"")</f>
        <v/>
      </c>
    </row>
    <row r="42" spans="1:22" x14ac:dyDescent="0.25">
      <c r="A42" s="15">
        <v>12400</v>
      </c>
      <c r="B42" s="21" t="str">
        <f>IF(ISNUMBER('IAP data'!B42),('IAP data'!B42/'Des IAP AFR'!B42)-1,"")</f>
        <v/>
      </c>
      <c r="C42" s="21" t="str">
        <f>IF(ISNUMBER('IAP data'!C42),('IAP data'!C42/'Des IAP AFR'!C42)-1,"")</f>
        <v/>
      </c>
      <c r="D42" s="21" t="str">
        <f>IF(ISNUMBER('IAP data'!D42),('IAP data'!D42/'Des IAP AFR'!D42)-1,"")</f>
        <v/>
      </c>
      <c r="E42" s="21" t="str">
        <f>IF(ISNUMBER('IAP data'!E42),('IAP data'!E42/'Des IAP AFR'!E42)-1,"")</f>
        <v/>
      </c>
      <c r="F42" s="21" t="str">
        <f>IF(ISNUMBER('IAP data'!F42),('IAP data'!F42/'Des IAP AFR'!F42)-1,"")</f>
        <v/>
      </c>
      <c r="G42" s="21" t="str">
        <f>IF(ISNUMBER('IAP data'!G42),('IAP data'!G42/'Des IAP AFR'!G42)-1,"")</f>
        <v/>
      </c>
      <c r="H42" s="21" t="str">
        <f>IF(ISNUMBER('IAP data'!H42),('IAP data'!H42/'Des IAP AFR'!H42)-1,"")</f>
        <v/>
      </c>
      <c r="I42" s="21" t="str">
        <f>IF(ISNUMBER('IAP data'!I42),('IAP data'!I42/'Des IAP AFR'!I42)-1,"")</f>
        <v/>
      </c>
      <c r="J42" s="21" t="str">
        <f>IF(ISNUMBER('IAP data'!J42),('IAP data'!J42/'Des IAP AFR'!J42)-1,"")</f>
        <v/>
      </c>
      <c r="K42" s="21" t="str">
        <f>IF(ISNUMBER('IAP data'!K42),('IAP data'!K42/'Des IAP AFR'!K42)-1,"")</f>
        <v/>
      </c>
      <c r="L42" s="21" t="str">
        <f>IF(ISNUMBER('IAP data'!L42),('IAP data'!L42/'Des IAP AFR'!L42)-1,"")</f>
        <v/>
      </c>
      <c r="M42" s="21" t="str">
        <f>IF(ISNUMBER('IAP data'!M42),('IAP data'!M42/'Des IAP AFR'!M42)-1,"")</f>
        <v/>
      </c>
      <c r="N42" s="21" t="str">
        <f>IF(ISNUMBER('IAP data'!N42),('IAP data'!N42/'Des IAP AFR'!N42)-1,"")</f>
        <v/>
      </c>
      <c r="O42" s="21" t="str">
        <f>IF(ISNUMBER('IAP data'!O42),('IAP data'!O42/'Des IAP AFR'!O42)-1,"")</f>
        <v/>
      </c>
      <c r="P42" s="21" t="str">
        <f>IF(ISNUMBER('IAP data'!P42),('IAP data'!P42/'Des IAP AFR'!P42)-1,"")</f>
        <v/>
      </c>
      <c r="Q42" s="21" t="str">
        <f>IF(ISNUMBER('IAP data'!Q42),('IAP data'!Q42/'Des IAP AFR'!Q42)-1,"")</f>
        <v/>
      </c>
      <c r="R42" s="21" t="str">
        <f>IF(ISNUMBER('IAP data'!R42),('IAP data'!R42/'Des IAP AFR'!R42)-1,"")</f>
        <v/>
      </c>
      <c r="S42" s="21" t="str">
        <f>IF(ISNUMBER('IAP data'!S42),('IAP data'!S42/'Des IAP AFR'!S42)-1,"")</f>
        <v/>
      </c>
      <c r="T42" s="21" t="str">
        <f>IF(ISNUMBER('IAP data'!T42),('IAP data'!T42/'Des IAP AFR'!T42)-1,"")</f>
        <v/>
      </c>
      <c r="U42" s="21" t="str">
        <f>IF(ISNUMBER('IAP data'!U42),('IAP data'!U42/'Des IAP AFR'!U42)-1,"")</f>
        <v/>
      </c>
      <c r="V42" s="21" t="str">
        <f>IF(ISNUMBER('IAP data'!V42),('IAP data'!V42/'Des IAP AFR'!V42)-1,"")</f>
        <v/>
      </c>
    </row>
    <row r="43" spans="1:22" ht="13.8" thickBot="1" x14ac:dyDescent="0.3">
      <c r="A43" s="16">
        <v>12800</v>
      </c>
      <c r="B43" s="21" t="str">
        <f>IF(ISNUMBER('IAP data'!B43),('IAP data'!B43/'Des IAP AFR'!B43)-1,"")</f>
        <v/>
      </c>
      <c r="C43" s="21" t="str">
        <f>IF(ISNUMBER('IAP data'!C43),('IAP data'!C43/'Des IAP AFR'!C43)-1,"")</f>
        <v/>
      </c>
      <c r="D43" s="21" t="str">
        <f>IF(ISNUMBER('IAP data'!D43),('IAP data'!D43/'Des IAP AFR'!D43)-1,"")</f>
        <v/>
      </c>
      <c r="E43" s="21" t="str">
        <f>IF(ISNUMBER('IAP data'!E43),('IAP data'!E43/'Des IAP AFR'!E43)-1,"")</f>
        <v/>
      </c>
      <c r="F43" s="21" t="str">
        <f>IF(ISNUMBER('IAP data'!F43),('IAP data'!F43/'Des IAP AFR'!F43)-1,"")</f>
        <v/>
      </c>
      <c r="G43" s="21" t="str">
        <f>IF(ISNUMBER('IAP data'!G43),('IAP data'!G43/'Des IAP AFR'!G43)-1,"")</f>
        <v/>
      </c>
      <c r="H43" s="21" t="str">
        <f>IF(ISNUMBER('IAP data'!H43),('IAP data'!H43/'Des IAP AFR'!H43)-1,"")</f>
        <v/>
      </c>
      <c r="I43" s="21" t="str">
        <f>IF(ISNUMBER('IAP data'!I43),('IAP data'!I43/'Des IAP AFR'!I43)-1,"")</f>
        <v/>
      </c>
      <c r="J43" s="21" t="str">
        <f>IF(ISNUMBER('IAP data'!J43),('IAP data'!J43/'Des IAP AFR'!J43)-1,"")</f>
        <v/>
      </c>
      <c r="K43" s="21" t="str">
        <f>IF(ISNUMBER('IAP data'!K43),('IAP data'!K43/'Des IAP AFR'!K43)-1,"")</f>
        <v/>
      </c>
      <c r="L43" s="21" t="str">
        <f>IF(ISNUMBER('IAP data'!L43),('IAP data'!L43/'Des IAP AFR'!L43)-1,"")</f>
        <v/>
      </c>
      <c r="M43" s="21" t="str">
        <f>IF(ISNUMBER('IAP data'!M43),('IAP data'!M43/'Des IAP AFR'!M43)-1,"")</f>
        <v/>
      </c>
      <c r="N43" s="21" t="str">
        <f>IF(ISNUMBER('IAP data'!N43),('IAP data'!N43/'Des IAP AFR'!N43)-1,"")</f>
        <v/>
      </c>
      <c r="O43" s="21" t="str">
        <f>IF(ISNUMBER('IAP data'!O43),('IAP data'!O43/'Des IAP AFR'!O43)-1,"")</f>
        <v/>
      </c>
      <c r="P43" s="21" t="str">
        <f>IF(ISNUMBER('IAP data'!P43),('IAP data'!P43/'Des IAP AFR'!P43)-1,"")</f>
        <v/>
      </c>
      <c r="Q43" s="21" t="str">
        <f>IF(ISNUMBER('IAP data'!Q43),('IAP data'!Q43/'Des IAP AFR'!Q43)-1,"")</f>
        <v/>
      </c>
      <c r="R43" s="21" t="str">
        <f>IF(ISNUMBER('IAP data'!R43),('IAP data'!R43/'Des IAP AFR'!R43)-1,"")</f>
        <v/>
      </c>
      <c r="S43" s="21" t="str">
        <f>IF(ISNUMBER('IAP data'!S43),('IAP data'!S43/'Des IAP AFR'!S43)-1,"")</f>
        <v/>
      </c>
      <c r="T43" s="21" t="str">
        <f>IF(ISNUMBER('IAP data'!T43),('IAP data'!T43/'Des IAP AFR'!T43)-1,"")</f>
        <v/>
      </c>
      <c r="U43" s="21">
        <f>IF(ISNUMBER('IAP data'!U43),('IAP data'!U43/'Des IAP AFR'!U43)-1,"")</f>
        <v>0.34337822671156015</v>
      </c>
      <c r="V43" s="21" t="str">
        <f>IF(ISNUMBER('IAP data'!V43),('IAP data'!V43/'Des IAP AFR'!V43)-1,"")</f>
        <v/>
      </c>
    </row>
  </sheetData>
  <sheetProtection algorithmName="SHA-512" hashValue="oxcMz4blPMmGZ9s1nxzAojk8i89gkbfrXGBBSxmWbQ5hPiyhFQRuZoTV8ioIbPSqaDZf7FRIjyhQKN2HDOKZXw==" saltValue="uTf8n6rMnG9ZENJaDWfKAQ==" spinCount="100000" sheet="1" objects="1" scenarios="1"/>
  <conditionalFormatting sqref="B2:V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X43"/>
  <sheetViews>
    <sheetView zoomScale="70" zoomScaleNormal="70" workbookViewId="0">
      <selection activeCell="Q9" sqref="Q9"/>
    </sheetView>
  </sheetViews>
  <sheetFormatPr defaultRowHeight="13.2" x14ac:dyDescent="0.25"/>
  <cols>
    <col min="1" max="1" width="6.6640625" bestFit="1" customWidth="1"/>
    <col min="2" max="7" width="4.88671875" bestFit="1" customWidth="1"/>
    <col min="8" max="24" width="6" bestFit="1" customWidth="1"/>
  </cols>
  <sheetData>
    <row r="1" spans="1:24" x14ac:dyDescent="0.25">
      <c r="A1" s="12" t="s">
        <v>0</v>
      </c>
      <c r="B1" s="13">
        <v>0</v>
      </c>
      <c r="C1" s="13">
        <v>0.6</v>
      </c>
      <c r="D1" s="13">
        <v>1.2</v>
      </c>
      <c r="E1" s="13">
        <v>1.9</v>
      </c>
      <c r="F1" s="13">
        <v>2.5</v>
      </c>
      <c r="G1" s="13">
        <v>3.1</v>
      </c>
      <c r="H1" s="13">
        <v>3.7</v>
      </c>
      <c r="I1" s="13">
        <v>4.4000000000000004</v>
      </c>
      <c r="J1" s="13">
        <v>5.6</v>
      </c>
      <c r="K1" s="13">
        <v>6.8</v>
      </c>
      <c r="L1" s="13">
        <v>8.1</v>
      </c>
      <c r="M1" s="13">
        <v>9.3000000000000007</v>
      </c>
      <c r="N1" s="13">
        <v>10.6</v>
      </c>
      <c r="O1" s="13">
        <v>15.5</v>
      </c>
      <c r="P1" s="13">
        <v>20.5</v>
      </c>
      <c r="Q1" s="13">
        <v>25.5</v>
      </c>
      <c r="R1" s="13">
        <v>30.5</v>
      </c>
      <c r="S1" s="13">
        <v>40.4</v>
      </c>
      <c r="T1" s="13">
        <v>50.4</v>
      </c>
      <c r="U1" s="13">
        <v>60.3</v>
      </c>
      <c r="V1" s="13">
        <v>70.3</v>
      </c>
      <c r="W1" s="13">
        <v>90.2</v>
      </c>
      <c r="X1" s="14">
        <v>100</v>
      </c>
    </row>
    <row r="2" spans="1:24" x14ac:dyDescent="0.25">
      <c r="A2" s="15">
        <v>800</v>
      </c>
      <c r="B2" s="27">
        <f>IF(ISNUMBER('TPS Correction'!B2),'TPS Current'!B2*('TPS Correction'!B2+1),'TPS Current'!B2)</f>
        <v>48</v>
      </c>
      <c r="C2" s="27">
        <f>IF(ISNUMBER('TPS Correction'!C2),'TPS Current'!C2*('TPS Correction'!C2+1),'TPS Current'!C2)</f>
        <v>49</v>
      </c>
      <c r="D2" s="27">
        <f>IF(ISNUMBER('TPS Correction'!D2),'TPS Current'!D2*('TPS Correction'!D2+1),'TPS Current'!D2)</f>
        <v>75</v>
      </c>
      <c r="E2" s="27">
        <f>IF(ISNUMBER('TPS Correction'!E2),'TPS Current'!E2*('TPS Correction'!E2+1),'TPS Current'!E2)</f>
        <v>86</v>
      </c>
      <c r="F2" s="27">
        <f>IF(ISNUMBER('TPS Correction'!F2),'TPS Current'!F2*('TPS Correction'!F2+1),'TPS Current'!F2)</f>
        <v>97</v>
      </c>
      <c r="G2" s="27">
        <f>IF(ISNUMBER('TPS Correction'!G2),'TPS Current'!G2*('TPS Correction'!G2+1),'TPS Current'!G2)</f>
        <v>101</v>
      </c>
      <c r="H2" s="27">
        <f>IF(ISNUMBER('TPS Correction'!H2),'TPS Current'!H2*('TPS Correction'!H2+1),'TPS Current'!H2)</f>
        <v>109</v>
      </c>
      <c r="I2" s="27">
        <f>IF(ISNUMBER('TPS Correction'!I2),'TPS Current'!I2*('TPS Correction'!I2+1),'TPS Current'!I2)</f>
        <v>112</v>
      </c>
      <c r="J2" s="27">
        <f>IF(ISNUMBER('TPS Correction'!J2),'TPS Current'!J2*('TPS Correction'!J2+1),'TPS Current'!J2)</f>
        <v>123</v>
      </c>
      <c r="K2" s="27">
        <f>IF(ISNUMBER('TPS Correction'!K2),'TPS Current'!K2*('TPS Correction'!K2+1),'TPS Current'!K2)</f>
        <v>132</v>
      </c>
      <c r="L2" s="27">
        <f>IF(ISNUMBER('TPS Correction'!L2),'TPS Current'!L2*('TPS Correction'!L2+1),'TPS Current'!L2)</f>
        <v>135</v>
      </c>
      <c r="M2" s="27">
        <f>IF(ISNUMBER('TPS Correction'!M2),'TPS Current'!M2*('TPS Correction'!M2+1),'TPS Current'!M2)</f>
        <v>142</v>
      </c>
      <c r="N2" s="27">
        <f>IF(ISNUMBER('TPS Correction'!N2),'TPS Current'!N2*('TPS Correction'!N2+1),'TPS Current'!N2)</f>
        <v>142</v>
      </c>
      <c r="O2" s="27">
        <f>IF(ISNUMBER('TPS Correction'!O2),'TPS Current'!O2*('TPS Correction'!O2+1),'TPS Current'!O2)</f>
        <v>145</v>
      </c>
      <c r="P2" s="27">
        <f>IF(ISNUMBER('TPS Correction'!P2),'TPS Current'!P2*('TPS Correction'!P2+1),'TPS Current'!P2)</f>
        <v>149</v>
      </c>
      <c r="Q2" s="27">
        <f>IF(ISNUMBER('TPS Correction'!Q2),'TPS Current'!Q2*('TPS Correction'!Q2+1),'TPS Current'!Q2)</f>
        <v>154</v>
      </c>
      <c r="R2" s="27">
        <f>IF(ISNUMBER('TPS Correction'!R2),'TPS Current'!R2*('TPS Correction'!R2+1),'TPS Current'!R2)</f>
        <v>155</v>
      </c>
      <c r="S2" s="27">
        <f>IF(ISNUMBER('TPS Correction'!S2),'TPS Current'!S2*('TPS Correction'!S2+1),'TPS Current'!S2)</f>
        <v>159</v>
      </c>
      <c r="T2" s="27">
        <f>IF(ISNUMBER('TPS Correction'!T2),'TPS Current'!T2*('TPS Correction'!T2+1),'TPS Current'!T2)</f>
        <v>159</v>
      </c>
      <c r="U2" s="27">
        <f>IF(ISNUMBER('TPS Correction'!U2),'TPS Current'!U2*('TPS Correction'!U2+1),'TPS Current'!U2)</f>
        <v>160</v>
      </c>
      <c r="V2" s="27">
        <f>IF(ISNUMBER('TPS Correction'!V2),'TPS Current'!V2*('TPS Correction'!V2+1),'TPS Current'!V2)</f>
        <v>164</v>
      </c>
      <c r="W2" s="27">
        <f>IF(ISNUMBER('TPS Correction'!W2),'TPS Current'!W2*('TPS Correction'!W2+1),'TPS Current'!W2)</f>
        <v>167</v>
      </c>
      <c r="X2" s="27">
        <f>IF(ISNUMBER('TPS Correction'!X2),'TPS Current'!X2*('TPS Correction'!X2+1),'TPS Current'!X2)</f>
        <v>167</v>
      </c>
    </row>
    <row r="3" spans="1:24" x14ac:dyDescent="0.25">
      <c r="A3" s="15">
        <v>1000</v>
      </c>
      <c r="B3" s="27">
        <f>IF(ISNUMBER('TPS Correction'!B3),'TPS Current'!B3*('TPS Correction'!B3+1),'TPS Current'!B3)</f>
        <v>48</v>
      </c>
      <c r="C3" s="27">
        <f>IF(ISNUMBER('TPS Correction'!C3),'TPS Current'!C3*('TPS Correction'!C3+1),'TPS Current'!C3)</f>
        <v>49</v>
      </c>
      <c r="D3" s="27">
        <f>IF(ISNUMBER('TPS Correction'!D3),'TPS Current'!D3*('TPS Correction'!D3+1),'TPS Current'!D3)</f>
        <v>75</v>
      </c>
      <c r="E3" s="27">
        <f>IF(ISNUMBER('TPS Correction'!E3),'TPS Current'!E3*('TPS Correction'!E3+1),'TPS Current'!E3)</f>
        <v>86</v>
      </c>
      <c r="F3" s="27">
        <f>IF(ISNUMBER('TPS Correction'!F3),'TPS Current'!F3*('TPS Correction'!F3+1),'TPS Current'!F3)</f>
        <v>97</v>
      </c>
      <c r="G3" s="27">
        <f>IF(ISNUMBER('TPS Correction'!G3),'TPS Current'!G3*('TPS Correction'!G3+1),'TPS Current'!G3)</f>
        <v>101</v>
      </c>
      <c r="H3" s="27">
        <f>IF(ISNUMBER('TPS Correction'!H3),'TPS Current'!H3*('TPS Correction'!H3+1),'TPS Current'!H3)</f>
        <v>109</v>
      </c>
      <c r="I3" s="27">
        <f>IF(ISNUMBER('TPS Correction'!I3),'TPS Current'!I3*('TPS Correction'!I3+1),'TPS Current'!I3)</f>
        <v>112</v>
      </c>
      <c r="J3" s="27">
        <f>IF(ISNUMBER('TPS Correction'!J3),'TPS Current'!J3*('TPS Correction'!J3+1),'TPS Current'!J3)</f>
        <v>123</v>
      </c>
      <c r="K3" s="27">
        <f>IF(ISNUMBER('TPS Correction'!K3),'TPS Current'!K3*('TPS Correction'!K3+1),'TPS Current'!K3)</f>
        <v>132</v>
      </c>
      <c r="L3" s="27">
        <f>IF(ISNUMBER('TPS Correction'!L3),'TPS Current'!L3*('TPS Correction'!L3+1),'TPS Current'!L3)</f>
        <v>135</v>
      </c>
      <c r="M3" s="27">
        <f>IF(ISNUMBER('TPS Correction'!M3),'TPS Current'!M3*('TPS Correction'!M3+1),'TPS Current'!M3)</f>
        <v>142</v>
      </c>
      <c r="N3" s="27">
        <f>IF(ISNUMBER('TPS Correction'!N3),'TPS Current'!N3*('TPS Correction'!N3+1),'TPS Current'!N3)</f>
        <v>142</v>
      </c>
      <c r="O3" s="27">
        <f>IF(ISNUMBER('TPS Correction'!O3),'TPS Current'!O3*('TPS Correction'!O3+1),'TPS Current'!O3)</f>
        <v>145</v>
      </c>
      <c r="P3" s="27">
        <f>IF(ISNUMBER('TPS Correction'!P3),'TPS Current'!P3*('TPS Correction'!P3+1),'TPS Current'!P3)</f>
        <v>149</v>
      </c>
      <c r="Q3" s="27">
        <f>IF(ISNUMBER('TPS Correction'!Q3),'TPS Current'!Q3*('TPS Correction'!Q3+1),'TPS Current'!Q3)</f>
        <v>154</v>
      </c>
      <c r="R3" s="27">
        <f>IF(ISNUMBER('TPS Correction'!R3),'TPS Current'!R3*('TPS Correction'!R3+1),'TPS Current'!R3)</f>
        <v>155</v>
      </c>
      <c r="S3" s="27">
        <f>IF(ISNUMBER('TPS Correction'!S3),'TPS Current'!S3*('TPS Correction'!S3+1),'TPS Current'!S3)</f>
        <v>159</v>
      </c>
      <c r="T3" s="27">
        <f>IF(ISNUMBER('TPS Correction'!T3),'TPS Current'!T3*('TPS Correction'!T3+1),'TPS Current'!T3)</f>
        <v>159</v>
      </c>
      <c r="U3" s="27">
        <f>IF(ISNUMBER('TPS Correction'!U3),'TPS Current'!U3*('TPS Correction'!U3+1),'TPS Current'!U3)</f>
        <v>160</v>
      </c>
      <c r="V3" s="27">
        <f>IF(ISNUMBER('TPS Correction'!V3),'TPS Current'!V3*('TPS Correction'!V3+1),'TPS Current'!V3)</f>
        <v>164</v>
      </c>
      <c r="W3" s="27">
        <f>IF(ISNUMBER('TPS Correction'!W3),'TPS Current'!W3*('TPS Correction'!W3+1),'TPS Current'!W3)</f>
        <v>167</v>
      </c>
      <c r="X3" s="27">
        <f>IF(ISNUMBER('TPS Correction'!X3),'TPS Current'!X3*('TPS Correction'!X3+1),'TPS Current'!X3)</f>
        <v>167</v>
      </c>
    </row>
    <row r="4" spans="1:24" x14ac:dyDescent="0.25">
      <c r="A4" s="15">
        <v>1200</v>
      </c>
      <c r="B4" s="27">
        <f>IF(ISNUMBER('TPS Correction'!B4),'TPS Current'!B4*('TPS Correction'!B4+1),'TPS Current'!B4)</f>
        <v>44</v>
      </c>
      <c r="C4" s="27">
        <f>IF(ISNUMBER('TPS Correction'!C4),'TPS Current'!C4*('TPS Correction'!C4+1),'TPS Current'!C4)</f>
        <v>43</v>
      </c>
      <c r="D4" s="27">
        <f>IF(ISNUMBER('TPS Correction'!D4),'TPS Current'!D4*('TPS Correction'!D4+1),'TPS Current'!D4)</f>
        <v>67</v>
      </c>
      <c r="E4" s="27">
        <f>IF(ISNUMBER('TPS Correction'!E4),'TPS Current'!E4*('TPS Correction'!E4+1),'TPS Current'!E4)</f>
        <v>82</v>
      </c>
      <c r="F4" s="27">
        <f>IF(ISNUMBER('TPS Correction'!F4),'TPS Current'!F4*('TPS Correction'!F4+1),'TPS Current'!F4)</f>
        <v>88</v>
      </c>
      <c r="G4" s="27">
        <f>IF(ISNUMBER('TPS Correction'!G4),'TPS Current'!G4*('TPS Correction'!G4+1),'TPS Current'!G4)</f>
        <v>94</v>
      </c>
      <c r="H4" s="27">
        <f>IF(ISNUMBER('TPS Correction'!H4),'TPS Current'!H4*('TPS Correction'!H4+1),'TPS Current'!H4)</f>
        <v>99</v>
      </c>
      <c r="I4" s="27">
        <f>IF(ISNUMBER('TPS Correction'!I4),'TPS Current'!I4*('TPS Correction'!I4+1),'TPS Current'!I4)</f>
        <v>102</v>
      </c>
      <c r="J4" s="27">
        <f>IF(ISNUMBER('TPS Correction'!J4),'TPS Current'!J4*('TPS Correction'!J4+1),'TPS Current'!J4)</f>
        <v>112</v>
      </c>
      <c r="K4" s="27">
        <f>IF(ISNUMBER('TPS Correction'!K4),'TPS Current'!K4*('TPS Correction'!K4+1),'TPS Current'!K4)</f>
        <v>118</v>
      </c>
      <c r="L4" s="27">
        <f>IF(ISNUMBER('TPS Correction'!L4),'TPS Current'!L4*('TPS Correction'!L4+1),'TPS Current'!L4)</f>
        <v>125</v>
      </c>
      <c r="M4" s="27">
        <f>IF(ISNUMBER('TPS Correction'!M4),'TPS Current'!M4*('TPS Correction'!M4+1),'TPS Current'!M4)</f>
        <v>132</v>
      </c>
      <c r="N4" s="27">
        <f>IF(ISNUMBER('TPS Correction'!N4),'TPS Current'!N4*('TPS Correction'!N4+1),'TPS Current'!N4)</f>
        <v>138</v>
      </c>
      <c r="O4" s="27">
        <f>IF(ISNUMBER('TPS Correction'!O4),'TPS Current'!O4*('TPS Correction'!O4+1),'TPS Current'!O4)</f>
        <v>147</v>
      </c>
      <c r="P4" s="27">
        <f>IF(ISNUMBER('TPS Correction'!P4),'TPS Current'!P4*('TPS Correction'!P4+1),'TPS Current'!P4)</f>
        <v>147</v>
      </c>
      <c r="Q4" s="27">
        <f>IF(ISNUMBER('TPS Correction'!Q4),'TPS Current'!Q4*('TPS Correction'!Q4+1),'TPS Current'!Q4)</f>
        <v>147</v>
      </c>
      <c r="R4" s="27">
        <f>IF(ISNUMBER('TPS Correction'!R4),'TPS Current'!R4*('TPS Correction'!R4+1),'TPS Current'!R4)</f>
        <v>142</v>
      </c>
      <c r="S4" s="27">
        <f>IF(ISNUMBER('TPS Correction'!S4),'TPS Current'!S4*('TPS Correction'!S4+1),'TPS Current'!S4)</f>
        <v>141</v>
      </c>
      <c r="T4" s="27">
        <f>IF(ISNUMBER('TPS Correction'!T4),'TPS Current'!T4*('TPS Correction'!T4+1),'TPS Current'!T4)</f>
        <v>142</v>
      </c>
      <c r="U4" s="27">
        <f>IF(ISNUMBER('TPS Correction'!U4),'TPS Current'!U4*('TPS Correction'!U4+1),'TPS Current'!U4)</f>
        <v>143</v>
      </c>
      <c r="V4" s="27">
        <f>IF(ISNUMBER('TPS Correction'!V4),'TPS Current'!V4*('TPS Correction'!V4+1),'TPS Current'!V4)</f>
        <v>148</v>
      </c>
      <c r="W4" s="27">
        <f>IF(ISNUMBER('TPS Correction'!W4),'TPS Current'!W4*('TPS Correction'!W4+1),'TPS Current'!W4)</f>
        <v>149</v>
      </c>
      <c r="X4" s="27">
        <f>IF(ISNUMBER('TPS Correction'!X4),'TPS Current'!X4*('TPS Correction'!X4+1),'TPS Current'!X4)</f>
        <v>154</v>
      </c>
    </row>
    <row r="5" spans="1:24" x14ac:dyDescent="0.25">
      <c r="A5" s="15">
        <v>1400</v>
      </c>
      <c r="B5" s="27">
        <f>IF(ISNUMBER('TPS Correction'!B5),'TPS Current'!B5*('TPS Correction'!B5+1),'TPS Current'!B5)</f>
        <v>43</v>
      </c>
      <c r="C5" s="27">
        <f>IF(ISNUMBER('TPS Correction'!C5),'TPS Current'!C5*('TPS Correction'!C5+1),'TPS Current'!C5)</f>
        <v>41</v>
      </c>
      <c r="D5" s="27">
        <f>IF(ISNUMBER('TPS Correction'!D5),'TPS Current'!D5*('TPS Correction'!D5+1),'TPS Current'!D5)</f>
        <v>54</v>
      </c>
      <c r="E5" s="27">
        <f>IF(ISNUMBER('TPS Correction'!E5),'TPS Current'!E5*('TPS Correction'!E5+1),'TPS Current'!E5)</f>
        <v>76</v>
      </c>
      <c r="F5" s="27">
        <f>IF(ISNUMBER('TPS Correction'!F5),'TPS Current'!F5*('TPS Correction'!F5+1),'TPS Current'!F5)</f>
        <v>83</v>
      </c>
      <c r="G5" s="27">
        <f>IF(ISNUMBER('TPS Correction'!G5),'TPS Current'!G5*('TPS Correction'!G5+1),'TPS Current'!G5)</f>
        <v>88</v>
      </c>
      <c r="H5" s="27">
        <f>IF(ISNUMBER('TPS Correction'!H5),'TPS Current'!H5*('TPS Correction'!H5+1),'TPS Current'!H5)</f>
        <v>91</v>
      </c>
      <c r="I5" s="27">
        <f>IF(ISNUMBER('TPS Correction'!I5),'TPS Current'!I5*('TPS Correction'!I5+1),'TPS Current'!I5)</f>
        <v>96</v>
      </c>
      <c r="J5" s="27">
        <f>IF(ISNUMBER('TPS Correction'!J5),'TPS Current'!J5*('TPS Correction'!J5+1),'TPS Current'!J5)</f>
        <v>103</v>
      </c>
      <c r="K5" s="27">
        <f>IF(ISNUMBER('TPS Correction'!K5),'TPS Current'!K5*('TPS Correction'!K5+1),'TPS Current'!K5)</f>
        <v>109</v>
      </c>
      <c r="L5" s="27">
        <f>IF(ISNUMBER('TPS Correction'!L5),'TPS Current'!L5*('TPS Correction'!L5+1),'TPS Current'!L5)</f>
        <v>118</v>
      </c>
      <c r="M5" s="27">
        <f>IF(ISNUMBER('TPS Correction'!M5),'TPS Current'!M5*('TPS Correction'!M5+1),'TPS Current'!M5)</f>
        <v>122</v>
      </c>
      <c r="N5" s="27">
        <f>IF(ISNUMBER('TPS Correction'!N5),'TPS Current'!N5*('TPS Correction'!N5+1),'TPS Current'!N5)</f>
        <v>128</v>
      </c>
      <c r="O5" s="27">
        <f>IF(ISNUMBER('TPS Correction'!O5),'TPS Current'!O5*('TPS Correction'!O5+1),'TPS Current'!O5)</f>
        <v>141</v>
      </c>
      <c r="P5" s="27">
        <f>IF(ISNUMBER('TPS Correction'!P5),'TPS Current'!P5*('TPS Correction'!P5+1),'TPS Current'!P5)</f>
        <v>146</v>
      </c>
      <c r="Q5" s="27">
        <f>IF(ISNUMBER('TPS Correction'!Q5),'TPS Current'!Q5*('TPS Correction'!Q5+1),'TPS Current'!Q5)</f>
        <v>146</v>
      </c>
      <c r="R5" s="27">
        <f>IF(ISNUMBER('TPS Correction'!R5),'TPS Current'!R5*('TPS Correction'!R5+1),'TPS Current'!R5)</f>
        <v>146</v>
      </c>
      <c r="S5" s="27">
        <f>IF(ISNUMBER('TPS Correction'!S5),'TPS Current'!S5*('TPS Correction'!S5+1),'TPS Current'!S5)</f>
        <v>146</v>
      </c>
      <c r="T5" s="27">
        <f>IF(ISNUMBER('TPS Correction'!T5),'TPS Current'!T5*('TPS Correction'!T5+1),'TPS Current'!T5)</f>
        <v>146</v>
      </c>
      <c r="U5" s="27">
        <f>IF(ISNUMBER('TPS Correction'!U5),'TPS Current'!U5*('TPS Correction'!U5+1),'TPS Current'!U5)</f>
        <v>147</v>
      </c>
      <c r="V5" s="27">
        <f>IF(ISNUMBER('TPS Correction'!V5),'TPS Current'!V5*('TPS Correction'!V5+1),'TPS Current'!V5)</f>
        <v>147</v>
      </c>
      <c r="W5" s="27">
        <f>IF(ISNUMBER('TPS Correction'!W5),'TPS Current'!W5*('TPS Correction'!W5+1),'TPS Current'!W5)</f>
        <v>147</v>
      </c>
      <c r="X5" s="27">
        <f>IF(ISNUMBER('TPS Correction'!X5),'TPS Current'!X5*('TPS Correction'!X5+1),'TPS Current'!X5)</f>
        <v>147</v>
      </c>
    </row>
    <row r="6" spans="1:24" x14ac:dyDescent="0.25">
      <c r="A6" s="15">
        <v>1600</v>
      </c>
      <c r="B6" s="27">
        <f>IF(ISNUMBER('TPS Correction'!B6),'TPS Current'!B6*('TPS Correction'!B6+1),'TPS Current'!B6)</f>
        <v>43</v>
      </c>
      <c r="C6" s="27">
        <f>IF(ISNUMBER('TPS Correction'!C6),'TPS Current'!C6*('TPS Correction'!C6+1),'TPS Current'!C6)</f>
        <v>41</v>
      </c>
      <c r="D6" s="27">
        <f>IF(ISNUMBER('TPS Correction'!D6),'TPS Current'!D6*('TPS Correction'!D6+1),'TPS Current'!D6)</f>
        <v>51</v>
      </c>
      <c r="E6" s="27">
        <f>IF(ISNUMBER('TPS Correction'!E6),'TPS Current'!E6*('TPS Correction'!E6+1),'TPS Current'!E6)</f>
        <v>66</v>
      </c>
      <c r="F6" s="27">
        <f>IF(ISNUMBER('TPS Correction'!F6),'TPS Current'!F6*('TPS Correction'!F6+1),'TPS Current'!F6)</f>
        <v>75</v>
      </c>
      <c r="G6" s="27">
        <f>IF(ISNUMBER('TPS Correction'!G6),'TPS Current'!G6*('TPS Correction'!G6+1),'TPS Current'!G6)</f>
        <v>84</v>
      </c>
      <c r="H6" s="27">
        <f>IF(ISNUMBER('TPS Correction'!H6),'TPS Current'!H6*('TPS Correction'!H6+1),'TPS Current'!H6)</f>
        <v>88</v>
      </c>
      <c r="I6" s="27">
        <f>IF(ISNUMBER('TPS Correction'!I6),'TPS Current'!I6*('TPS Correction'!I6+1),'TPS Current'!I6)</f>
        <v>90</v>
      </c>
      <c r="J6" s="27">
        <f>IF(ISNUMBER('TPS Correction'!J6),'TPS Current'!J6*('TPS Correction'!J6+1),'TPS Current'!J6)</f>
        <v>97</v>
      </c>
      <c r="K6" s="27">
        <f>IF(ISNUMBER('TPS Correction'!K6),'TPS Current'!K6*('TPS Correction'!K6+1),'TPS Current'!K6)</f>
        <v>104</v>
      </c>
      <c r="L6" s="27">
        <f>IF(ISNUMBER('TPS Correction'!L6),'TPS Current'!L6*('TPS Correction'!L6+1),'TPS Current'!L6)</f>
        <v>109</v>
      </c>
      <c r="M6" s="27">
        <f>IF(ISNUMBER('TPS Correction'!M6),'TPS Current'!M6*('TPS Correction'!M6+1),'TPS Current'!M6)</f>
        <v>114</v>
      </c>
      <c r="N6" s="27">
        <f>IF(ISNUMBER('TPS Correction'!N6),'TPS Current'!N6*('TPS Correction'!N6+1),'TPS Current'!N6)</f>
        <v>122</v>
      </c>
      <c r="O6" s="27">
        <f>IF(ISNUMBER('TPS Correction'!O6),'TPS Current'!O6*('TPS Correction'!O6+1),'TPS Current'!O6)</f>
        <v>141</v>
      </c>
      <c r="P6" s="27">
        <f>IF(ISNUMBER('TPS Correction'!P6),'TPS Current'!P6*('TPS Correction'!P6+1),'TPS Current'!P6)</f>
        <v>145</v>
      </c>
      <c r="Q6" s="27">
        <f>IF(ISNUMBER('TPS Correction'!Q6),'TPS Current'!Q6*('TPS Correction'!Q6+1),'TPS Current'!Q6)</f>
        <v>147</v>
      </c>
      <c r="R6" s="27">
        <f>IF(ISNUMBER('TPS Correction'!R6),'TPS Current'!R6*('TPS Correction'!R6+1),'TPS Current'!R6)</f>
        <v>147</v>
      </c>
      <c r="S6" s="27">
        <f>IF(ISNUMBER('TPS Correction'!S6),'TPS Current'!S6*('TPS Correction'!S6+1),'TPS Current'!S6)</f>
        <v>147</v>
      </c>
      <c r="T6" s="27">
        <f>IF(ISNUMBER('TPS Correction'!T6),'TPS Current'!T6*('TPS Correction'!T6+1),'TPS Current'!T6)</f>
        <v>147</v>
      </c>
      <c r="U6" s="27">
        <f>IF(ISNUMBER('TPS Correction'!U6),'TPS Current'!U6*('TPS Correction'!U6+1),'TPS Current'!U6)</f>
        <v>147</v>
      </c>
      <c r="V6" s="27">
        <f>IF(ISNUMBER('TPS Correction'!V6),'TPS Current'!V6*('TPS Correction'!V6+1),'TPS Current'!V6)</f>
        <v>147</v>
      </c>
      <c r="W6" s="27">
        <f>IF(ISNUMBER('TPS Correction'!W6),'TPS Current'!W6*('TPS Correction'!W6+1),'TPS Current'!W6)</f>
        <v>149</v>
      </c>
      <c r="X6" s="27">
        <f>IF(ISNUMBER('TPS Correction'!X6),'TPS Current'!X6*('TPS Correction'!X6+1),'TPS Current'!X6)</f>
        <v>149</v>
      </c>
    </row>
    <row r="7" spans="1:24" x14ac:dyDescent="0.25">
      <c r="A7" s="15">
        <v>1800</v>
      </c>
      <c r="B7" s="27">
        <f>IF(ISNUMBER('TPS Correction'!B7),'TPS Current'!B7*('TPS Correction'!B7+1),'TPS Current'!B7)</f>
        <v>42</v>
      </c>
      <c r="C7" s="27">
        <f>IF(ISNUMBER('TPS Correction'!C7),'TPS Current'!C7*('TPS Correction'!C7+1),'TPS Current'!C7)</f>
        <v>39</v>
      </c>
      <c r="D7" s="27">
        <f>IF(ISNUMBER('TPS Correction'!D7),'TPS Current'!D7*('TPS Correction'!D7+1),'TPS Current'!D7)</f>
        <v>46</v>
      </c>
      <c r="E7" s="27">
        <f>IF(ISNUMBER('TPS Correction'!E7),'TPS Current'!E7*('TPS Correction'!E7+1),'TPS Current'!E7)</f>
        <v>62</v>
      </c>
      <c r="F7" s="27">
        <f>IF(ISNUMBER('TPS Correction'!F7),'TPS Current'!F7*('TPS Correction'!F7+1),'TPS Current'!F7)</f>
        <v>71</v>
      </c>
      <c r="G7" s="27">
        <f>IF(ISNUMBER('TPS Correction'!G7),'TPS Current'!G7*('TPS Correction'!G7+1),'TPS Current'!G7)</f>
        <v>80</v>
      </c>
      <c r="H7" s="27">
        <f>IF(ISNUMBER('TPS Correction'!H7),'TPS Current'!H7*('TPS Correction'!H7+1),'TPS Current'!H7)</f>
        <v>86</v>
      </c>
      <c r="I7" s="27">
        <f>IF(ISNUMBER('TPS Correction'!I7),'TPS Current'!I7*('TPS Correction'!I7+1),'TPS Current'!I7)</f>
        <v>89</v>
      </c>
      <c r="J7" s="27">
        <f>IF(ISNUMBER('TPS Correction'!J7),'TPS Current'!J7*('TPS Correction'!J7+1),'TPS Current'!J7)</f>
        <v>96</v>
      </c>
      <c r="K7" s="27">
        <f>IF(ISNUMBER('TPS Correction'!K7),'TPS Current'!K7*('TPS Correction'!K7+1),'TPS Current'!K7)</f>
        <v>102</v>
      </c>
      <c r="L7" s="27">
        <f>IF(ISNUMBER('TPS Correction'!L7),'TPS Current'!L7*('TPS Correction'!L7+1),'TPS Current'!L7)</f>
        <v>108</v>
      </c>
      <c r="M7" s="27">
        <f>IF(ISNUMBER('TPS Correction'!M7),'TPS Current'!M7*('TPS Correction'!M7+1),'TPS Current'!M7)</f>
        <v>113</v>
      </c>
      <c r="N7" s="27">
        <f>IF(ISNUMBER('TPS Correction'!N7),'TPS Current'!N7*('TPS Correction'!N7+1),'TPS Current'!N7)</f>
        <v>120</v>
      </c>
      <c r="O7" s="27">
        <f>IF(ISNUMBER('TPS Correction'!O7),'TPS Current'!O7*('TPS Correction'!O7+1),'TPS Current'!O7)</f>
        <v>140</v>
      </c>
      <c r="P7" s="27">
        <f>IF(ISNUMBER('TPS Correction'!P7),'TPS Current'!P7*('TPS Correction'!P7+1),'TPS Current'!P7)</f>
        <v>149</v>
      </c>
      <c r="Q7" s="27">
        <f>IF(ISNUMBER('TPS Correction'!Q7),'TPS Current'!Q7*('TPS Correction'!Q7+1),'TPS Current'!Q7)</f>
        <v>152</v>
      </c>
      <c r="R7" s="27">
        <f>IF(ISNUMBER('TPS Correction'!R7),'TPS Current'!R7*('TPS Correction'!R7+1),'TPS Current'!R7)</f>
        <v>153</v>
      </c>
      <c r="S7" s="27">
        <f>IF(ISNUMBER('TPS Correction'!S7),'TPS Current'!S7*('TPS Correction'!S7+1),'TPS Current'!S7)</f>
        <v>153</v>
      </c>
      <c r="T7" s="27">
        <f>IF(ISNUMBER('TPS Correction'!T7),'TPS Current'!T7*('TPS Correction'!T7+1),'TPS Current'!T7)</f>
        <v>153</v>
      </c>
      <c r="U7" s="27">
        <f>IF(ISNUMBER('TPS Correction'!U7),'TPS Current'!U7*('TPS Correction'!U7+1),'TPS Current'!U7)</f>
        <v>155</v>
      </c>
      <c r="V7" s="27">
        <f>IF(ISNUMBER('TPS Correction'!V7),'TPS Current'!V7*('TPS Correction'!V7+1),'TPS Current'!V7)</f>
        <v>155</v>
      </c>
      <c r="W7" s="27">
        <f>IF(ISNUMBER('TPS Correction'!W7),'TPS Current'!W7*('TPS Correction'!W7+1),'TPS Current'!W7)</f>
        <v>159</v>
      </c>
      <c r="X7" s="27">
        <f>IF(ISNUMBER('TPS Correction'!X7),'TPS Current'!X7*('TPS Correction'!X7+1),'TPS Current'!X7)</f>
        <v>167</v>
      </c>
    </row>
    <row r="8" spans="1:24" x14ac:dyDescent="0.25">
      <c r="A8" s="15">
        <v>2000</v>
      </c>
      <c r="B8" s="27">
        <f>IF(ISNUMBER('TPS Correction'!B8),'TPS Current'!B8*('TPS Correction'!B8+1),'TPS Current'!B8)</f>
        <v>38</v>
      </c>
      <c r="C8" s="27">
        <f>IF(ISNUMBER('TPS Correction'!C8),'TPS Current'!C8*('TPS Correction'!C8+1),'TPS Current'!C8)</f>
        <v>38</v>
      </c>
      <c r="D8" s="27">
        <f>IF(ISNUMBER('TPS Correction'!D8),'TPS Current'!D8*('TPS Correction'!D8+1),'TPS Current'!D8)</f>
        <v>43</v>
      </c>
      <c r="E8" s="27">
        <f>IF(ISNUMBER('TPS Correction'!E8),'TPS Current'!E8*('TPS Correction'!E8+1),'TPS Current'!E8)</f>
        <v>55</v>
      </c>
      <c r="F8" s="27">
        <f>IF(ISNUMBER('TPS Correction'!F8),'TPS Current'!F8*('TPS Correction'!F8+1),'TPS Current'!F8)</f>
        <v>67</v>
      </c>
      <c r="G8" s="27">
        <f>IF(ISNUMBER('TPS Correction'!G8),'TPS Current'!G8*('TPS Correction'!G8+1),'TPS Current'!G8)</f>
        <v>78</v>
      </c>
      <c r="H8" s="27">
        <f>IF(ISNUMBER('TPS Correction'!H8),'TPS Current'!H8*('TPS Correction'!H8+1),'TPS Current'!H8)</f>
        <v>85</v>
      </c>
      <c r="I8" s="27">
        <f>IF(ISNUMBER('TPS Correction'!I8),'TPS Current'!I8*('TPS Correction'!I8+1),'TPS Current'!I8)</f>
        <v>88</v>
      </c>
      <c r="J8" s="27">
        <f>IF(ISNUMBER('TPS Correction'!J8),'TPS Current'!J8*('TPS Correction'!J8+1),'TPS Current'!J8)</f>
        <v>96</v>
      </c>
      <c r="K8" s="27">
        <f>IF(ISNUMBER('TPS Correction'!K8),'TPS Current'!K8*('TPS Correction'!K8+1),'TPS Current'!K8)</f>
        <v>101</v>
      </c>
      <c r="L8" s="27">
        <f>IF(ISNUMBER('TPS Correction'!L8),'TPS Current'!L8*('TPS Correction'!L8+1),'TPS Current'!L8)</f>
        <v>107</v>
      </c>
      <c r="M8" s="27">
        <f>IF(ISNUMBER('TPS Correction'!M8),'TPS Current'!M8*('TPS Correction'!M8+1),'TPS Current'!M8)</f>
        <v>112</v>
      </c>
      <c r="N8" s="27">
        <f>IF(ISNUMBER('TPS Correction'!N8),'TPS Current'!N8*('TPS Correction'!N8+1),'TPS Current'!N8)</f>
        <v>119</v>
      </c>
      <c r="O8" s="27">
        <f>IF(ISNUMBER('TPS Correction'!O8),'TPS Current'!O8*('TPS Correction'!O8+1),'TPS Current'!O8)</f>
        <v>140</v>
      </c>
      <c r="P8" s="27">
        <f>IF(ISNUMBER('TPS Correction'!P8),'TPS Current'!P8*('TPS Correction'!P8+1),'TPS Current'!P8)</f>
        <v>150</v>
      </c>
      <c r="Q8" s="27">
        <f>IF(ISNUMBER('TPS Correction'!Q8),'TPS Current'!Q8*('TPS Correction'!Q8+1),'TPS Current'!Q8)</f>
        <v>158</v>
      </c>
      <c r="R8" s="27">
        <f>IF(ISNUMBER('TPS Correction'!R8),'TPS Current'!R8*('TPS Correction'!R8+1),'TPS Current'!R8)</f>
        <v>160</v>
      </c>
      <c r="S8" s="27">
        <f>IF(ISNUMBER('TPS Correction'!S8),'TPS Current'!S8*('TPS Correction'!S8+1),'TPS Current'!S8)</f>
        <v>160</v>
      </c>
      <c r="T8" s="27">
        <f>IF(ISNUMBER('TPS Correction'!T8),'TPS Current'!T8*('TPS Correction'!T8+1),'TPS Current'!T8)</f>
        <v>161</v>
      </c>
      <c r="U8" s="27">
        <f>IF(ISNUMBER('TPS Correction'!U8),'TPS Current'!U8*('TPS Correction'!U8+1),'TPS Current'!U8)</f>
        <v>161</v>
      </c>
      <c r="V8" s="27">
        <f>IF(ISNUMBER('TPS Correction'!V8),'TPS Current'!V8*('TPS Correction'!V8+1),'TPS Current'!V8)</f>
        <v>161</v>
      </c>
      <c r="W8" s="27">
        <f>IF(ISNUMBER('TPS Correction'!W8),'TPS Current'!W8*('TPS Correction'!W8+1),'TPS Current'!W8)</f>
        <v>162</v>
      </c>
      <c r="X8" s="27">
        <f>IF(ISNUMBER('TPS Correction'!X8),'TPS Current'!X8*('TPS Correction'!X8+1),'TPS Current'!X8)</f>
        <v>176</v>
      </c>
    </row>
    <row r="9" spans="1:24" x14ac:dyDescent="0.25">
      <c r="A9" s="15">
        <v>2200</v>
      </c>
      <c r="B9" s="27">
        <f>IF(ISNUMBER('TPS Correction'!B9),'TPS Current'!B9*('TPS Correction'!B9+1),'TPS Current'!B9)</f>
        <v>36</v>
      </c>
      <c r="C9" s="27">
        <f>IF(ISNUMBER('TPS Correction'!C9),'TPS Current'!C9*('TPS Correction'!C9+1),'TPS Current'!C9)</f>
        <v>36</v>
      </c>
      <c r="D9" s="27">
        <f>IF(ISNUMBER('TPS Correction'!D9),'TPS Current'!D9*('TPS Correction'!D9+1),'TPS Current'!D9)</f>
        <v>43</v>
      </c>
      <c r="E9" s="27">
        <f>IF(ISNUMBER('TPS Correction'!E9),'TPS Current'!E9*('TPS Correction'!E9+1),'TPS Current'!E9)</f>
        <v>49</v>
      </c>
      <c r="F9" s="27">
        <f>IF(ISNUMBER('TPS Correction'!F9),'TPS Current'!F9*('TPS Correction'!F9+1),'TPS Current'!F9)</f>
        <v>64</v>
      </c>
      <c r="G9" s="27">
        <f>IF(ISNUMBER('TPS Correction'!G9),'TPS Current'!G9*('TPS Correction'!G9+1),'TPS Current'!G9)</f>
        <v>72</v>
      </c>
      <c r="H9" s="27">
        <f>IF(ISNUMBER('TPS Correction'!H9),'TPS Current'!H9*('TPS Correction'!H9+1),'TPS Current'!H9)</f>
        <v>79</v>
      </c>
      <c r="I9" s="27">
        <f>IF(ISNUMBER('TPS Correction'!I9),'TPS Current'!I9*('TPS Correction'!I9+1),'TPS Current'!I9)</f>
        <v>83</v>
      </c>
      <c r="J9" s="27">
        <f>IF(ISNUMBER('TPS Correction'!J9),'TPS Current'!J9*('TPS Correction'!J9+1),'TPS Current'!J9)</f>
        <v>91</v>
      </c>
      <c r="K9" s="27">
        <f>IF(ISNUMBER('TPS Correction'!K9),'TPS Current'!K9*('TPS Correction'!K9+1),'TPS Current'!K9)</f>
        <v>96</v>
      </c>
      <c r="L9" s="27">
        <f>IF(ISNUMBER('TPS Correction'!L9),'TPS Current'!L9*('TPS Correction'!L9+1),'TPS Current'!L9)</f>
        <v>102</v>
      </c>
      <c r="M9" s="27">
        <f>IF(ISNUMBER('TPS Correction'!M9),'TPS Current'!M9*('TPS Correction'!M9+1),'TPS Current'!M9)</f>
        <v>107</v>
      </c>
      <c r="N9" s="27">
        <f>IF(ISNUMBER('TPS Correction'!N9),'TPS Current'!N9*('TPS Correction'!N9+1),'TPS Current'!N9)</f>
        <v>113</v>
      </c>
      <c r="O9" s="27">
        <f>IF(ISNUMBER('TPS Correction'!O9),'TPS Current'!O9*('TPS Correction'!O9+1),'TPS Current'!O9)</f>
        <v>129</v>
      </c>
      <c r="P9" s="27">
        <f>IF(ISNUMBER('TPS Correction'!P9),'TPS Current'!P9*('TPS Correction'!P9+1),'TPS Current'!P9)</f>
        <v>140</v>
      </c>
      <c r="Q9" s="27">
        <f>IF(ISNUMBER('TPS Correction'!Q9),'TPS Current'!Q9*('TPS Correction'!Q9+1),'TPS Current'!Q9)</f>
        <v>148</v>
      </c>
      <c r="R9" s="27">
        <f>IF(ISNUMBER('TPS Correction'!R9),'TPS Current'!R9*('TPS Correction'!R9+1),'TPS Current'!R9)</f>
        <v>152</v>
      </c>
      <c r="S9" s="27">
        <f>IF(ISNUMBER('TPS Correction'!S9),'TPS Current'!S9*('TPS Correction'!S9+1),'TPS Current'!S9)</f>
        <v>153</v>
      </c>
      <c r="T9" s="27">
        <f>IF(ISNUMBER('TPS Correction'!T9),'TPS Current'!T9*('TPS Correction'!T9+1),'TPS Current'!T9)</f>
        <v>153</v>
      </c>
      <c r="U9" s="27">
        <f>IF(ISNUMBER('TPS Correction'!U9),'TPS Current'!U9*('TPS Correction'!U9+1),'TPS Current'!U9)</f>
        <v>154</v>
      </c>
      <c r="V9" s="27">
        <f>IF(ISNUMBER('TPS Correction'!V9),'TPS Current'!V9*('TPS Correction'!V9+1),'TPS Current'!V9)</f>
        <v>155</v>
      </c>
      <c r="W9" s="27">
        <f>IF(ISNUMBER('TPS Correction'!W9),'TPS Current'!W9*('TPS Correction'!W9+1),'TPS Current'!W9)</f>
        <v>158</v>
      </c>
      <c r="X9" s="27">
        <f>IF(ISNUMBER('TPS Correction'!X9),'TPS Current'!X9*('TPS Correction'!X9+1),'TPS Current'!X9)</f>
        <v>167</v>
      </c>
    </row>
    <row r="10" spans="1:24" x14ac:dyDescent="0.25">
      <c r="A10" s="15">
        <v>2400</v>
      </c>
      <c r="B10" s="27">
        <f>IF(ISNUMBER('TPS Correction'!B10),'TPS Current'!B10*('TPS Correction'!B10+1),'TPS Current'!B10)</f>
        <v>34</v>
      </c>
      <c r="C10" s="27">
        <f>IF(ISNUMBER('TPS Correction'!C10),'TPS Current'!C10*('TPS Correction'!C10+1),'TPS Current'!C10)</f>
        <v>34</v>
      </c>
      <c r="D10" s="27">
        <f>IF(ISNUMBER('TPS Correction'!D10),'TPS Current'!D10*('TPS Correction'!D10+1),'TPS Current'!D10)</f>
        <v>42</v>
      </c>
      <c r="E10" s="27">
        <f>IF(ISNUMBER('TPS Correction'!E10),'TPS Current'!E10*('TPS Correction'!E10+1),'TPS Current'!E10)</f>
        <v>47</v>
      </c>
      <c r="F10" s="27">
        <f>IF(ISNUMBER('TPS Correction'!F10),'TPS Current'!F10*('TPS Correction'!F10+1),'TPS Current'!F10)</f>
        <v>61</v>
      </c>
      <c r="G10" s="27">
        <f>IF(ISNUMBER('TPS Correction'!G10),'TPS Current'!G10*('TPS Correction'!G10+1),'TPS Current'!G10)</f>
        <v>68</v>
      </c>
      <c r="H10" s="27">
        <f>IF(ISNUMBER('TPS Correction'!H10),'TPS Current'!H10*('TPS Correction'!H10+1),'TPS Current'!H10)</f>
        <v>74</v>
      </c>
      <c r="I10" s="27">
        <f>IF(ISNUMBER('TPS Correction'!I10),'TPS Current'!I10*('TPS Correction'!I10+1),'TPS Current'!I10)</f>
        <v>76</v>
      </c>
      <c r="J10" s="27">
        <f>IF(ISNUMBER('TPS Correction'!J10),'TPS Current'!J10*('TPS Correction'!J10+1),'TPS Current'!J10)</f>
        <v>86</v>
      </c>
      <c r="K10" s="27">
        <f>IF(ISNUMBER('TPS Correction'!K10),'TPS Current'!K10*('TPS Correction'!K10+1),'TPS Current'!K10)</f>
        <v>91</v>
      </c>
      <c r="L10" s="27">
        <f>IF(ISNUMBER('TPS Correction'!L10),'TPS Current'!L10*('TPS Correction'!L10+1),'TPS Current'!L10)</f>
        <v>96</v>
      </c>
      <c r="M10" s="27">
        <f>IF(ISNUMBER('TPS Correction'!M10),'TPS Current'!M10*('TPS Correction'!M10+1),'TPS Current'!M10)</f>
        <v>101</v>
      </c>
      <c r="N10" s="27">
        <f>IF(ISNUMBER('TPS Correction'!N10),'TPS Current'!N10*('TPS Correction'!N10+1),'TPS Current'!N10)</f>
        <v>104</v>
      </c>
      <c r="O10" s="27">
        <f>IF(ISNUMBER('TPS Correction'!O10),'TPS Current'!O10*('TPS Correction'!O10+1),'TPS Current'!O10)</f>
        <v>119</v>
      </c>
      <c r="P10" s="27">
        <f>IF(ISNUMBER('TPS Correction'!P10),'TPS Current'!P10*('TPS Correction'!P10+1),'TPS Current'!P10)</f>
        <v>130</v>
      </c>
      <c r="Q10" s="27">
        <f>IF(ISNUMBER('TPS Correction'!Q10),'TPS Current'!Q10*('TPS Correction'!Q10+1),'TPS Current'!Q10)</f>
        <v>141</v>
      </c>
      <c r="R10" s="27">
        <f>IF(ISNUMBER('TPS Correction'!R10),'TPS Current'!R10*('TPS Correction'!R10+1),'TPS Current'!R10)</f>
        <v>146</v>
      </c>
      <c r="S10" s="27">
        <f>IF(ISNUMBER('TPS Correction'!S10),'TPS Current'!S10*('TPS Correction'!S10+1),'TPS Current'!S10)</f>
        <v>147</v>
      </c>
      <c r="T10" s="27">
        <f>IF(ISNUMBER('TPS Correction'!T10),'TPS Current'!T10*('TPS Correction'!T10+1),'TPS Current'!T10)</f>
        <v>148</v>
      </c>
      <c r="U10" s="27">
        <f>IF(ISNUMBER('TPS Correction'!U10),'TPS Current'!U10*('TPS Correction'!U10+1),'TPS Current'!U10)</f>
        <v>149</v>
      </c>
      <c r="V10" s="27">
        <f>IF(ISNUMBER('TPS Correction'!V10),'TPS Current'!V10*('TPS Correction'!V10+1),'TPS Current'!V10)</f>
        <v>150</v>
      </c>
      <c r="W10" s="27">
        <f>IF(ISNUMBER('TPS Correction'!W10),'TPS Current'!W10*('TPS Correction'!W10+1),'TPS Current'!W10)</f>
        <v>153</v>
      </c>
      <c r="X10" s="27">
        <f>IF(ISNUMBER('TPS Correction'!X10),'TPS Current'!X10*('TPS Correction'!X10+1),'TPS Current'!X10)</f>
        <v>163</v>
      </c>
    </row>
    <row r="11" spans="1:24" x14ac:dyDescent="0.25">
      <c r="A11" s="15">
        <v>2600</v>
      </c>
      <c r="B11" s="27">
        <f>IF(ISNUMBER('TPS Correction'!B11),'TPS Current'!B11*('TPS Correction'!B11+1),'TPS Current'!B11)</f>
        <v>34</v>
      </c>
      <c r="C11" s="27">
        <f>IF(ISNUMBER('TPS Correction'!C11),'TPS Current'!C11*('TPS Correction'!C11+1),'TPS Current'!C11)</f>
        <v>34</v>
      </c>
      <c r="D11" s="27">
        <f>IF(ISNUMBER('TPS Correction'!D11),'TPS Current'!D11*('TPS Correction'!D11+1),'TPS Current'!D11)</f>
        <v>39</v>
      </c>
      <c r="E11" s="27">
        <f>IF(ISNUMBER('TPS Correction'!E11),'TPS Current'!E11*('TPS Correction'!E11+1),'TPS Current'!E11)</f>
        <v>44</v>
      </c>
      <c r="F11" s="27">
        <f>IF(ISNUMBER('TPS Correction'!F11),'TPS Current'!F11*('TPS Correction'!F11+1),'TPS Current'!F11)</f>
        <v>57</v>
      </c>
      <c r="G11" s="27">
        <f>IF(ISNUMBER('TPS Correction'!G11),'TPS Current'!G11*('TPS Correction'!G11+1),'TPS Current'!G11)</f>
        <v>63</v>
      </c>
      <c r="H11" s="27">
        <f>IF(ISNUMBER('TPS Correction'!H11),'TPS Current'!H11*('TPS Correction'!H11+1),'TPS Current'!H11)</f>
        <v>69</v>
      </c>
      <c r="I11" s="27">
        <f>IF(ISNUMBER('TPS Correction'!I11),'TPS Current'!I11*('TPS Correction'!I11+1),'TPS Current'!I11)</f>
        <v>74</v>
      </c>
      <c r="J11" s="27">
        <f>IF(ISNUMBER('TPS Correction'!J11),'TPS Current'!J11*('TPS Correction'!J11+1),'TPS Current'!J11)</f>
        <v>82</v>
      </c>
      <c r="K11" s="27">
        <f>IF(ISNUMBER('TPS Correction'!K11),'TPS Current'!K11*('TPS Correction'!K11+1),'TPS Current'!K11)</f>
        <v>86</v>
      </c>
      <c r="L11" s="27">
        <f>IF(ISNUMBER('TPS Correction'!L11),'TPS Current'!L11*('TPS Correction'!L11+1),'TPS Current'!L11)</f>
        <v>92</v>
      </c>
      <c r="M11" s="27">
        <f>IF(ISNUMBER('TPS Correction'!M11),'TPS Current'!M11*('TPS Correction'!M11+1),'TPS Current'!M11)</f>
        <v>97</v>
      </c>
      <c r="N11" s="27">
        <f>IF(ISNUMBER('TPS Correction'!N11),'TPS Current'!N11*('TPS Correction'!N11+1),'TPS Current'!N11)</f>
        <v>102</v>
      </c>
      <c r="O11" s="27">
        <f>IF(ISNUMBER('TPS Correction'!O11),'TPS Current'!O11*('TPS Correction'!O11+1),'TPS Current'!O11)</f>
        <v>114</v>
      </c>
      <c r="P11" s="27">
        <f>IF(ISNUMBER('TPS Correction'!P11),'TPS Current'!P11*('TPS Correction'!P11+1),'TPS Current'!P11)</f>
        <v>128</v>
      </c>
      <c r="Q11" s="27">
        <f>IF(ISNUMBER('TPS Correction'!Q11),'TPS Current'!Q11*('TPS Correction'!Q11+1),'TPS Current'!Q11)</f>
        <v>139</v>
      </c>
      <c r="R11" s="27">
        <f>IF(ISNUMBER('TPS Correction'!R11),'TPS Current'!R11*('TPS Correction'!R11+1),'TPS Current'!R11)</f>
        <v>145</v>
      </c>
      <c r="S11" s="27">
        <f>IF(ISNUMBER('TPS Correction'!S11),'TPS Current'!S11*('TPS Correction'!S11+1),'TPS Current'!S11)</f>
        <v>149</v>
      </c>
      <c r="T11" s="27">
        <f>IF(ISNUMBER('TPS Correction'!T11),'TPS Current'!T11*('TPS Correction'!T11+1),'TPS Current'!T11)</f>
        <v>150</v>
      </c>
      <c r="U11" s="27">
        <f>IF(ISNUMBER('TPS Correction'!U11),'TPS Current'!U11*('TPS Correction'!U11+1),'TPS Current'!U11)</f>
        <v>150</v>
      </c>
      <c r="V11" s="27">
        <f>IF(ISNUMBER('TPS Correction'!V11),'TPS Current'!V11*('TPS Correction'!V11+1),'TPS Current'!V11)</f>
        <v>154</v>
      </c>
      <c r="W11" s="27">
        <f>IF(ISNUMBER('TPS Correction'!W11),'TPS Current'!W11*('TPS Correction'!W11+1),'TPS Current'!W11)</f>
        <v>158</v>
      </c>
      <c r="X11" s="27">
        <f>IF(ISNUMBER('TPS Correction'!X11),'TPS Current'!X11*('TPS Correction'!X11+1),'TPS Current'!X11)</f>
        <v>166</v>
      </c>
    </row>
    <row r="12" spans="1:24" x14ac:dyDescent="0.25">
      <c r="A12" s="15">
        <v>2800</v>
      </c>
      <c r="B12" s="27">
        <f>IF(ISNUMBER('TPS Correction'!B12),'TPS Current'!B12*('TPS Correction'!B12+1),'TPS Current'!B12)</f>
        <v>34</v>
      </c>
      <c r="C12" s="27">
        <f>IF(ISNUMBER('TPS Correction'!C12),'TPS Current'!C12*('TPS Correction'!C12+1),'TPS Current'!C12)</f>
        <v>34</v>
      </c>
      <c r="D12" s="27">
        <f>IF(ISNUMBER('TPS Correction'!D12),'TPS Current'!D12*('TPS Correction'!D12+1),'TPS Current'!D12)</f>
        <v>34</v>
      </c>
      <c r="E12" s="27">
        <f>IF(ISNUMBER('TPS Correction'!E12),'TPS Current'!E12*('TPS Correction'!E12+1),'TPS Current'!E12)</f>
        <v>42</v>
      </c>
      <c r="F12" s="27">
        <f>IF(ISNUMBER('TPS Correction'!F12),'TPS Current'!F12*('TPS Correction'!F12+1),'TPS Current'!F12)</f>
        <v>54</v>
      </c>
      <c r="G12" s="27">
        <f>IF(ISNUMBER('TPS Correction'!G12),'TPS Current'!G12*('TPS Correction'!G12+1),'TPS Current'!G12)</f>
        <v>58</v>
      </c>
      <c r="H12" s="27">
        <f>IF(ISNUMBER('TPS Correction'!H12),'TPS Current'!H12*('TPS Correction'!H12+1),'TPS Current'!H12)</f>
        <v>66</v>
      </c>
      <c r="I12" s="27">
        <f>IF(ISNUMBER('TPS Correction'!I12),'TPS Current'!I12*('TPS Correction'!I12+1),'TPS Current'!I12)</f>
        <v>71</v>
      </c>
      <c r="J12" s="27">
        <f>IF(ISNUMBER('TPS Correction'!J12),'TPS Current'!J12*('TPS Correction'!J12+1),'TPS Current'!J12)</f>
        <v>79</v>
      </c>
      <c r="K12" s="27">
        <f>IF(ISNUMBER('TPS Correction'!K12),'TPS Current'!K12*('TPS Correction'!K12+1),'TPS Current'!K12)</f>
        <v>84</v>
      </c>
      <c r="L12" s="27">
        <f>IF(ISNUMBER('TPS Correction'!L12),'TPS Current'!L12*('TPS Correction'!L12+1),'TPS Current'!L12)</f>
        <v>90</v>
      </c>
      <c r="M12" s="27">
        <f>IF(ISNUMBER('TPS Correction'!M12),'TPS Current'!M12*('TPS Correction'!M12+1),'TPS Current'!M12)</f>
        <v>96</v>
      </c>
      <c r="N12" s="27">
        <f>IF(ISNUMBER('TPS Correction'!N12),'TPS Current'!N12*('TPS Correction'!N12+1),'TPS Current'!N12)</f>
        <v>99</v>
      </c>
      <c r="O12" s="27">
        <f>IF(ISNUMBER('TPS Correction'!O12),'TPS Current'!O12*('TPS Correction'!O12+1),'TPS Current'!O12)</f>
        <v>113</v>
      </c>
      <c r="P12" s="27">
        <f>IF(ISNUMBER('TPS Correction'!P12),'TPS Current'!P12*('TPS Correction'!P12+1),'TPS Current'!P12)</f>
        <v>126</v>
      </c>
      <c r="Q12" s="27">
        <f>IF(ISNUMBER('TPS Correction'!Q12),'TPS Current'!Q12*('TPS Correction'!Q12+1),'TPS Current'!Q12)</f>
        <v>136</v>
      </c>
      <c r="R12" s="27">
        <f>IF(ISNUMBER('TPS Correction'!R12),'TPS Current'!R12*('TPS Correction'!R12+1),'TPS Current'!R12)</f>
        <v>145</v>
      </c>
      <c r="S12" s="27">
        <f>IF(ISNUMBER('TPS Correction'!S12),'TPS Current'!S12*('TPS Correction'!S12+1),'TPS Current'!S12)</f>
        <v>152</v>
      </c>
      <c r="T12" s="27">
        <f>IF(ISNUMBER('TPS Correction'!T12),'TPS Current'!T12*('TPS Correction'!T12+1),'TPS Current'!T12)</f>
        <v>152</v>
      </c>
      <c r="U12" s="27">
        <f>IF(ISNUMBER('TPS Correction'!U12),'TPS Current'!U12*('TPS Correction'!U12+1),'TPS Current'!U12)</f>
        <v>154</v>
      </c>
      <c r="V12" s="27">
        <f>IF(ISNUMBER('TPS Correction'!V12),'TPS Current'!V12*('TPS Correction'!V12+1),'TPS Current'!V12)</f>
        <v>158</v>
      </c>
      <c r="W12" s="27">
        <f>IF(ISNUMBER('TPS Correction'!W12),'TPS Current'!W12*('TPS Correction'!W12+1),'TPS Current'!W12)</f>
        <v>162</v>
      </c>
      <c r="X12" s="27">
        <f>IF(ISNUMBER('TPS Correction'!X12),'TPS Current'!X12*('TPS Correction'!X12+1),'TPS Current'!X12)</f>
        <v>168</v>
      </c>
    </row>
    <row r="13" spans="1:24" x14ac:dyDescent="0.25">
      <c r="A13" s="15">
        <v>3000</v>
      </c>
      <c r="B13" s="27">
        <f>IF(ISNUMBER('TPS Correction'!B13),'TPS Current'!B13*('TPS Correction'!B13+1),'TPS Current'!B13)</f>
        <v>32</v>
      </c>
      <c r="C13" s="27">
        <f>IF(ISNUMBER('TPS Correction'!C13),'TPS Current'!C13*('TPS Correction'!C13+1),'TPS Current'!C13)</f>
        <v>32</v>
      </c>
      <c r="D13" s="27">
        <f>IF(ISNUMBER('TPS Correction'!D13),'TPS Current'!D13*('TPS Correction'!D13+1),'TPS Current'!D13)</f>
        <v>32</v>
      </c>
      <c r="E13" s="27">
        <f>IF(ISNUMBER('TPS Correction'!E13),'TPS Current'!E13*('TPS Correction'!E13+1),'TPS Current'!E13)</f>
        <v>40</v>
      </c>
      <c r="F13" s="27">
        <f>IF(ISNUMBER('TPS Correction'!F13),'TPS Current'!F13*('TPS Correction'!F13+1),'TPS Current'!F13)</f>
        <v>49</v>
      </c>
      <c r="G13" s="27">
        <f>IF(ISNUMBER('TPS Correction'!G13),'TPS Current'!G13*('TPS Correction'!G13+1),'TPS Current'!G13)</f>
        <v>55</v>
      </c>
      <c r="H13" s="27">
        <f>IF(ISNUMBER('TPS Correction'!H13),'TPS Current'!H13*('TPS Correction'!H13+1),'TPS Current'!H13)</f>
        <v>64</v>
      </c>
      <c r="I13" s="27">
        <f>IF(ISNUMBER('TPS Correction'!I13),'TPS Current'!I13*('TPS Correction'!I13+1),'TPS Current'!I13)</f>
        <v>69</v>
      </c>
      <c r="J13" s="27">
        <f>IF(ISNUMBER('TPS Correction'!J13),'TPS Current'!J13*('TPS Correction'!J13+1),'TPS Current'!J13)</f>
        <v>78</v>
      </c>
      <c r="K13" s="27">
        <f>IF(ISNUMBER('TPS Correction'!K13),'TPS Current'!K13*('TPS Correction'!K13+1),'TPS Current'!K13)</f>
        <v>84</v>
      </c>
      <c r="L13" s="27">
        <f>IF(ISNUMBER('TPS Correction'!L13),'TPS Current'!L13*('TPS Correction'!L13+1),'TPS Current'!L13)</f>
        <v>90</v>
      </c>
      <c r="M13" s="27">
        <f>IF(ISNUMBER('TPS Correction'!M13),'TPS Current'!M13*('TPS Correction'!M13+1),'TPS Current'!M13)</f>
        <v>96</v>
      </c>
      <c r="N13" s="27">
        <f>IF(ISNUMBER('TPS Correction'!N13),'TPS Current'!N13*('TPS Correction'!N13+1),'TPS Current'!N13)</f>
        <v>101</v>
      </c>
      <c r="O13" s="27">
        <f>IF(ISNUMBER('TPS Correction'!O13),'TPS Current'!O13*('TPS Correction'!O13+1),'TPS Current'!O13)</f>
        <v>118</v>
      </c>
      <c r="P13" s="27">
        <f>IF(ISNUMBER('TPS Correction'!P13),'TPS Current'!P13*('TPS Correction'!P13+1),'TPS Current'!P13)</f>
        <v>133</v>
      </c>
      <c r="Q13" s="27">
        <f>IF(ISNUMBER('TPS Correction'!Q13),'TPS Current'!Q13*('TPS Correction'!Q13+1),'TPS Current'!Q13)</f>
        <v>142</v>
      </c>
      <c r="R13" s="27">
        <f>IF(ISNUMBER('TPS Correction'!R13),'TPS Current'!R13*('TPS Correction'!R13+1),'TPS Current'!R13)</f>
        <v>153</v>
      </c>
      <c r="S13" s="27">
        <f>IF(ISNUMBER('TPS Correction'!S13),'TPS Current'!S13*('TPS Correction'!S13+1),'TPS Current'!S13)</f>
        <v>161</v>
      </c>
      <c r="T13" s="27">
        <f>IF(ISNUMBER('TPS Correction'!T13),'TPS Current'!T13*('TPS Correction'!T13+1),'TPS Current'!T13)</f>
        <v>161</v>
      </c>
      <c r="U13" s="27">
        <f>IF(ISNUMBER('TPS Correction'!U13),'TPS Current'!U13*('TPS Correction'!U13+1),'TPS Current'!U13)</f>
        <v>162</v>
      </c>
      <c r="V13" s="27">
        <f>IF(ISNUMBER('TPS Correction'!V13),'TPS Current'!V13*('TPS Correction'!V13+1),'TPS Current'!V13)</f>
        <v>167</v>
      </c>
      <c r="W13" s="27">
        <f>IF(ISNUMBER('TPS Correction'!W13),'TPS Current'!W13*('TPS Correction'!W13+1),'TPS Current'!W13)</f>
        <v>171</v>
      </c>
      <c r="X13" s="27">
        <f>IF(ISNUMBER('TPS Correction'!X13),'TPS Current'!X13*('TPS Correction'!X13+1),'TPS Current'!X13)</f>
        <v>175</v>
      </c>
    </row>
    <row r="14" spans="1:24" x14ac:dyDescent="0.25">
      <c r="A14" s="15">
        <v>3200</v>
      </c>
      <c r="B14" s="27">
        <f>IF(ISNUMBER('TPS Correction'!B14),'TPS Current'!B14*('TPS Correction'!B14+1),'TPS Current'!B14)</f>
        <v>32</v>
      </c>
      <c r="C14" s="27">
        <f>IF(ISNUMBER('TPS Correction'!C14),'TPS Current'!C14*('TPS Correction'!C14+1),'TPS Current'!C14)</f>
        <v>32</v>
      </c>
      <c r="D14" s="27">
        <f>IF(ISNUMBER('TPS Correction'!D14),'TPS Current'!D14*('TPS Correction'!D14+1),'TPS Current'!D14)</f>
        <v>32</v>
      </c>
      <c r="E14" s="27">
        <f>IF(ISNUMBER('TPS Correction'!E14),'TPS Current'!E14*('TPS Correction'!E14+1),'TPS Current'!E14)</f>
        <v>38</v>
      </c>
      <c r="F14" s="27">
        <f>IF(ISNUMBER('TPS Correction'!F14),'TPS Current'!F14*('TPS Correction'!F14+1),'TPS Current'!F14)</f>
        <v>45</v>
      </c>
      <c r="G14" s="27">
        <f>IF(ISNUMBER('TPS Correction'!G14),'TPS Current'!G14*('TPS Correction'!G14+1),'TPS Current'!G14)</f>
        <v>52</v>
      </c>
      <c r="H14" s="27">
        <f>IF(ISNUMBER('TPS Correction'!H14),'TPS Current'!H14*('TPS Correction'!H14+1),'TPS Current'!H14)</f>
        <v>63</v>
      </c>
      <c r="I14" s="27">
        <f>IF(ISNUMBER('TPS Correction'!I14),'TPS Current'!I14*('TPS Correction'!I14+1),'TPS Current'!I14)</f>
        <v>67</v>
      </c>
      <c r="J14" s="27">
        <f>IF(ISNUMBER('TPS Correction'!J14),'TPS Current'!J14*('TPS Correction'!J14+1),'TPS Current'!J14)</f>
        <v>78</v>
      </c>
      <c r="K14" s="27">
        <f>IF(ISNUMBER('TPS Correction'!K14),'TPS Current'!K14*('TPS Correction'!K14+1),'TPS Current'!K14)</f>
        <v>84</v>
      </c>
      <c r="L14" s="27">
        <f>IF(ISNUMBER('TPS Correction'!L14),'TPS Current'!L14*('TPS Correction'!L14+1),'TPS Current'!L14)</f>
        <v>89</v>
      </c>
      <c r="M14" s="27">
        <f>IF(ISNUMBER('TPS Correction'!M14),'TPS Current'!M14*('TPS Correction'!M14+1),'TPS Current'!M14)</f>
        <v>94</v>
      </c>
      <c r="N14" s="27">
        <f>IF(ISNUMBER('TPS Correction'!N14),'TPS Current'!N14*('TPS Correction'!N14+1),'TPS Current'!N14)</f>
        <v>102</v>
      </c>
      <c r="O14" s="27">
        <f>IF(ISNUMBER('TPS Correction'!O14),'TPS Current'!O14*('TPS Correction'!O14+1),'TPS Current'!O14)</f>
        <v>123</v>
      </c>
      <c r="P14" s="27">
        <f>IF(ISNUMBER('TPS Correction'!P14),'TPS Current'!P14*('TPS Correction'!P14+1),'TPS Current'!P14)</f>
        <v>139</v>
      </c>
      <c r="Q14" s="27">
        <f>IF(ISNUMBER('TPS Correction'!Q14),'TPS Current'!Q14*('TPS Correction'!Q14+1),'TPS Current'!Q14)</f>
        <v>148</v>
      </c>
      <c r="R14" s="27">
        <f>IF(ISNUMBER('TPS Correction'!R14),'TPS Current'!R14*('TPS Correction'!R14+1),'TPS Current'!R14)</f>
        <v>160</v>
      </c>
      <c r="S14" s="27">
        <f>IF(ISNUMBER('TPS Correction'!S14),'TPS Current'!S14*('TPS Correction'!S14+1),'TPS Current'!S14)</f>
        <v>169</v>
      </c>
      <c r="T14" s="27">
        <f>IF(ISNUMBER('TPS Correction'!T14),'TPS Current'!T14*('TPS Correction'!T14+1),'TPS Current'!T14)</f>
        <v>169</v>
      </c>
      <c r="U14" s="27">
        <f>IF(ISNUMBER('TPS Correction'!U14),'TPS Current'!U14*('TPS Correction'!U14+1),'TPS Current'!U14)</f>
        <v>170</v>
      </c>
      <c r="V14" s="27">
        <f>IF(ISNUMBER('TPS Correction'!V14),'TPS Current'!V14*('TPS Correction'!V14+1),'TPS Current'!V14)</f>
        <v>174</v>
      </c>
      <c r="W14" s="27">
        <f>IF(ISNUMBER('TPS Correction'!W14),'TPS Current'!W14*('TPS Correction'!W14+1),'TPS Current'!W14)</f>
        <v>180</v>
      </c>
      <c r="X14" s="27">
        <f>IF(ISNUMBER('TPS Correction'!X14),'TPS Current'!X14*('TPS Correction'!X14+1),'TPS Current'!X14)</f>
        <v>181</v>
      </c>
    </row>
    <row r="15" spans="1:24" x14ac:dyDescent="0.25">
      <c r="A15" s="15">
        <v>3400</v>
      </c>
      <c r="B15" s="27">
        <f>IF(ISNUMBER('TPS Correction'!B15),'TPS Current'!B15*('TPS Correction'!B15+1),'TPS Current'!B15)</f>
        <v>32</v>
      </c>
      <c r="C15" s="27">
        <f>IF(ISNUMBER('TPS Correction'!C15),'TPS Current'!C15*('TPS Correction'!C15+1),'TPS Current'!C15)</f>
        <v>32</v>
      </c>
      <c r="D15" s="27">
        <f>IF(ISNUMBER('TPS Correction'!D15),'TPS Current'!D15*('TPS Correction'!D15+1),'TPS Current'!D15)</f>
        <v>32</v>
      </c>
      <c r="E15" s="27">
        <f>IF(ISNUMBER('TPS Correction'!E15),'TPS Current'!E15*('TPS Correction'!E15+1),'TPS Current'!E15)</f>
        <v>36</v>
      </c>
      <c r="F15" s="27">
        <f>IF(ISNUMBER('TPS Correction'!F15),'TPS Current'!F15*('TPS Correction'!F15+1),'TPS Current'!F15)</f>
        <v>43</v>
      </c>
      <c r="G15" s="27">
        <f>IF(ISNUMBER('TPS Correction'!G15),'TPS Current'!G15*('TPS Correction'!G15+1),'TPS Current'!G15)</f>
        <v>49</v>
      </c>
      <c r="H15" s="27">
        <f>IF(ISNUMBER('TPS Correction'!H15),'TPS Current'!H15*('TPS Correction'!H15+1),'TPS Current'!H15)</f>
        <v>61</v>
      </c>
      <c r="I15" s="27">
        <f>IF(ISNUMBER('TPS Correction'!I15),'TPS Current'!I15*('TPS Correction'!I15+1),'TPS Current'!I15)</f>
        <v>66</v>
      </c>
      <c r="J15" s="27">
        <f>IF(ISNUMBER('TPS Correction'!J15),'TPS Current'!J15*('TPS Correction'!J15+1),'TPS Current'!J15)</f>
        <v>76</v>
      </c>
      <c r="K15" s="27">
        <f>IF(ISNUMBER('TPS Correction'!K15),'TPS Current'!K15*('TPS Correction'!K15+1),'TPS Current'!K15)</f>
        <v>84</v>
      </c>
      <c r="L15" s="27">
        <f>IF(ISNUMBER('TPS Correction'!L15),'TPS Current'!L15*('TPS Correction'!L15+1),'TPS Current'!L15)</f>
        <v>89</v>
      </c>
      <c r="M15" s="27">
        <f>IF(ISNUMBER('TPS Correction'!M15),'TPS Current'!M15*('TPS Correction'!M15+1),'TPS Current'!M15)</f>
        <v>96</v>
      </c>
      <c r="N15" s="27">
        <f>IF(ISNUMBER('TPS Correction'!N15),'TPS Current'!N15*('TPS Correction'!N15+1),'TPS Current'!N15)</f>
        <v>102</v>
      </c>
      <c r="O15" s="27">
        <f>IF(ISNUMBER('TPS Correction'!O15),'TPS Current'!O15*('TPS Correction'!O15+1),'TPS Current'!O15)</f>
        <v>122</v>
      </c>
      <c r="P15" s="27">
        <f>IF(ISNUMBER('TPS Correction'!P15),'TPS Current'!P15*('TPS Correction'!P15+1),'TPS Current'!P15)</f>
        <v>139</v>
      </c>
      <c r="Q15" s="27">
        <f>IF(ISNUMBER('TPS Correction'!Q15),'TPS Current'!Q15*('TPS Correction'!Q15+1),'TPS Current'!Q15)</f>
        <v>150</v>
      </c>
      <c r="R15" s="27">
        <f>IF(ISNUMBER('TPS Correction'!R15),'TPS Current'!R15*('TPS Correction'!R15+1),'TPS Current'!R15)</f>
        <v>163</v>
      </c>
      <c r="S15" s="27">
        <f>IF(ISNUMBER('TPS Correction'!S15),'TPS Current'!S15*('TPS Correction'!S15+1),'TPS Current'!S15)</f>
        <v>174</v>
      </c>
      <c r="T15" s="27">
        <f>IF(ISNUMBER('TPS Correction'!T15),'TPS Current'!T15*('TPS Correction'!T15+1),'TPS Current'!T15)</f>
        <v>177</v>
      </c>
      <c r="U15" s="27">
        <f>IF(ISNUMBER('TPS Correction'!U15),'TPS Current'!U15*('TPS Correction'!U15+1),'TPS Current'!U15)</f>
        <v>178</v>
      </c>
      <c r="V15" s="27">
        <f>IF(ISNUMBER('TPS Correction'!V15),'TPS Current'!V15*('TPS Correction'!V15+1),'TPS Current'!V15)</f>
        <v>182</v>
      </c>
      <c r="W15" s="27">
        <f>IF(ISNUMBER('TPS Correction'!W15),'TPS Current'!W15*('TPS Correction'!W15+1),'TPS Current'!W15)</f>
        <v>187</v>
      </c>
      <c r="X15" s="27">
        <f>IF(ISNUMBER('TPS Correction'!X15),'TPS Current'!X15*('TPS Correction'!X15+1),'TPS Current'!X15)</f>
        <v>195</v>
      </c>
    </row>
    <row r="16" spans="1:24" x14ac:dyDescent="0.25">
      <c r="A16" s="15">
        <v>3600</v>
      </c>
      <c r="B16" s="27">
        <f>IF(ISNUMBER('TPS Correction'!B16),'TPS Current'!B16*('TPS Correction'!B16+1),'TPS Current'!B16)</f>
        <v>32</v>
      </c>
      <c r="C16" s="27">
        <f>IF(ISNUMBER('TPS Correction'!C16),'TPS Current'!C16*('TPS Correction'!C16+1),'TPS Current'!C16)</f>
        <v>32</v>
      </c>
      <c r="D16" s="27">
        <f>IF(ISNUMBER('TPS Correction'!D16),'TPS Current'!D16*('TPS Correction'!D16+1),'TPS Current'!D16)</f>
        <v>32</v>
      </c>
      <c r="E16" s="27">
        <f>IF(ISNUMBER('TPS Correction'!E16),'TPS Current'!E16*('TPS Correction'!E16+1),'TPS Current'!E16)</f>
        <v>34</v>
      </c>
      <c r="F16" s="27">
        <f>IF(ISNUMBER('TPS Correction'!F16),'TPS Current'!F16*('TPS Correction'!F16+1),'TPS Current'!F16)</f>
        <v>41</v>
      </c>
      <c r="G16" s="27">
        <f>IF(ISNUMBER('TPS Correction'!G16),'TPS Current'!G16*('TPS Correction'!G16+1),'TPS Current'!G16)</f>
        <v>48</v>
      </c>
      <c r="H16" s="27">
        <f>IF(ISNUMBER('TPS Correction'!H16),'TPS Current'!H16*('TPS Correction'!H16+1),'TPS Current'!H16)</f>
        <v>57</v>
      </c>
      <c r="I16" s="27">
        <f>IF(ISNUMBER('TPS Correction'!I16),'TPS Current'!I16*('TPS Correction'!I16+1),'TPS Current'!I16)</f>
        <v>64</v>
      </c>
      <c r="J16" s="27">
        <f>IF(ISNUMBER('TPS Correction'!J16),'TPS Current'!J16*('TPS Correction'!J16+1),'TPS Current'!J16)</f>
        <v>75</v>
      </c>
      <c r="K16" s="27">
        <f>IF(ISNUMBER('TPS Correction'!K16),'TPS Current'!K16*('TPS Correction'!K16+1),'TPS Current'!K16)</f>
        <v>85</v>
      </c>
      <c r="L16" s="27">
        <f>IF(ISNUMBER('TPS Correction'!L16),'TPS Current'!L16*('TPS Correction'!L16+1),'TPS Current'!L16)</f>
        <v>90</v>
      </c>
      <c r="M16" s="27">
        <f>IF(ISNUMBER('TPS Correction'!M16),'TPS Current'!M16*('TPS Correction'!M16+1),'TPS Current'!M16)</f>
        <v>96</v>
      </c>
      <c r="N16" s="27">
        <f>IF(ISNUMBER('TPS Correction'!N16),'TPS Current'!N16*('TPS Correction'!N16+1),'TPS Current'!N16)</f>
        <v>103</v>
      </c>
      <c r="O16" s="27">
        <f>IF(ISNUMBER('TPS Correction'!O16),'TPS Current'!O16*('TPS Correction'!O16+1),'TPS Current'!O16)</f>
        <v>120</v>
      </c>
      <c r="P16" s="27">
        <f>IF(ISNUMBER('TPS Correction'!P16),'TPS Current'!P16*('TPS Correction'!P16+1),'TPS Current'!P16)</f>
        <v>134</v>
      </c>
      <c r="Q16" s="27">
        <f>IF(ISNUMBER('TPS Correction'!Q16),'TPS Current'!Q16*('TPS Correction'!Q16+1),'TPS Current'!Q16)</f>
        <v>150</v>
      </c>
      <c r="R16" s="27">
        <f>IF(ISNUMBER('TPS Correction'!R16),'TPS Current'!R16*('TPS Correction'!R16+1),'TPS Current'!R16)</f>
        <v>166</v>
      </c>
      <c r="S16" s="27">
        <f>IF(ISNUMBER('TPS Correction'!S16),'TPS Current'!S16*('TPS Correction'!S16+1),'TPS Current'!S16)</f>
        <v>181</v>
      </c>
      <c r="T16" s="27">
        <f>IF(ISNUMBER('TPS Correction'!T16),'TPS Current'!T16*('TPS Correction'!T16+1),'TPS Current'!T16)</f>
        <v>183</v>
      </c>
      <c r="U16" s="27">
        <f>IF(ISNUMBER('TPS Correction'!U16),'TPS Current'!U16*('TPS Correction'!U16+1),'TPS Current'!U16)</f>
        <v>183</v>
      </c>
      <c r="V16" s="27">
        <f>IF(ISNUMBER('TPS Correction'!V16),'TPS Current'!V16*('TPS Correction'!V16+1),'TPS Current'!V16)</f>
        <v>187</v>
      </c>
      <c r="W16" s="27">
        <f>IF(ISNUMBER('TPS Correction'!W16),'TPS Current'!W16*('TPS Correction'!W16+1),'TPS Current'!W16)</f>
        <v>194</v>
      </c>
      <c r="X16" s="27">
        <f>IF(ISNUMBER('TPS Correction'!X16),'TPS Current'!X16*('TPS Correction'!X16+1),'TPS Current'!X16)</f>
        <v>205</v>
      </c>
    </row>
    <row r="17" spans="1:24" x14ac:dyDescent="0.25">
      <c r="A17" s="15">
        <v>3800</v>
      </c>
      <c r="B17" s="27">
        <f>IF(ISNUMBER('TPS Correction'!B17),'TPS Current'!B17*('TPS Correction'!B17+1),'TPS Current'!B17)</f>
        <v>32</v>
      </c>
      <c r="C17" s="27">
        <f>IF(ISNUMBER('TPS Correction'!C17),'TPS Current'!C17*('TPS Correction'!C17+1),'TPS Current'!C17)</f>
        <v>32</v>
      </c>
      <c r="D17" s="27">
        <f>IF(ISNUMBER('TPS Correction'!D17),'TPS Current'!D17*('TPS Correction'!D17+1),'TPS Current'!D17)</f>
        <v>32</v>
      </c>
      <c r="E17" s="27">
        <f>IF(ISNUMBER('TPS Correction'!E17),'TPS Current'!E17*('TPS Correction'!E17+1),'TPS Current'!E17)</f>
        <v>34</v>
      </c>
      <c r="F17" s="27">
        <f>IF(ISNUMBER('TPS Correction'!F17),'TPS Current'!F17*('TPS Correction'!F17+1),'TPS Current'!F17)</f>
        <v>40</v>
      </c>
      <c r="G17" s="27">
        <f>IF(ISNUMBER('TPS Correction'!G17),'TPS Current'!G17*('TPS Correction'!G17+1),'TPS Current'!G17)</f>
        <v>48</v>
      </c>
      <c r="H17" s="27">
        <f>IF(ISNUMBER('TPS Correction'!H17),'TPS Current'!H17*('TPS Correction'!H17+1),'TPS Current'!H17)</f>
        <v>57</v>
      </c>
      <c r="I17" s="27">
        <f>IF(ISNUMBER('TPS Correction'!I17),'TPS Current'!I17*('TPS Correction'!I17+1),'TPS Current'!I17)</f>
        <v>63</v>
      </c>
      <c r="J17" s="27">
        <f>IF(ISNUMBER('TPS Correction'!J17),'TPS Current'!J17*('TPS Correction'!J17+1),'TPS Current'!J17)</f>
        <v>75</v>
      </c>
      <c r="K17" s="27">
        <f>IF(ISNUMBER('TPS Correction'!K17),'TPS Current'!K17*('TPS Correction'!K17+1),'TPS Current'!K17)</f>
        <v>86</v>
      </c>
      <c r="L17" s="27">
        <f>IF(ISNUMBER('TPS Correction'!L17),'TPS Current'!L17*('TPS Correction'!L17+1),'TPS Current'!L17)</f>
        <v>91</v>
      </c>
      <c r="M17" s="27">
        <f>IF(ISNUMBER('TPS Correction'!M17),'TPS Current'!M17*('TPS Correction'!M17+1),'TPS Current'!M17)</f>
        <v>97</v>
      </c>
      <c r="N17" s="27">
        <f>IF(ISNUMBER('TPS Correction'!N17),'TPS Current'!N17*('TPS Correction'!N17+1),'TPS Current'!N17)</f>
        <v>102</v>
      </c>
      <c r="O17" s="27">
        <f>IF(ISNUMBER('TPS Correction'!O17),'TPS Current'!O17*('TPS Correction'!O17+1),'TPS Current'!O17)</f>
        <v>118</v>
      </c>
      <c r="P17" s="27">
        <f>IF(ISNUMBER('TPS Correction'!P17),'TPS Current'!P17*('TPS Correction'!P17+1),'TPS Current'!P17)</f>
        <v>134</v>
      </c>
      <c r="Q17" s="27">
        <f>IF(ISNUMBER('TPS Correction'!Q17),'TPS Current'!Q17*('TPS Correction'!Q17+1),'TPS Current'!Q17)</f>
        <v>148</v>
      </c>
      <c r="R17" s="27">
        <f>IF(ISNUMBER('TPS Correction'!R17),'TPS Current'!R17*('TPS Correction'!R17+1),'TPS Current'!R17)</f>
        <v>163</v>
      </c>
      <c r="S17" s="27">
        <f>IF(ISNUMBER('TPS Correction'!S17),'TPS Current'!S17*('TPS Correction'!S17+1),'TPS Current'!S17)</f>
        <v>181</v>
      </c>
      <c r="T17" s="27">
        <f>IF(ISNUMBER('TPS Correction'!T17),'TPS Current'!T17*('TPS Correction'!T17+1),'TPS Current'!T17)</f>
        <v>185</v>
      </c>
      <c r="U17" s="27">
        <f>IF(ISNUMBER('TPS Correction'!U17),'TPS Current'!U17*('TPS Correction'!U17+1),'TPS Current'!U17)</f>
        <v>186</v>
      </c>
      <c r="V17" s="27">
        <f>IF(ISNUMBER('TPS Correction'!V17),'TPS Current'!V17*('TPS Correction'!V17+1),'TPS Current'!V17)</f>
        <v>191</v>
      </c>
      <c r="W17" s="27">
        <f>IF(ISNUMBER('TPS Correction'!W17),'TPS Current'!W17*('TPS Correction'!W17+1),'TPS Current'!W17)</f>
        <v>193</v>
      </c>
      <c r="X17" s="27">
        <f>IF(ISNUMBER('TPS Correction'!X17),'TPS Current'!X17*('TPS Correction'!X17+1),'TPS Current'!X17)</f>
        <v>208</v>
      </c>
    </row>
    <row r="18" spans="1:24" x14ac:dyDescent="0.25">
      <c r="A18" s="15">
        <v>4000</v>
      </c>
      <c r="B18" s="27">
        <f>IF(ISNUMBER('TPS Correction'!B18),'TPS Current'!B18*('TPS Correction'!B18+1),'TPS Current'!B18)</f>
        <v>32</v>
      </c>
      <c r="C18" s="27">
        <f>IF(ISNUMBER('TPS Correction'!C18),'TPS Current'!C18*('TPS Correction'!C18+1),'TPS Current'!C18)</f>
        <v>32</v>
      </c>
      <c r="D18" s="27">
        <f>IF(ISNUMBER('TPS Correction'!D18),'TPS Current'!D18*('TPS Correction'!D18+1),'TPS Current'!D18)</f>
        <v>32</v>
      </c>
      <c r="E18" s="27">
        <f>IF(ISNUMBER('TPS Correction'!E18),'TPS Current'!E18*('TPS Correction'!E18+1),'TPS Current'!E18)</f>
        <v>34</v>
      </c>
      <c r="F18" s="27">
        <f>IF(ISNUMBER('TPS Correction'!F18),'TPS Current'!F18*('TPS Correction'!F18+1),'TPS Current'!F18)</f>
        <v>40</v>
      </c>
      <c r="G18" s="27">
        <f>IF(ISNUMBER('TPS Correction'!G18),'TPS Current'!G18*('TPS Correction'!G18+1),'TPS Current'!G18)</f>
        <v>48</v>
      </c>
      <c r="H18" s="27">
        <f>IF(ISNUMBER('TPS Correction'!H18),'TPS Current'!H18*('TPS Correction'!H18+1),'TPS Current'!H18)</f>
        <v>57</v>
      </c>
      <c r="I18" s="27">
        <f>IF(ISNUMBER('TPS Correction'!I18),'TPS Current'!I18*('TPS Correction'!I18+1),'TPS Current'!I18)</f>
        <v>62</v>
      </c>
      <c r="J18" s="27">
        <f>IF(ISNUMBER('TPS Correction'!J18),'TPS Current'!J18*('TPS Correction'!J18+1),'TPS Current'!J18)</f>
        <v>78</v>
      </c>
      <c r="K18" s="27">
        <f>IF(ISNUMBER('TPS Correction'!K18),'TPS Current'!K18*('TPS Correction'!K18+1),'TPS Current'!K18)</f>
        <v>88</v>
      </c>
      <c r="L18" s="27">
        <f>IF(ISNUMBER('TPS Correction'!L18),'TPS Current'!L18*('TPS Correction'!L18+1),'TPS Current'!L18)</f>
        <v>93</v>
      </c>
      <c r="M18" s="27">
        <f>IF(ISNUMBER('TPS Correction'!M18),'TPS Current'!M18*('TPS Correction'!M18+1),'TPS Current'!M18)</f>
        <v>97</v>
      </c>
      <c r="N18" s="27">
        <f>IF(ISNUMBER('TPS Correction'!N18),'TPS Current'!N18*('TPS Correction'!N18+1),'TPS Current'!N18)</f>
        <v>102</v>
      </c>
      <c r="O18" s="27">
        <f>IF(ISNUMBER('TPS Correction'!O18),'TPS Current'!O18*('TPS Correction'!O18+1),'TPS Current'!O18)</f>
        <v>117</v>
      </c>
      <c r="P18" s="27">
        <f>IF(ISNUMBER('TPS Correction'!P18),'TPS Current'!P18*('TPS Correction'!P18+1),'TPS Current'!P18)</f>
        <v>132</v>
      </c>
      <c r="Q18" s="27">
        <f>IF(ISNUMBER('TPS Correction'!Q18),'TPS Current'!Q18*('TPS Correction'!Q18+1),'TPS Current'!Q18)</f>
        <v>146</v>
      </c>
      <c r="R18" s="27">
        <f>IF(ISNUMBER('TPS Correction'!R18),'TPS Current'!R18*('TPS Correction'!R18+1),'TPS Current'!R18)</f>
        <v>160</v>
      </c>
      <c r="S18" s="27">
        <f>IF(ISNUMBER('TPS Correction'!S18),'TPS Current'!S18*('TPS Correction'!S18+1),'TPS Current'!S18)</f>
        <v>181</v>
      </c>
      <c r="T18" s="27">
        <f>IF(ISNUMBER('TPS Correction'!T18),'TPS Current'!T18*('TPS Correction'!T18+1),'TPS Current'!T18)</f>
        <v>190</v>
      </c>
      <c r="U18" s="27">
        <f>IF(ISNUMBER('TPS Correction'!U18),'TPS Current'!U18*('TPS Correction'!U18+1),'TPS Current'!U18)</f>
        <v>187</v>
      </c>
      <c r="V18" s="27">
        <f>IF(ISNUMBER('TPS Correction'!V18),'TPS Current'!V18*('TPS Correction'!V18+1),'TPS Current'!V18)</f>
        <v>192</v>
      </c>
      <c r="W18" s="27">
        <f>IF(ISNUMBER('TPS Correction'!W18),'TPS Current'!W18*('TPS Correction'!W18+1),'TPS Current'!W18)</f>
        <v>193</v>
      </c>
      <c r="X18" s="27">
        <f>IF(ISNUMBER('TPS Correction'!X18),'TPS Current'!X18*('TPS Correction'!X18+1),'TPS Current'!X18)</f>
        <v>211</v>
      </c>
    </row>
    <row r="19" spans="1:24" x14ac:dyDescent="0.25">
      <c r="A19" s="15">
        <v>4200</v>
      </c>
      <c r="B19" s="27">
        <f>IF(ISNUMBER('TPS Correction'!B19),'TPS Current'!B19*('TPS Correction'!B19+1),'TPS Current'!B19)</f>
        <v>32</v>
      </c>
      <c r="C19" s="27">
        <f>IF(ISNUMBER('TPS Correction'!C19),'TPS Current'!C19*('TPS Correction'!C19+1),'TPS Current'!C19)</f>
        <v>32</v>
      </c>
      <c r="D19" s="27">
        <f>IF(ISNUMBER('TPS Correction'!D19),'TPS Current'!D19*('TPS Correction'!D19+1),'TPS Current'!D19)</f>
        <v>32</v>
      </c>
      <c r="E19" s="27">
        <f>IF(ISNUMBER('TPS Correction'!E19),'TPS Current'!E19*('TPS Correction'!E19+1),'TPS Current'!E19)</f>
        <v>34</v>
      </c>
      <c r="F19" s="27">
        <f>IF(ISNUMBER('TPS Correction'!F19),'TPS Current'!F19*('TPS Correction'!F19+1),'TPS Current'!F19)</f>
        <v>39</v>
      </c>
      <c r="G19" s="27">
        <f>IF(ISNUMBER('TPS Correction'!G19),'TPS Current'!G19*('TPS Correction'!G19+1),'TPS Current'!G19)</f>
        <v>47</v>
      </c>
      <c r="H19" s="27">
        <f>IF(ISNUMBER('TPS Correction'!H19),'TPS Current'!H19*('TPS Correction'!H19+1),'TPS Current'!H19)</f>
        <v>55</v>
      </c>
      <c r="I19" s="27">
        <f>IF(ISNUMBER('TPS Correction'!I19),'TPS Current'!I19*('TPS Correction'!I19+1),'TPS Current'!I19)</f>
        <v>61</v>
      </c>
      <c r="J19" s="27">
        <f>IF(ISNUMBER('TPS Correction'!J19),'TPS Current'!J19*('TPS Correction'!J19+1),'TPS Current'!J19)</f>
        <v>76</v>
      </c>
      <c r="K19" s="27">
        <f>IF(ISNUMBER('TPS Correction'!K19),'TPS Current'!K19*('TPS Correction'!K19+1),'TPS Current'!K19)</f>
        <v>88</v>
      </c>
      <c r="L19" s="27">
        <f>IF(ISNUMBER('TPS Correction'!L19),'TPS Current'!L19*('TPS Correction'!L19+1),'TPS Current'!L19)</f>
        <v>93</v>
      </c>
      <c r="M19" s="27">
        <f>IF(ISNUMBER('TPS Correction'!M19),'TPS Current'!M19*('TPS Correction'!M19+1),'TPS Current'!M19)</f>
        <v>98</v>
      </c>
      <c r="N19" s="27">
        <f>IF(ISNUMBER('TPS Correction'!N19),'TPS Current'!N19*('TPS Correction'!N19+1),'TPS Current'!N19)</f>
        <v>103</v>
      </c>
      <c r="O19" s="27">
        <f>IF(ISNUMBER('TPS Correction'!O19),'TPS Current'!O19*('TPS Correction'!O19+1),'TPS Current'!O19)</f>
        <v>116</v>
      </c>
      <c r="P19" s="27">
        <f>IF(ISNUMBER('TPS Correction'!P19),'TPS Current'!P19*('TPS Correction'!P19+1),'TPS Current'!P19)</f>
        <v>130</v>
      </c>
      <c r="Q19" s="27">
        <f>IF(ISNUMBER('TPS Correction'!Q19),'TPS Current'!Q19*('TPS Correction'!Q19+1),'TPS Current'!Q19)</f>
        <v>142</v>
      </c>
      <c r="R19" s="27">
        <f>IF(ISNUMBER('TPS Correction'!R19),'TPS Current'!R19*('TPS Correction'!R19+1),'TPS Current'!R19)</f>
        <v>155</v>
      </c>
      <c r="S19" s="27">
        <f>IF(ISNUMBER('TPS Correction'!S19),'TPS Current'!S19*('TPS Correction'!S19+1),'TPS Current'!S19)</f>
        <v>180</v>
      </c>
      <c r="T19" s="27">
        <f>IF(ISNUMBER('TPS Correction'!T19),'TPS Current'!T19*('TPS Correction'!T19+1),'TPS Current'!T19)</f>
        <v>190</v>
      </c>
      <c r="U19" s="27">
        <f>IF(ISNUMBER('TPS Correction'!U19),'TPS Current'!U19*('TPS Correction'!U19+1),'TPS Current'!U19)</f>
        <v>190</v>
      </c>
      <c r="V19" s="27">
        <f>IF(ISNUMBER('TPS Correction'!V19),'TPS Current'!V19*('TPS Correction'!V19+1),'TPS Current'!V19)</f>
        <v>192</v>
      </c>
      <c r="W19" s="27">
        <f>IF(ISNUMBER('TPS Correction'!W19),'TPS Current'!W19*('TPS Correction'!W19+1),'TPS Current'!W19)</f>
        <v>193</v>
      </c>
      <c r="X19" s="27">
        <f>IF(ISNUMBER('TPS Correction'!X19),'TPS Current'!X19*('TPS Correction'!X19+1),'TPS Current'!X19)</f>
        <v>210</v>
      </c>
    </row>
    <row r="20" spans="1:24" x14ac:dyDescent="0.25">
      <c r="A20" s="15">
        <v>4400</v>
      </c>
      <c r="B20" s="27">
        <f>IF(ISNUMBER('TPS Correction'!B20),'TPS Current'!B20*('TPS Correction'!B20+1),'TPS Current'!B20)</f>
        <v>32</v>
      </c>
      <c r="C20" s="27">
        <f>IF(ISNUMBER('TPS Correction'!C20),'TPS Current'!C20*('TPS Correction'!C20+1),'TPS Current'!C20)</f>
        <v>32</v>
      </c>
      <c r="D20" s="27">
        <f>IF(ISNUMBER('TPS Correction'!D20),'TPS Current'!D20*('TPS Correction'!D20+1),'TPS Current'!D20)</f>
        <v>32</v>
      </c>
      <c r="E20" s="27">
        <f>IF(ISNUMBER('TPS Correction'!E20),'TPS Current'!E20*('TPS Correction'!E20+1),'TPS Current'!E20)</f>
        <v>34</v>
      </c>
      <c r="F20" s="27">
        <f>IF(ISNUMBER('TPS Correction'!F20),'TPS Current'!F20*('TPS Correction'!F20+1),'TPS Current'!F20)</f>
        <v>37</v>
      </c>
      <c r="G20" s="27">
        <f>IF(ISNUMBER('TPS Correction'!G20),'TPS Current'!G20*('TPS Correction'!G20+1),'TPS Current'!G20)</f>
        <v>44</v>
      </c>
      <c r="H20" s="27">
        <f>IF(ISNUMBER('TPS Correction'!H20),'TPS Current'!H20*('TPS Correction'!H20+1),'TPS Current'!H20)</f>
        <v>55</v>
      </c>
      <c r="I20" s="27">
        <f>IF(ISNUMBER('TPS Correction'!I20),'TPS Current'!I20*('TPS Correction'!I20+1),'TPS Current'!I20)</f>
        <v>62</v>
      </c>
      <c r="J20" s="27">
        <f>IF(ISNUMBER('TPS Correction'!J20),'TPS Current'!J20*('TPS Correction'!J20+1),'TPS Current'!J20)</f>
        <v>76</v>
      </c>
      <c r="K20" s="27">
        <f>IF(ISNUMBER('TPS Correction'!K20),'TPS Current'!K20*('TPS Correction'!K20+1),'TPS Current'!K20)</f>
        <v>87</v>
      </c>
      <c r="L20" s="27">
        <f>IF(ISNUMBER('TPS Correction'!L20),'TPS Current'!L20*('TPS Correction'!L20+1),'TPS Current'!L20)</f>
        <v>93</v>
      </c>
      <c r="M20" s="27">
        <f>IF(ISNUMBER('TPS Correction'!M20),'TPS Current'!M20*('TPS Correction'!M20+1),'TPS Current'!M20)</f>
        <v>98</v>
      </c>
      <c r="N20" s="27">
        <f>IF(ISNUMBER('TPS Correction'!N20),'TPS Current'!N20*('TPS Correction'!N20+1),'TPS Current'!N20)</f>
        <v>102</v>
      </c>
      <c r="O20" s="27">
        <f>IF(ISNUMBER('TPS Correction'!O20),'TPS Current'!O20*('TPS Correction'!O20+1),'TPS Current'!O20)</f>
        <v>114</v>
      </c>
      <c r="P20" s="27">
        <f>IF(ISNUMBER('TPS Correction'!P20),'TPS Current'!P20*('TPS Correction'!P20+1),'TPS Current'!P20)</f>
        <v>128</v>
      </c>
      <c r="Q20" s="27">
        <f>IF(ISNUMBER('TPS Correction'!Q20),'TPS Current'!Q20*('TPS Correction'!Q20+1),'TPS Current'!Q20)</f>
        <v>139</v>
      </c>
      <c r="R20" s="27">
        <f>IF(ISNUMBER('TPS Correction'!R20),'TPS Current'!R20*('TPS Correction'!R20+1),'TPS Current'!R20)</f>
        <v>150</v>
      </c>
      <c r="S20" s="27">
        <f>IF(ISNUMBER('TPS Correction'!S20),'TPS Current'!S20*('TPS Correction'!S20+1),'TPS Current'!S20)</f>
        <v>178</v>
      </c>
      <c r="T20" s="27">
        <f>IF(ISNUMBER('TPS Correction'!T20),'TPS Current'!T20*('TPS Correction'!T20+1),'TPS Current'!T20)</f>
        <v>192</v>
      </c>
      <c r="U20" s="27">
        <f>IF(ISNUMBER('TPS Correction'!U20),'TPS Current'!U20*('TPS Correction'!U20+1),'TPS Current'!U20)</f>
        <v>193</v>
      </c>
      <c r="V20" s="27">
        <f>IF(ISNUMBER('TPS Correction'!V20),'TPS Current'!V20*('TPS Correction'!V20+1),'TPS Current'!V20)</f>
        <v>192</v>
      </c>
      <c r="W20" s="27">
        <f>IF(ISNUMBER('TPS Correction'!W20),'TPS Current'!W20*('TPS Correction'!W20+1),'TPS Current'!W20)</f>
        <v>195</v>
      </c>
      <c r="X20" s="27">
        <f>IF(ISNUMBER('TPS Correction'!X20),'TPS Current'!X20*('TPS Correction'!X20+1),'TPS Current'!X20)</f>
        <v>208</v>
      </c>
    </row>
    <row r="21" spans="1:24" x14ac:dyDescent="0.25">
      <c r="A21" s="15">
        <v>4600</v>
      </c>
      <c r="B21" s="27">
        <f>IF(ISNUMBER('TPS Correction'!B21),'TPS Current'!B21*('TPS Correction'!B21+1),'TPS Current'!B21)</f>
        <v>32</v>
      </c>
      <c r="C21" s="27">
        <f>IF(ISNUMBER('TPS Correction'!C21),'TPS Current'!C21*('TPS Correction'!C21+1),'TPS Current'!C21)</f>
        <v>32</v>
      </c>
      <c r="D21" s="27">
        <f>IF(ISNUMBER('TPS Correction'!D21),'TPS Current'!D21*('TPS Correction'!D21+1),'TPS Current'!D21)</f>
        <v>32</v>
      </c>
      <c r="E21" s="27">
        <f>IF(ISNUMBER('TPS Correction'!E21),'TPS Current'!E21*('TPS Correction'!E21+1),'TPS Current'!E21)</f>
        <v>32</v>
      </c>
      <c r="F21" s="27">
        <f>IF(ISNUMBER('TPS Correction'!F21),'TPS Current'!F21*('TPS Correction'!F21+1),'TPS Current'!F21)</f>
        <v>36</v>
      </c>
      <c r="G21" s="27">
        <f>IF(ISNUMBER('TPS Correction'!G21),'TPS Current'!G21*('TPS Correction'!G21+1),'TPS Current'!G21)</f>
        <v>43</v>
      </c>
      <c r="H21" s="27">
        <f>IF(ISNUMBER('TPS Correction'!H21),'TPS Current'!H21*('TPS Correction'!H21+1),'TPS Current'!H21)</f>
        <v>51</v>
      </c>
      <c r="I21" s="27">
        <f>IF(ISNUMBER('TPS Correction'!I21),'TPS Current'!I21*('TPS Correction'!I21+1),'TPS Current'!I21)</f>
        <v>60</v>
      </c>
      <c r="J21" s="27">
        <f>IF(ISNUMBER('TPS Correction'!J21),'TPS Current'!J21*('TPS Correction'!J21+1),'TPS Current'!J21)</f>
        <v>71</v>
      </c>
      <c r="K21" s="27">
        <f>IF(ISNUMBER('TPS Correction'!K21),'TPS Current'!K21*('TPS Correction'!K21+1),'TPS Current'!K21)</f>
        <v>83</v>
      </c>
      <c r="L21" s="27">
        <f>IF(ISNUMBER('TPS Correction'!L21),'TPS Current'!L21*('TPS Correction'!L21+1),'TPS Current'!L21)</f>
        <v>89</v>
      </c>
      <c r="M21" s="27">
        <f>IF(ISNUMBER('TPS Correction'!M21),'TPS Current'!M21*('TPS Correction'!M21+1),'TPS Current'!M21)</f>
        <v>93</v>
      </c>
      <c r="N21" s="27">
        <f>IF(ISNUMBER('TPS Correction'!N21),'TPS Current'!N21*('TPS Correction'!N21+1),'TPS Current'!N21)</f>
        <v>98</v>
      </c>
      <c r="O21" s="27">
        <f>IF(ISNUMBER('TPS Correction'!O21),'TPS Current'!O21*('TPS Correction'!O21+1),'TPS Current'!O21)</f>
        <v>110</v>
      </c>
      <c r="P21" s="27">
        <f>IF(ISNUMBER('TPS Correction'!P21),'TPS Current'!P21*('TPS Correction'!P21+1),'TPS Current'!P21)</f>
        <v>122</v>
      </c>
      <c r="Q21" s="27">
        <f>IF(ISNUMBER('TPS Correction'!Q21),'TPS Current'!Q21*('TPS Correction'!Q21+1),'TPS Current'!Q21)</f>
        <v>132</v>
      </c>
      <c r="R21" s="27">
        <f>IF(ISNUMBER('TPS Correction'!R21),'TPS Current'!R21*('TPS Correction'!R21+1),'TPS Current'!R21)</f>
        <v>147</v>
      </c>
      <c r="S21" s="27">
        <f>IF(ISNUMBER('TPS Correction'!S21),'TPS Current'!S21*('TPS Correction'!S21+1),'TPS Current'!S21)</f>
        <v>174</v>
      </c>
      <c r="T21" s="27">
        <f>IF(ISNUMBER('TPS Correction'!T21),'TPS Current'!T21*('TPS Correction'!T21+1),'TPS Current'!T21)</f>
        <v>190</v>
      </c>
      <c r="U21" s="27">
        <f>IF(ISNUMBER('TPS Correction'!U21),'TPS Current'!U21*('TPS Correction'!U21+1),'TPS Current'!U21)</f>
        <v>194</v>
      </c>
      <c r="V21" s="27">
        <f>IF(ISNUMBER('TPS Correction'!V21),'TPS Current'!V21*('TPS Correction'!V21+1),'TPS Current'!V21)</f>
        <v>196</v>
      </c>
      <c r="W21" s="27">
        <f>IF(ISNUMBER('TPS Correction'!W21),'TPS Current'!W21*('TPS Correction'!W21+1),'TPS Current'!W21)</f>
        <v>201</v>
      </c>
      <c r="X21" s="27">
        <f>IF(ISNUMBER('TPS Correction'!X21),'TPS Current'!X21*('TPS Correction'!X21+1),'TPS Current'!X21)</f>
        <v>211</v>
      </c>
    </row>
    <row r="22" spans="1:24" x14ac:dyDescent="0.25">
      <c r="A22" s="15">
        <v>4800</v>
      </c>
      <c r="B22" s="27">
        <f>IF(ISNUMBER('TPS Correction'!B22),'TPS Current'!B22*('TPS Correction'!B22+1),'TPS Current'!B22)</f>
        <v>29</v>
      </c>
      <c r="C22" s="27">
        <f>IF(ISNUMBER('TPS Correction'!C22),'TPS Current'!C22*('TPS Correction'!C22+1),'TPS Current'!C22)</f>
        <v>29</v>
      </c>
      <c r="D22" s="27">
        <f>IF(ISNUMBER('TPS Correction'!D22),'TPS Current'!D22*('TPS Correction'!D22+1),'TPS Current'!D22)</f>
        <v>29</v>
      </c>
      <c r="E22" s="27">
        <f>IF(ISNUMBER('TPS Correction'!E22),'TPS Current'!E22*('TPS Correction'!E22+1),'TPS Current'!E22)</f>
        <v>29</v>
      </c>
      <c r="F22" s="27">
        <f>IF(ISNUMBER('TPS Correction'!F22),'TPS Current'!F22*('TPS Correction'!F22+1),'TPS Current'!F22)</f>
        <v>34</v>
      </c>
      <c r="G22" s="27">
        <f>IF(ISNUMBER('TPS Correction'!G22),'TPS Current'!G22*('TPS Correction'!G22+1),'TPS Current'!G22)</f>
        <v>40</v>
      </c>
      <c r="H22" s="27">
        <f>IF(ISNUMBER('TPS Correction'!H22),'TPS Current'!H22*('TPS Correction'!H22+1),'TPS Current'!H22)</f>
        <v>49</v>
      </c>
      <c r="I22" s="27">
        <f>IF(ISNUMBER('TPS Correction'!I22),'TPS Current'!I22*('TPS Correction'!I22+1),'TPS Current'!I22)</f>
        <v>54</v>
      </c>
      <c r="J22" s="27">
        <f>IF(ISNUMBER('TPS Correction'!J22),'TPS Current'!J22*('TPS Correction'!J22+1),'TPS Current'!J22)</f>
        <v>66</v>
      </c>
      <c r="K22" s="27">
        <f>IF(ISNUMBER('TPS Correction'!K22),'TPS Current'!K22*('TPS Correction'!K22+1),'TPS Current'!K22)</f>
        <v>76</v>
      </c>
      <c r="L22" s="27">
        <f>IF(ISNUMBER('TPS Correction'!L22),'TPS Current'!L22*('TPS Correction'!L22+1),'TPS Current'!L22)</f>
        <v>85</v>
      </c>
      <c r="M22" s="27">
        <f>IF(ISNUMBER('TPS Correction'!M22),'TPS Current'!M22*('TPS Correction'!M22+1),'TPS Current'!M22)</f>
        <v>88</v>
      </c>
      <c r="N22" s="27">
        <f>IF(ISNUMBER('TPS Correction'!N22),'TPS Current'!N22*('TPS Correction'!N22+1),'TPS Current'!N22)</f>
        <v>92</v>
      </c>
      <c r="O22" s="27">
        <f>IF(ISNUMBER('TPS Correction'!O22),'TPS Current'!O22*('TPS Correction'!O22+1),'TPS Current'!O22)</f>
        <v>104</v>
      </c>
      <c r="P22" s="27">
        <f>IF(ISNUMBER('TPS Correction'!P22),'TPS Current'!P22*('TPS Correction'!P22+1),'TPS Current'!P22)</f>
        <v>117</v>
      </c>
      <c r="Q22" s="27">
        <f>IF(ISNUMBER('TPS Correction'!Q22),'TPS Current'!Q22*('TPS Correction'!Q22+1),'TPS Current'!Q22)</f>
        <v>126</v>
      </c>
      <c r="R22" s="27">
        <f>IF(ISNUMBER('TPS Correction'!R22),'TPS Current'!R22*('TPS Correction'!R22+1),'TPS Current'!R22)</f>
        <v>140</v>
      </c>
      <c r="S22" s="27">
        <f>IF(ISNUMBER('TPS Correction'!S22),'TPS Current'!S22*('TPS Correction'!S22+1),'TPS Current'!S22)</f>
        <v>169</v>
      </c>
      <c r="T22" s="27">
        <f>IF(ISNUMBER('TPS Correction'!T22),'TPS Current'!T22*('TPS Correction'!T22+1),'TPS Current'!T22)</f>
        <v>187</v>
      </c>
      <c r="U22" s="27">
        <f>IF(ISNUMBER('TPS Correction'!U22),'TPS Current'!U22*('TPS Correction'!U22+1),'TPS Current'!U22)</f>
        <v>195</v>
      </c>
      <c r="V22" s="27">
        <f>IF(ISNUMBER('TPS Correction'!V22),'TPS Current'!V22*('TPS Correction'!V22+1),'TPS Current'!V22)</f>
        <v>200</v>
      </c>
      <c r="W22" s="27">
        <f>IF(ISNUMBER('TPS Correction'!W22),'TPS Current'!W22*('TPS Correction'!W22+1),'TPS Current'!W22)</f>
        <v>205</v>
      </c>
      <c r="X22" s="27">
        <f>IF(ISNUMBER('TPS Correction'!X22),'TPS Current'!X22*('TPS Correction'!X22+1),'TPS Current'!X22)</f>
        <v>216</v>
      </c>
    </row>
    <row r="23" spans="1:24" x14ac:dyDescent="0.25">
      <c r="A23" s="15">
        <v>5000</v>
      </c>
      <c r="B23" s="27">
        <f>IF(ISNUMBER('TPS Correction'!B23),'TPS Current'!B23*('TPS Correction'!B23+1),'TPS Current'!B23)</f>
        <v>29</v>
      </c>
      <c r="C23" s="27">
        <f>IF(ISNUMBER('TPS Correction'!C23),'TPS Current'!C23*('TPS Correction'!C23+1),'TPS Current'!C23)</f>
        <v>29</v>
      </c>
      <c r="D23" s="27">
        <f>IF(ISNUMBER('TPS Correction'!D23),'TPS Current'!D23*('TPS Correction'!D23+1),'TPS Current'!D23)</f>
        <v>29</v>
      </c>
      <c r="E23" s="27">
        <f>IF(ISNUMBER('TPS Correction'!E23),'TPS Current'!E23*('TPS Correction'!E23+1),'TPS Current'!E23)</f>
        <v>34</v>
      </c>
      <c r="F23" s="27">
        <f>IF(ISNUMBER('TPS Correction'!F23),'TPS Current'!F23*('TPS Correction'!F23+1),'TPS Current'!F23)</f>
        <v>34</v>
      </c>
      <c r="G23" s="27">
        <f>IF(ISNUMBER('TPS Correction'!G23),'TPS Current'!G23*('TPS Correction'!G23+1),'TPS Current'!G23)</f>
        <v>38</v>
      </c>
      <c r="H23" s="27">
        <f>IF(ISNUMBER('TPS Correction'!H23),'TPS Current'!H23*('TPS Correction'!H23+1),'TPS Current'!H23)</f>
        <v>45</v>
      </c>
      <c r="I23" s="27">
        <f>IF(ISNUMBER('TPS Correction'!I23),'TPS Current'!I23*('TPS Correction'!I23+1),'TPS Current'!I23)</f>
        <v>50</v>
      </c>
      <c r="J23" s="27">
        <f>IF(ISNUMBER('TPS Correction'!J23),'TPS Current'!J23*('TPS Correction'!J23+1),'TPS Current'!J23)</f>
        <v>62</v>
      </c>
      <c r="K23" s="27">
        <f>IF(ISNUMBER('TPS Correction'!K23),'TPS Current'!K23*('TPS Correction'!K23+1),'TPS Current'!K23)</f>
        <v>71</v>
      </c>
      <c r="L23" s="27">
        <f>IF(ISNUMBER('TPS Correction'!L23),'TPS Current'!L23*('TPS Correction'!L23+1),'TPS Current'!L23)</f>
        <v>79</v>
      </c>
      <c r="M23" s="27">
        <f>IF(ISNUMBER('TPS Correction'!M23),'TPS Current'!M23*('TPS Correction'!M23+1),'TPS Current'!M23)</f>
        <v>84</v>
      </c>
      <c r="N23" s="27">
        <f>IF(ISNUMBER('TPS Correction'!N23),'TPS Current'!N23*('TPS Correction'!N23+1),'TPS Current'!N23)</f>
        <v>87</v>
      </c>
      <c r="O23" s="27">
        <f>IF(ISNUMBER('TPS Correction'!O23),'TPS Current'!O23*('TPS Correction'!O23+1),'TPS Current'!O23)</f>
        <v>98</v>
      </c>
      <c r="P23" s="27">
        <f>IF(ISNUMBER('TPS Correction'!P23),'TPS Current'!P23*('TPS Correction'!P23+1),'TPS Current'!P23)</f>
        <v>110</v>
      </c>
      <c r="Q23" s="27">
        <f>IF(ISNUMBER('TPS Correction'!Q23),'TPS Current'!Q23*('TPS Correction'!Q23+1),'TPS Current'!Q23)</f>
        <v>120</v>
      </c>
      <c r="R23" s="27">
        <f>IF(ISNUMBER('TPS Correction'!R23),'TPS Current'!R23*('TPS Correction'!R23+1),'TPS Current'!R23)</f>
        <v>134</v>
      </c>
      <c r="S23" s="27">
        <f>IF(ISNUMBER('TPS Correction'!S23),'TPS Current'!S23*('TPS Correction'!S23+1),'TPS Current'!S23)</f>
        <v>162</v>
      </c>
      <c r="T23" s="27">
        <f>IF(ISNUMBER('TPS Correction'!T23),'TPS Current'!T23*('TPS Correction'!T23+1),'TPS Current'!T23)</f>
        <v>184</v>
      </c>
      <c r="U23" s="27">
        <f>IF(ISNUMBER('TPS Correction'!U23),'TPS Current'!U23*('TPS Correction'!U23+1),'TPS Current'!U23)</f>
        <v>194</v>
      </c>
      <c r="V23" s="27">
        <f>IF(ISNUMBER('TPS Correction'!V23),'TPS Current'!V23*('TPS Correction'!V23+1),'TPS Current'!V23)</f>
        <v>198</v>
      </c>
      <c r="W23" s="27">
        <f>IF(ISNUMBER('TPS Correction'!W23),'TPS Current'!W23*('TPS Correction'!W23+1),'TPS Current'!W23)</f>
        <v>203</v>
      </c>
      <c r="X23" s="27">
        <f>IF(ISNUMBER('TPS Correction'!X23),'TPS Current'!X23*('TPS Correction'!X23+1),'TPS Current'!X23)</f>
        <v>213</v>
      </c>
    </row>
    <row r="24" spans="1:24" x14ac:dyDescent="0.25">
      <c r="A24" s="15">
        <v>5200</v>
      </c>
      <c r="B24" s="27">
        <f>IF(ISNUMBER('TPS Correction'!B24),'TPS Current'!B24*('TPS Correction'!B24+1),'TPS Current'!B24)</f>
        <v>29</v>
      </c>
      <c r="C24" s="27">
        <f>IF(ISNUMBER('TPS Correction'!C24),'TPS Current'!C24*('TPS Correction'!C24+1),'TPS Current'!C24)</f>
        <v>29</v>
      </c>
      <c r="D24" s="27">
        <f>IF(ISNUMBER('TPS Correction'!D24),'TPS Current'!D24*('TPS Correction'!D24+1),'TPS Current'!D24)</f>
        <v>29</v>
      </c>
      <c r="E24" s="27">
        <f>IF(ISNUMBER('TPS Correction'!E24),'TPS Current'!E24*('TPS Correction'!E24+1),'TPS Current'!E24)</f>
        <v>34</v>
      </c>
      <c r="F24" s="27">
        <f>IF(ISNUMBER('TPS Correction'!F24),'TPS Current'!F24*('TPS Correction'!F24+1),'TPS Current'!F24)</f>
        <v>34</v>
      </c>
      <c r="G24" s="27">
        <f>IF(ISNUMBER('TPS Correction'!G24),'TPS Current'!G24*('TPS Correction'!G24+1),'TPS Current'!G24)</f>
        <v>36</v>
      </c>
      <c r="H24" s="27">
        <f>IF(ISNUMBER('TPS Correction'!H24),'TPS Current'!H24*('TPS Correction'!H24+1),'TPS Current'!H24)</f>
        <v>41</v>
      </c>
      <c r="I24" s="27">
        <f>IF(ISNUMBER('TPS Correction'!I24),'TPS Current'!I24*('TPS Correction'!I24+1),'TPS Current'!I24)</f>
        <v>46</v>
      </c>
      <c r="J24" s="27">
        <f>IF(ISNUMBER('TPS Correction'!J24),'TPS Current'!J24*('TPS Correction'!J24+1),'TPS Current'!J24)</f>
        <v>60</v>
      </c>
      <c r="K24" s="27">
        <f>IF(ISNUMBER('TPS Correction'!K24),'TPS Current'!K24*('TPS Correction'!K24+1),'TPS Current'!K24)</f>
        <v>68</v>
      </c>
      <c r="L24" s="27">
        <f>IF(ISNUMBER('TPS Correction'!L24),'TPS Current'!L24*('TPS Correction'!L24+1),'TPS Current'!L24)</f>
        <v>75</v>
      </c>
      <c r="M24" s="27">
        <f>IF(ISNUMBER('TPS Correction'!M24),'TPS Current'!M24*('TPS Correction'!M24+1),'TPS Current'!M24)</f>
        <v>82</v>
      </c>
      <c r="N24" s="27">
        <f>IF(ISNUMBER('TPS Correction'!N24),'TPS Current'!N24*('TPS Correction'!N24+1),'TPS Current'!N24)</f>
        <v>85</v>
      </c>
      <c r="O24" s="27">
        <f>IF(ISNUMBER('TPS Correction'!O24),'TPS Current'!O24*('TPS Correction'!O24+1),'TPS Current'!O24)</f>
        <v>93</v>
      </c>
      <c r="P24" s="27">
        <f>IF(ISNUMBER('TPS Correction'!P24),'TPS Current'!P24*('TPS Correction'!P24+1),'TPS Current'!P24)</f>
        <v>106</v>
      </c>
      <c r="Q24" s="27">
        <f>IF(ISNUMBER('TPS Correction'!Q24),'TPS Current'!Q24*('TPS Correction'!Q24+1),'TPS Current'!Q24)</f>
        <v>117</v>
      </c>
      <c r="R24" s="27">
        <f>IF(ISNUMBER('TPS Correction'!R24),'TPS Current'!R24*('TPS Correction'!R24+1),'TPS Current'!R24)</f>
        <v>129</v>
      </c>
      <c r="S24" s="27">
        <f>IF(ISNUMBER('TPS Correction'!S24),'TPS Current'!S24*('TPS Correction'!S24+1),'TPS Current'!S24)</f>
        <v>159</v>
      </c>
      <c r="T24" s="27">
        <f>IF(ISNUMBER('TPS Correction'!T24),'TPS Current'!T24*('TPS Correction'!T24+1),'TPS Current'!T24)</f>
        <v>181</v>
      </c>
      <c r="U24" s="27">
        <f>IF(ISNUMBER('TPS Correction'!U24),'TPS Current'!U24*('TPS Correction'!U24+1),'TPS Current'!U24)</f>
        <v>192</v>
      </c>
      <c r="V24" s="27">
        <f>IF(ISNUMBER('TPS Correction'!V24),'TPS Current'!V24*('TPS Correction'!V24+1),'TPS Current'!V24)</f>
        <v>195</v>
      </c>
      <c r="W24" s="27">
        <f>IF(ISNUMBER('TPS Correction'!W24),'TPS Current'!W24*('TPS Correction'!W24+1),'TPS Current'!W24)</f>
        <v>200</v>
      </c>
      <c r="X24" s="27">
        <f>IF(ISNUMBER('TPS Correction'!X24),'TPS Current'!X24*('TPS Correction'!X24+1),'TPS Current'!X24)</f>
        <v>208</v>
      </c>
    </row>
    <row r="25" spans="1:24" x14ac:dyDescent="0.25">
      <c r="A25" s="15">
        <v>5600</v>
      </c>
      <c r="B25" s="27">
        <f>IF(ISNUMBER('TPS Correction'!B25),'TPS Current'!B25*('TPS Correction'!B25+1),'TPS Current'!B25)</f>
        <v>29</v>
      </c>
      <c r="C25" s="27">
        <f>IF(ISNUMBER('TPS Correction'!C25),'TPS Current'!C25*('TPS Correction'!C25+1),'TPS Current'!C25)</f>
        <v>29</v>
      </c>
      <c r="D25" s="27">
        <f>IF(ISNUMBER('TPS Correction'!D25),'TPS Current'!D25*('TPS Correction'!D25+1),'TPS Current'!D25)</f>
        <v>29</v>
      </c>
      <c r="E25" s="27">
        <f>IF(ISNUMBER('TPS Correction'!E25),'TPS Current'!E25*('TPS Correction'!E25+1),'TPS Current'!E25)</f>
        <v>34</v>
      </c>
      <c r="F25" s="27">
        <f>IF(ISNUMBER('TPS Correction'!F25),'TPS Current'!F25*('TPS Correction'!F25+1),'TPS Current'!F25)</f>
        <v>34</v>
      </c>
      <c r="G25" s="27">
        <f>IF(ISNUMBER('TPS Correction'!G25),'TPS Current'!G25*('TPS Correction'!G25+1),'TPS Current'!G25)</f>
        <v>34</v>
      </c>
      <c r="H25" s="27">
        <f>IF(ISNUMBER('TPS Correction'!H25),'TPS Current'!H25*('TPS Correction'!H25+1),'TPS Current'!H25)</f>
        <v>39</v>
      </c>
      <c r="I25" s="27">
        <f>IF(ISNUMBER('TPS Correction'!I25),'TPS Current'!I25*('TPS Correction'!I25+1),'TPS Current'!I25)</f>
        <v>44</v>
      </c>
      <c r="J25" s="27">
        <f>IF(ISNUMBER('TPS Correction'!J25),'TPS Current'!J25*('TPS Correction'!J25+1),'TPS Current'!J25)</f>
        <v>54</v>
      </c>
      <c r="K25" s="27">
        <f>IF(ISNUMBER('TPS Correction'!K25),'TPS Current'!K25*('TPS Correction'!K25+1),'TPS Current'!K25)</f>
        <v>65</v>
      </c>
      <c r="L25" s="27">
        <f>IF(ISNUMBER('TPS Correction'!L25),'TPS Current'!L25*('TPS Correction'!L25+1),'TPS Current'!L25)</f>
        <v>71</v>
      </c>
      <c r="M25" s="27">
        <f>IF(ISNUMBER('TPS Correction'!M25),'TPS Current'!M25*('TPS Correction'!M25+1),'TPS Current'!M25)</f>
        <v>79</v>
      </c>
      <c r="N25" s="27">
        <f>IF(ISNUMBER('TPS Correction'!N25),'TPS Current'!N25*('TPS Correction'!N25+1),'TPS Current'!N25)</f>
        <v>83</v>
      </c>
      <c r="O25" s="27">
        <f>IF(ISNUMBER('TPS Correction'!O25),'TPS Current'!O25*('TPS Correction'!O25+1),'TPS Current'!O25)</f>
        <v>92</v>
      </c>
      <c r="P25" s="27">
        <f>IF(ISNUMBER('TPS Correction'!P25),'TPS Current'!P25*('TPS Correction'!P25+1),'TPS Current'!P25)</f>
        <v>104</v>
      </c>
      <c r="Q25" s="27">
        <f>IF(ISNUMBER('TPS Correction'!Q25),'TPS Current'!Q25*('TPS Correction'!Q25+1),'TPS Current'!Q25)</f>
        <v>117</v>
      </c>
      <c r="R25" s="27">
        <f>IF(ISNUMBER('TPS Correction'!R25),'TPS Current'!R25*('TPS Correction'!R25+1),'TPS Current'!R25)</f>
        <v>129</v>
      </c>
      <c r="S25" s="27">
        <f>IF(ISNUMBER('TPS Correction'!S25),'TPS Current'!S25*('TPS Correction'!S25+1),'TPS Current'!S25)</f>
        <v>159</v>
      </c>
      <c r="T25" s="27">
        <f>IF(ISNUMBER('TPS Correction'!T25),'TPS Current'!T25*('TPS Correction'!T25+1),'TPS Current'!T25)</f>
        <v>183</v>
      </c>
      <c r="U25" s="27">
        <f>IF(ISNUMBER('TPS Correction'!U25),'TPS Current'!U25*('TPS Correction'!U25+1),'TPS Current'!U25)</f>
        <v>195</v>
      </c>
      <c r="V25" s="27">
        <f>IF(ISNUMBER('TPS Correction'!V25),'TPS Current'!V25*('TPS Correction'!V25+1),'TPS Current'!V25)</f>
        <v>201</v>
      </c>
      <c r="W25" s="27">
        <f>IF(ISNUMBER('TPS Correction'!W25),'TPS Current'!W25*('TPS Correction'!W25+1),'TPS Current'!W25)</f>
        <v>204</v>
      </c>
      <c r="X25" s="27">
        <f>IF(ISNUMBER('TPS Correction'!X25),'TPS Current'!X25*('TPS Correction'!X25+1),'TPS Current'!X25)</f>
        <v>212</v>
      </c>
    </row>
    <row r="26" spans="1:24" x14ac:dyDescent="0.25">
      <c r="A26" s="15">
        <v>6000</v>
      </c>
      <c r="B26" s="27">
        <f>IF(ISNUMBER('TPS Correction'!B26),'TPS Current'!B26*('TPS Correction'!B26+1),'TPS Current'!B26)</f>
        <v>29</v>
      </c>
      <c r="C26" s="27">
        <f>IF(ISNUMBER('TPS Correction'!C26),'TPS Current'!C26*('TPS Correction'!C26+1),'TPS Current'!C26)</f>
        <v>29</v>
      </c>
      <c r="D26" s="27">
        <f>IF(ISNUMBER('TPS Correction'!D26),'TPS Current'!D26*('TPS Correction'!D26+1),'TPS Current'!D26)</f>
        <v>29</v>
      </c>
      <c r="E26" s="27">
        <f>IF(ISNUMBER('TPS Correction'!E26),'TPS Current'!E26*('TPS Correction'!E26+1),'TPS Current'!E26)</f>
        <v>32</v>
      </c>
      <c r="F26" s="27">
        <f>IF(ISNUMBER('TPS Correction'!F26),'TPS Current'!F26*('TPS Correction'!F26+1),'TPS Current'!F26)</f>
        <v>32</v>
      </c>
      <c r="G26" s="27">
        <f>IF(ISNUMBER('TPS Correction'!G26),'TPS Current'!G26*('TPS Correction'!G26+1),'TPS Current'!G26)</f>
        <v>30</v>
      </c>
      <c r="H26" s="27">
        <f>IF(ISNUMBER('TPS Correction'!H26),'TPS Current'!H26*('TPS Correction'!H26+1),'TPS Current'!H26)</f>
        <v>37</v>
      </c>
      <c r="I26" s="27">
        <f>IF(ISNUMBER('TPS Correction'!I26),'TPS Current'!I26*('TPS Correction'!I26+1),'TPS Current'!I26)</f>
        <v>42</v>
      </c>
      <c r="J26" s="27">
        <f>IF(ISNUMBER('TPS Correction'!J26),'TPS Current'!J26*('TPS Correction'!J26+1),'TPS Current'!J26)</f>
        <v>50</v>
      </c>
      <c r="K26" s="27">
        <f>IF(ISNUMBER('TPS Correction'!K26),'TPS Current'!K26*('TPS Correction'!K26+1),'TPS Current'!K26)</f>
        <v>61</v>
      </c>
      <c r="L26" s="27">
        <f>IF(ISNUMBER('TPS Correction'!L26),'TPS Current'!L26*('TPS Correction'!L26+1),'TPS Current'!L26)</f>
        <v>68</v>
      </c>
      <c r="M26" s="27">
        <f>IF(ISNUMBER('TPS Correction'!M26),'TPS Current'!M26*('TPS Correction'!M26+1),'TPS Current'!M26)</f>
        <v>76</v>
      </c>
      <c r="N26" s="27">
        <f>IF(ISNUMBER('TPS Correction'!N26),'TPS Current'!N26*('TPS Correction'!N26+1),'TPS Current'!N26)</f>
        <v>79</v>
      </c>
      <c r="O26" s="27">
        <f>IF(ISNUMBER('TPS Correction'!O26),'TPS Current'!O26*('TPS Correction'!O26+1),'TPS Current'!O26)</f>
        <v>91</v>
      </c>
      <c r="P26" s="27">
        <f>IF(ISNUMBER('TPS Correction'!P26),'TPS Current'!P26*('TPS Correction'!P26+1),'TPS Current'!P26)</f>
        <v>103</v>
      </c>
      <c r="Q26" s="27">
        <f>IF(ISNUMBER('TPS Correction'!Q26),'TPS Current'!Q26*('TPS Correction'!Q26+1),'TPS Current'!Q26)</f>
        <v>114</v>
      </c>
      <c r="R26" s="27">
        <f>IF(ISNUMBER('TPS Correction'!R26),'TPS Current'!R26*('TPS Correction'!R26+1),'TPS Current'!R26)</f>
        <v>131</v>
      </c>
      <c r="S26" s="27">
        <f>IF(ISNUMBER('TPS Correction'!S26),'TPS Current'!S26*('TPS Correction'!S26+1),'TPS Current'!S26)</f>
        <v>160</v>
      </c>
      <c r="T26" s="27">
        <f>IF(ISNUMBER('TPS Correction'!T26),'TPS Current'!T26*('TPS Correction'!T26+1),'TPS Current'!T26)</f>
        <v>186</v>
      </c>
      <c r="U26" s="27">
        <f>IF(ISNUMBER('TPS Correction'!U26),'TPS Current'!U26*('TPS Correction'!U26+1),'TPS Current'!U26)</f>
        <v>203</v>
      </c>
      <c r="V26" s="27">
        <f>IF(ISNUMBER('TPS Correction'!V26),'TPS Current'!V26*('TPS Correction'!V26+1),'TPS Current'!V26)</f>
        <v>212</v>
      </c>
      <c r="W26" s="27">
        <f>IF(ISNUMBER('TPS Correction'!W26),'TPS Current'!W26*('TPS Correction'!W26+1),'TPS Current'!W26)</f>
        <v>216</v>
      </c>
      <c r="X26" s="27">
        <f>IF(ISNUMBER('TPS Correction'!X26),'TPS Current'!X26*('TPS Correction'!X26+1),'TPS Current'!X26)</f>
        <v>224</v>
      </c>
    </row>
    <row r="27" spans="1:24" x14ac:dyDescent="0.25">
      <c r="A27" s="15">
        <v>6400</v>
      </c>
      <c r="B27" s="27">
        <f>IF(ISNUMBER('TPS Correction'!B27),'TPS Current'!B27*('TPS Correction'!B27+1),'TPS Current'!B27)</f>
        <v>29</v>
      </c>
      <c r="C27" s="27">
        <f>IF(ISNUMBER('TPS Correction'!C27),'TPS Current'!C27*('TPS Correction'!C27+1),'TPS Current'!C27)</f>
        <v>29</v>
      </c>
      <c r="D27" s="27">
        <f>IF(ISNUMBER('TPS Correction'!D27),'TPS Current'!D27*('TPS Correction'!D27+1),'TPS Current'!D27)</f>
        <v>29</v>
      </c>
      <c r="E27" s="27">
        <f>IF(ISNUMBER('TPS Correction'!E27),'TPS Current'!E27*('TPS Correction'!E27+1),'TPS Current'!E27)</f>
        <v>29</v>
      </c>
      <c r="F27" s="27">
        <f>IF(ISNUMBER('TPS Correction'!F27),'TPS Current'!F27*('TPS Correction'!F27+1),'TPS Current'!F27)</f>
        <v>29</v>
      </c>
      <c r="G27" s="27">
        <f>IF(ISNUMBER('TPS Correction'!G27),'TPS Current'!G27*('TPS Correction'!G27+1),'TPS Current'!G27)</f>
        <v>34</v>
      </c>
      <c r="H27" s="27">
        <f>IF(ISNUMBER('TPS Correction'!H27),'TPS Current'!H27*('TPS Correction'!H27+1),'TPS Current'!H27)</f>
        <v>36</v>
      </c>
      <c r="I27" s="27">
        <f>IF(ISNUMBER('TPS Correction'!I27),'TPS Current'!I27*('TPS Correction'!I27+1),'TPS Current'!I27)</f>
        <v>39</v>
      </c>
      <c r="J27" s="27">
        <f>IF(ISNUMBER('TPS Correction'!J27),'TPS Current'!J27*('TPS Correction'!J27+1),'TPS Current'!J27)</f>
        <v>43</v>
      </c>
      <c r="K27" s="27">
        <f>IF(ISNUMBER('TPS Correction'!K27),'TPS Current'!K27*('TPS Correction'!K27+1),'TPS Current'!K27)</f>
        <v>48</v>
      </c>
      <c r="L27" s="27">
        <f>IF(ISNUMBER('TPS Correction'!L27),'TPS Current'!L27*('TPS Correction'!L27+1),'TPS Current'!L27)</f>
        <v>60</v>
      </c>
      <c r="M27" s="27">
        <f>IF(ISNUMBER('TPS Correction'!M27),'TPS Current'!M27*('TPS Correction'!M27+1),'TPS Current'!M27)</f>
        <v>67</v>
      </c>
      <c r="N27" s="27">
        <f>IF(ISNUMBER('TPS Correction'!N27),'TPS Current'!N27*('TPS Correction'!N27+1),'TPS Current'!N27)</f>
        <v>74</v>
      </c>
      <c r="O27" s="27">
        <f>IF(ISNUMBER('TPS Correction'!O27),'TPS Current'!O27*('TPS Correction'!O27+1),'TPS Current'!O27)</f>
        <v>88</v>
      </c>
      <c r="P27" s="27">
        <f>IF(ISNUMBER('TPS Correction'!P27),'TPS Current'!P27*('TPS Correction'!P27+1),'TPS Current'!P27)</f>
        <v>99</v>
      </c>
      <c r="Q27" s="27">
        <f>IF(ISNUMBER('TPS Correction'!Q27),'TPS Current'!Q27*('TPS Correction'!Q27+1),'TPS Current'!Q27)</f>
        <v>112</v>
      </c>
      <c r="R27" s="27">
        <f>IF(ISNUMBER('TPS Correction'!R27),'TPS Current'!R27*('TPS Correction'!R27+1),'TPS Current'!R27)</f>
        <v>131</v>
      </c>
      <c r="S27" s="27">
        <f>IF(ISNUMBER('TPS Correction'!S27),'TPS Current'!S27*('TPS Correction'!S27+1),'TPS Current'!S27)</f>
        <v>159</v>
      </c>
      <c r="T27" s="27">
        <f>IF(ISNUMBER('TPS Correction'!T27),'TPS Current'!T27*('TPS Correction'!T27+1),'TPS Current'!T27)</f>
        <v>185</v>
      </c>
      <c r="U27" s="27">
        <f>IF(ISNUMBER('TPS Correction'!U27),'TPS Current'!U27*('TPS Correction'!U27+1),'TPS Current'!U27)</f>
        <v>204</v>
      </c>
      <c r="V27" s="27">
        <f>IF(ISNUMBER('TPS Correction'!V27),'TPS Current'!V27*('TPS Correction'!V27+1),'TPS Current'!V27)</f>
        <v>212</v>
      </c>
      <c r="W27" s="27">
        <f>IF(ISNUMBER('TPS Correction'!W27),'TPS Current'!W27*('TPS Correction'!W27+1),'TPS Current'!W27)</f>
        <v>216</v>
      </c>
      <c r="X27" s="27">
        <f>IF(ISNUMBER('TPS Correction'!X27),'TPS Current'!X27*('TPS Correction'!X27+1),'TPS Current'!X27)</f>
        <v>223</v>
      </c>
    </row>
    <row r="28" spans="1:24" x14ac:dyDescent="0.25">
      <c r="A28" s="15">
        <v>6800</v>
      </c>
      <c r="B28" s="27">
        <f>IF(ISNUMBER('TPS Correction'!B28),'TPS Current'!B28*('TPS Correction'!B28+1),'TPS Current'!B28)</f>
        <v>28</v>
      </c>
      <c r="C28" s="27">
        <f>IF(ISNUMBER('TPS Correction'!C28),'TPS Current'!C28*('TPS Correction'!C28+1),'TPS Current'!C28)</f>
        <v>28</v>
      </c>
      <c r="D28" s="27">
        <f>IF(ISNUMBER('TPS Correction'!D28),'TPS Current'!D28*('TPS Correction'!D28+1),'TPS Current'!D28)</f>
        <v>28</v>
      </c>
      <c r="E28" s="27">
        <f>IF(ISNUMBER('TPS Correction'!E28),'TPS Current'!E28*('TPS Correction'!E28+1),'TPS Current'!E28)</f>
        <v>28</v>
      </c>
      <c r="F28" s="27">
        <f>IF(ISNUMBER('TPS Correction'!F28),'TPS Current'!F28*('TPS Correction'!F28+1),'TPS Current'!F28)</f>
        <v>28</v>
      </c>
      <c r="G28" s="27">
        <f>IF(ISNUMBER('TPS Correction'!G28),'TPS Current'!G28*('TPS Correction'!G28+1),'TPS Current'!G28)</f>
        <v>34</v>
      </c>
      <c r="H28" s="27">
        <f>IF(ISNUMBER('TPS Correction'!H28),'TPS Current'!H28*('TPS Correction'!H28+1),'TPS Current'!H28)</f>
        <v>34</v>
      </c>
      <c r="I28" s="27">
        <f>IF(ISNUMBER('TPS Correction'!I28),'TPS Current'!I28*('TPS Correction'!I28+1),'TPS Current'!I28)</f>
        <v>36</v>
      </c>
      <c r="J28" s="27">
        <f>IF(ISNUMBER('TPS Correction'!J28),'TPS Current'!J28*('TPS Correction'!J28+1),'TPS Current'!J28)</f>
        <v>39</v>
      </c>
      <c r="K28" s="27">
        <f>IF(ISNUMBER('TPS Correction'!K28),'TPS Current'!K28*('TPS Correction'!K28+1),'TPS Current'!K28)</f>
        <v>45</v>
      </c>
      <c r="L28" s="27">
        <f>IF(ISNUMBER('TPS Correction'!L28),'TPS Current'!L28*('TPS Correction'!L28+1),'TPS Current'!L28)</f>
        <v>52</v>
      </c>
      <c r="M28" s="27">
        <f>IF(ISNUMBER('TPS Correction'!M28),'TPS Current'!M28*('TPS Correction'!M28+1),'TPS Current'!M28)</f>
        <v>63</v>
      </c>
      <c r="N28" s="27">
        <f>IF(ISNUMBER('TPS Correction'!N28),'TPS Current'!N28*('TPS Correction'!N28+1),'TPS Current'!N28)</f>
        <v>71</v>
      </c>
      <c r="O28" s="27">
        <f>IF(ISNUMBER('TPS Correction'!O28),'TPS Current'!O28*('TPS Correction'!O28+1),'TPS Current'!O28)</f>
        <v>86</v>
      </c>
      <c r="P28" s="27">
        <f>IF(ISNUMBER('TPS Correction'!P28),'TPS Current'!P28*('TPS Correction'!P28+1),'TPS Current'!P28)</f>
        <v>97</v>
      </c>
      <c r="Q28" s="27">
        <f>IF(ISNUMBER('TPS Correction'!Q28),'TPS Current'!Q28*('TPS Correction'!Q28+1),'TPS Current'!Q28)</f>
        <v>111</v>
      </c>
      <c r="R28" s="27">
        <f>IF(ISNUMBER('TPS Correction'!R28),'TPS Current'!R28*('TPS Correction'!R28+1),'TPS Current'!R28)</f>
        <v>130</v>
      </c>
      <c r="S28" s="27">
        <f>IF(ISNUMBER('TPS Correction'!S28),'TPS Current'!S28*('TPS Correction'!S28+1),'TPS Current'!S28)</f>
        <v>156</v>
      </c>
      <c r="T28" s="27">
        <f>IF(ISNUMBER('TPS Correction'!T28),'TPS Current'!T28*('TPS Correction'!T28+1),'TPS Current'!T28)</f>
        <v>183</v>
      </c>
      <c r="U28" s="27">
        <f>IF(ISNUMBER('TPS Correction'!U28),'TPS Current'!U28*('TPS Correction'!U28+1),'TPS Current'!U28)</f>
        <v>205</v>
      </c>
      <c r="V28" s="27">
        <f>IF(ISNUMBER('TPS Correction'!V28),'TPS Current'!V28*('TPS Correction'!V28+1),'TPS Current'!V28)</f>
        <v>215</v>
      </c>
      <c r="W28" s="27">
        <f>IF(ISNUMBER('TPS Correction'!W28),'TPS Current'!W28*('TPS Correction'!W28+1),'TPS Current'!W28)</f>
        <v>270</v>
      </c>
      <c r="X28" s="27">
        <f>IF(ISNUMBER('TPS Correction'!X28),'TPS Current'!X28*('TPS Correction'!X28+1),'TPS Current'!X28)</f>
        <v>274</v>
      </c>
    </row>
    <row r="29" spans="1:24" x14ac:dyDescent="0.25">
      <c r="A29" s="15">
        <v>7200</v>
      </c>
      <c r="B29" s="27">
        <f>IF(ISNUMBER('TPS Correction'!B29),'TPS Current'!B29*('TPS Correction'!B29+1),'TPS Current'!B29)</f>
        <v>27</v>
      </c>
      <c r="C29" s="27">
        <f>IF(ISNUMBER('TPS Correction'!C29),'TPS Current'!C29*('TPS Correction'!C29+1),'TPS Current'!C29)</f>
        <v>27</v>
      </c>
      <c r="D29" s="27">
        <f>IF(ISNUMBER('TPS Correction'!D29),'TPS Current'!D29*('TPS Correction'!D29+1),'TPS Current'!D29)</f>
        <v>27</v>
      </c>
      <c r="E29" s="27">
        <f>IF(ISNUMBER('TPS Correction'!E29),'TPS Current'!E29*('TPS Correction'!E29+1),'TPS Current'!E29)</f>
        <v>27</v>
      </c>
      <c r="F29" s="27">
        <f>IF(ISNUMBER('TPS Correction'!F29),'TPS Current'!F29*('TPS Correction'!F29+1),'TPS Current'!F29)</f>
        <v>27</v>
      </c>
      <c r="G29" s="27">
        <f>IF(ISNUMBER('TPS Correction'!G29),'TPS Current'!G29*('TPS Correction'!G29+1),'TPS Current'!G29)</f>
        <v>32</v>
      </c>
      <c r="H29" s="27">
        <f>IF(ISNUMBER('TPS Correction'!H29),'TPS Current'!H29*('TPS Correction'!H29+1),'TPS Current'!H29)</f>
        <v>34</v>
      </c>
      <c r="I29" s="27">
        <f>IF(ISNUMBER('TPS Correction'!I29),'TPS Current'!I29*('TPS Correction'!I29+1),'TPS Current'!I29)</f>
        <v>34</v>
      </c>
      <c r="J29" s="27">
        <f>IF(ISNUMBER('TPS Correction'!J29),'TPS Current'!J29*('TPS Correction'!J29+1),'TPS Current'!J29)</f>
        <v>36</v>
      </c>
      <c r="K29" s="27">
        <f>IF(ISNUMBER('TPS Correction'!K29),'TPS Current'!K29*('TPS Correction'!K29+1),'TPS Current'!K29)</f>
        <v>42</v>
      </c>
      <c r="L29" s="27">
        <f>IF(ISNUMBER('TPS Correction'!L29),'TPS Current'!L29*('TPS Correction'!L29+1),'TPS Current'!L29)</f>
        <v>48</v>
      </c>
      <c r="M29" s="27">
        <f>IF(ISNUMBER('TPS Correction'!M29),'TPS Current'!M29*('TPS Correction'!M29+1),'TPS Current'!M29)</f>
        <v>61</v>
      </c>
      <c r="N29" s="27">
        <f>IF(ISNUMBER('TPS Correction'!N29),'TPS Current'!N29*('TPS Correction'!N29+1),'TPS Current'!N29)</f>
        <v>70</v>
      </c>
      <c r="O29" s="27">
        <f>IF(ISNUMBER('TPS Correction'!O29),'TPS Current'!O29*('TPS Correction'!O29+1),'TPS Current'!O29)</f>
        <v>84</v>
      </c>
      <c r="P29" s="27">
        <f>IF(ISNUMBER('TPS Correction'!P29),'TPS Current'!P29*('TPS Correction'!P29+1),'TPS Current'!P29)</f>
        <v>94</v>
      </c>
      <c r="Q29" s="27">
        <f>IF(ISNUMBER('TPS Correction'!Q29),'TPS Current'!Q29*('TPS Correction'!Q29+1),'TPS Current'!Q29)</f>
        <v>109</v>
      </c>
      <c r="R29" s="27">
        <f>IF(ISNUMBER('TPS Correction'!R29),'TPS Current'!R29*('TPS Correction'!R29+1),'TPS Current'!R29)</f>
        <v>126</v>
      </c>
      <c r="S29" s="27">
        <f>IF(ISNUMBER('TPS Correction'!S29),'TPS Current'!S29*('TPS Correction'!S29+1),'TPS Current'!S29)</f>
        <v>154</v>
      </c>
      <c r="T29" s="27">
        <f>IF(ISNUMBER('TPS Correction'!T29),'TPS Current'!T29*('TPS Correction'!T29+1),'TPS Current'!T29)</f>
        <v>182</v>
      </c>
      <c r="U29" s="27">
        <f>IF(ISNUMBER('TPS Correction'!U29),'TPS Current'!U29*('TPS Correction'!U29+1),'TPS Current'!U29)</f>
        <v>206</v>
      </c>
      <c r="V29" s="27">
        <f>IF(ISNUMBER('TPS Correction'!V29),'TPS Current'!V29*('TPS Correction'!V29+1),'TPS Current'!V29)</f>
        <v>220</v>
      </c>
      <c r="W29" s="27">
        <f>IF(ISNUMBER('TPS Correction'!W29),'TPS Current'!W29*('TPS Correction'!W29+1),'TPS Current'!W29)</f>
        <v>275</v>
      </c>
      <c r="X29" s="27">
        <f>IF(ISNUMBER('TPS Correction'!X29),'TPS Current'!X29*('TPS Correction'!X29+1),'TPS Current'!X29)</f>
        <v>281</v>
      </c>
    </row>
    <row r="30" spans="1:24" x14ac:dyDescent="0.25">
      <c r="A30" s="15">
        <v>7600</v>
      </c>
      <c r="B30" s="27">
        <f>IF(ISNUMBER('TPS Correction'!B30),'TPS Current'!B30*('TPS Correction'!B30+1),'TPS Current'!B30)</f>
        <v>27</v>
      </c>
      <c r="C30" s="27">
        <f>IF(ISNUMBER('TPS Correction'!C30),'TPS Current'!C30*('TPS Correction'!C30+1),'TPS Current'!C30)</f>
        <v>27</v>
      </c>
      <c r="D30" s="27">
        <f>IF(ISNUMBER('TPS Correction'!D30),'TPS Current'!D30*('TPS Correction'!D30+1),'TPS Current'!D30)</f>
        <v>27</v>
      </c>
      <c r="E30" s="27">
        <f>IF(ISNUMBER('TPS Correction'!E30),'TPS Current'!E30*('TPS Correction'!E30+1),'TPS Current'!E30)</f>
        <v>27</v>
      </c>
      <c r="F30" s="27">
        <f>IF(ISNUMBER('TPS Correction'!F30),'TPS Current'!F30*('TPS Correction'!F30+1),'TPS Current'!F30)</f>
        <v>27</v>
      </c>
      <c r="G30" s="27">
        <f>IF(ISNUMBER('TPS Correction'!G30),'TPS Current'!G30*('TPS Correction'!G30+1),'TPS Current'!G30)</f>
        <v>29</v>
      </c>
      <c r="H30" s="27">
        <f>IF(ISNUMBER('TPS Correction'!H30),'TPS Current'!H30*('TPS Correction'!H30+1),'TPS Current'!H30)</f>
        <v>32</v>
      </c>
      <c r="I30" s="27">
        <f>IF(ISNUMBER('TPS Correction'!I30),'TPS Current'!I30*('TPS Correction'!I30+1),'TPS Current'!I30)</f>
        <v>32</v>
      </c>
      <c r="J30" s="27">
        <f>IF(ISNUMBER('TPS Correction'!J30),'TPS Current'!J30*('TPS Correction'!J30+1),'TPS Current'!J30)</f>
        <v>36</v>
      </c>
      <c r="K30" s="27">
        <f>IF(ISNUMBER('TPS Correction'!K30),'TPS Current'!K30*('TPS Correction'!K30+1),'TPS Current'!K30)</f>
        <v>40</v>
      </c>
      <c r="L30" s="27">
        <f>IF(ISNUMBER('TPS Correction'!L30),'TPS Current'!L30*('TPS Correction'!L30+1),'TPS Current'!L30)</f>
        <v>47</v>
      </c>
      <c r="M30" s="27">
        <f>IF(ISNUMBER('TPS Correction'!M30),'TPS Current'!M30*('TPS Correction'!M30+1),'TPS Current'!M30)</f>
        <v>57</v>
      </c>
      <c r="N30" s="27">
        <f>IF(ISNUMBER('TPS Correction'!N30),'TPS Current'!N30*('TPS Correction'!N30+1),'TPS Current'!N30)</f>
        <v>69</v>
      </c>
      <c r="O30" s="27">
        <f>IF(ISNUMBER('TPS Correction'!O30),'TPS Current'!O30*('TPS Correction'!O30+1),'TPS Current'!O30)</f>
        <v>80</v>
      </c>
      <c r="P30" s="27">
        <f>IF(ISNUMBER('TPS Correction'!P30),'TPS Current'!P30*('TPS Correction'!P30+1),'TPS Current'!P30)</f>
        <v>93</v>
      </c>
      <c r="Q30" s="27">
        <f>IF(ISNUMBER('TPS Correction'!Q30),'TPS Current'!Q30*('TPS Correction'!Q30+1),'TPS Current'!Q30)</f>
        <v>108</v>
      </c>
      <c r="R30" s="27">
        <f>IF(ISNUMBER('TPS Correction'!R30),'TPS Current'!R30*('TPS Correction'!R30+1),'TPS Current'!R30)</f>
        <v>123</v>
      </c>
      <c r="S30" s="27">
        <f>IF(ISNUMBER('TPS Correction'!S30),'TPS Current'!S30*('TPS Correction'!S30+1),'TPS Current'!S30)</f>
        <v>150</v>
      </c>
      <c r="T30" s="27">
        <f>IF(ISNUMBER('TPS Correction'!T30),'TPS Current'!T30*('TPS Correction'!T30+1),'TPS Current'!T30)</f>
        <v>181</v>
      </c>
      <c r="U30" s="27">
        <f>IF(ISNUMBER('TPS Correction'!U30),'TPS Current'!U30*('TPS Correction'!U30+1),'TPS Current'!U30)</f>
        <v>206</v>
      </c>
      <c r="V30" s="27">
        <f>IF(ISNUMBER('TPS Correction'!V30),'TPS Current'!V30*('TPS Correction'!V30+1),'TPS Current'!V30)</f>
        <v>223</v>
      </c>
      <c r="W30" s="27">
        <f>IF(ISNUMBER('TPS Correction'!W30),'TPS Current'!W30*('TPS Correction'!W30+1),'TPS Current'!W30)</f>
        <v>281</v>
      </c>
      <c r="X30" s="27">
        <f>IF(ISNUMBER('TPS Correction'!X30),'TPS Current'!X30*('TPS Correction'!X30+1),'TPS Current'!X30)</f>
        <v>287</v>
      </c>
    </row>
    <row r="31" spans="1:24" x14ac:dyDescent="0.25">
      <c r="A31" s="15">
        <v>8000</v>
      </c>
      <c r="B31" s="27">
        <f>IF(ISNUMBER('TPS Correction'!B31),'TPS Current'!B31*('TPS Correction'!B31+1),'TPS Current'!B31)</f>
        <v>25</v>
      </c>
      <c r="C31" s="27">
        <f>IF(ISNUMBER('TPS Correction'!C31),'TPS Current'!C31*('TPS Correction'!C31+1),'TPS Current'!C31)</f>
        <v>25</v>
      </c>
      <c r="D31" s="27">
        <f>IF(ISNUMBER('TPS Correction'!D31),'TPS Current'!D31*('TPS Correction'!D31+1),'TPS Current'!D31)</f>
        <v>25</v>
      </c>
      <c r="E31" s="27">
        <f>IF(ISNUMBER('TPS Correction'!E31),'TPS Current'!E31*('TPS Correction'!E31+1),'TPS Current'!E31)</f>
        <v>25</v>
      </c>
      <c r="F31" s="27">
        <f>IF(ISNUMBER('TPS Correction'!F31),'TPS Current'!F31*('TPS Correction'!F31+1),'TPS Current'!F31)</f>
        <v>25</v>
      </c>
      <c r="G31" s="27">
        <f>IF(ISNUMBER('TPS Correction'!G31),'TPS Current'!G31*('TPS Correction'!G31+1),'TPS Current'!G31)</f>
        <v>29</v>
      </c>
      <c r="H31" s="27">
        <f>IF(ISNUMBER('TPS Correction'!H31),'TPS Current'!H31*('TPS Correction'!H31+1),'TPS Current'!H31)</f>
        <v>32</v>
      </c>
      <c r="I31" s="27">
        <f>IF(ISNUMBER('TPS Correction'!I31),'TPS Current'!I31*('TPS Correction'!I31+1),'TPS Current'!I31)</f>
        <v>32</v>
      </c>
      <c r="J31" s="27">
        <f>IF(ISNUMBER('TPS Correction'!J31),'TPS Current'!J31*('TPS Correction'!J31+1),'TPS Current'!J31)</f>
        <v>34</v>
      </c>
      <c r="K31" s="27">
        <f>IF(ISNUMBER('TPS Correction'!K31),'TPS Current'!K31*('TPS Correction'!K31+1),'TPS Current'!K31)</f>
        <v>39</v>
      </c>
      <c r="L31" s="27">
        <f>IF(ISNUMBER('TPS Correction'!L31),'TPS Current'!L31*('TPS Correction'!L31+1),'TPS Current'!L31)</f>
        <v>46</v>
      </c>
      <c r="M31" s="27">
        <f>IF(ISNUMBER('TPS Correction'!M31),'TPS Current'!M31*('TPS Correction'!M31+1),'TPS Current'!M31)</f>
        <v>55</v>
      </c>
      <c r="N31" s="27">
        <f>IF(ISNUMBER('TPS Correction'!N31),'TPS Current'!N31*('TPS Correction'!N31+1),'TPS Current'!N31)</f>
        <v>66</v>
      </c>
      <c r="O31" s="27">
        <f>IF(ISNUMBER('TPS Correction'!O31),'TPS Current'!O31*('TPS Correction'!O31+1),'TPS Current'!O31)</f>
        <v>79</v>
      </c>
      <c r="P31" s="27">
        <f>IF(ISNUMBER('TPS Correction'!P31),'TPS Current'!P31*('TPS Correction'!P31+1),'TPS Current'!P31)</f>
        <v>92</v>
      </c>
      <c r="Q31" s="27">
        <f>IF(ISNUMBER('TPS Correction'!Q31),'TPS Current'!Q31*('TPS Correction'!Q31+1),'TPS Current'!Q31)</f>
        <v>107</v>
      </c>
      <c r="R31" s="27">
        <f>IF(ISNUMBER('TPS Correction'!R31),'TPS Current'!R31*('TPS Correction'!R31+1),'TPS Current'!R31)</f>
        <v>122</v>
      </c>
      <c r="S31" s="27">
        <f>IF(ISNUMBER('TPS Correction'!S31),'TPS Current'!S31*('TPS Correction'!S31+1),'TPS Current'!S31)</f>
        <v>149</v>
      </c>
      <c r="T31" s="27">
        <f>IF(ISNUMBER('TPS Correction'!T31),'TPS Current'!T31*('TPS Correction'!T31+1),'TPS Current'!T31)</f>
        <v>178</v>
      </c>
      <c r="U31" s="27">
        <f>IF(ISNUMBER('TPS Correction'!U31),'TPS Current'!U31*('TPS Correction'!U31+1),'TPS Current'!U31)</f>
        <v>204</v>
      </c>
      <c r="V31" s="27">
        <f>IF(ISNUMBER('TPS Correction'!V31),'TPS Current'!V31*('TPS Correction'!V31+1),'TPS Current'!V31)</f>
        <v>220</v>
      </c>
      <c r="W31" s="27">
        <f>IF(ISNUMBER('TPS Correction'!W31),'TPS Current'!W31*('TPS Correction'!W31+1),'TPS Current'!W31)</f>
        <v>268</v>
      </c>
      <c r="X31" s="27">
        <f>IF(ISNUMBER('TPS Correction'!X31),'TPS Current'!X31*('TPS Correction'!X31+1),'TPS Current'!X31)</f>
        <v>273</v>
      </c>
    </row>
    <row r="32" spans="1:24" x14ac:dyDescent="0.25">
      <c r="A32" s="15">
        <v>8400</v>
      </c>
      <c r="B32" s="27">
        <f>IF(ISNUMBER('TPS Correction'!B32),'TPS Current'!B32*('TPS Correction'!B32+1),'TPS Current'!B32)</f>
        <v>24</v>
      </c>
      <c r="C32" s="27">
        <f>IF(ISNUMBER('TPS Correction'!C32),'TPS Current'!C32*('TPS Correction'!C32+1),'TPS Current'!C32)</f>
        <v>24</v>
      </c>
      <c r="D32" s="27">
        <f>IF(ISNUMBER('TPS Correction'!D32),'TPS Current'!D32*('TPS Correction'!D32+1),'TPS Current'!D32)</f>
        <v>24</v>
      </c>
      <c r="E32" s="27">
        <f>IF(ISNUMBER('TPS Correction'!E32),'TPS Current'!E32*('TPS Correction'!E32+1),'TPS Current'!E32)</f>
        <v>25</v>
      </c>
      <c r="F32" s="27">
        <f>IF(ISNUMBER('TPS Correction'!F32),'TPS Current'!F32*('TPS Correction'!F32+1),'TPS Current'!F32)</f>
        <v>25</v>
      </c>
      <c r="G32" s="27">
        <f>IF(ISNUMBER('TPS Correction'!G32),'TPS Current'!G32*('TPS Correction'!G32+1),'TPS Current'!G32)</f>
        <v>29</v>
      </c>
      <c r="H32" s="27">
        <f>IF(ISNUMBER('TPS Correction'!H32),'TPS Current'!H32*('TPS Correction'!H32+1),'TPS Current'!H32)</f>
        <v>32</v>
      </c>
      <c r="I32" s="27">
        <f>IF(ISNUMBER('TPS Correction'!I32),'TPS Current'!I32*('TPS Correction'!I32+1),'TPS Current'!I32)</f>
        <v>32</v>
      </c>
      <c r="J32" s="27">
        <f>IF(ISNUMBER('TPS Correction'!J32),'TPS Current'!J32*('TPS Correction'!J32+1),'TPS Current'!J32)</f>
        <v>34</v>
      </c>
      <c r="K32" s="27">
        <f>IF(ISNUMBER('TPS Correction'!K32),'TPS Current'!K32*('TPS Correction'!K32+1),'TPS Current'!K32)</f>
        <v>39</v>
      </c>
      <c r="L32" s="27">
        <f>IF(ISNUMBER('TPS Correction'!L32),'TPS Current'!L32*('TPS Correction'!L32+1),'TPS Current'!L32)</f>
        <v>46</v>
      </c>
      <c r="M32" s="27">
        <f>IF(ISNUMBER('TPS Correction'!M32),'TPS Current'!M32*('TPS Correction'!M32+1),'TPS Current'!M32)</f>
        <v>55</v>
      </c>
      <c r="N32" s="27">
        <f>IF(ISNUMBER('TPS Correction'!N32),'TPS Current'!N32*('TPS Correction'!N32+1),'TPS Current'!N32)</f>
        <v>65</v>
      </c>
      <c r="O32" s="27">
        <f>IF(ISNUMBER('TPS Correction'!O32),'TPS Current'!O32*('TPS Correction'!O32+1),'TPS Current'!O32)</f>
        <v>79</v>
      </c>
      <c r="P32" s="27">
        <f>IF(ISNUMBER('TPS Correction'!P32),'TPS Current'!P32*('TPS Correction'!P32+1),'TPS Current'!P32)</f>
        <v>92</v>
      </c>
      <c r="Q32" s="27">
        <f>IF(ISNUMBER('TPS Correction'!Q32),'TPS Current'!Q32*('TPS Correction'!Q32+1),'TPS Current'!Q32)</f>
        <v>103</v>
      </c>
      <c r="R32" s="27">
        <f>IF(ISNUMBER('TPS Correction'!R32),'TPS Current'!R32*('TPS Correction'!R32+1),'TPS Current'!R32)</f>
        <v>118</v>
      </c>
      <c r="S32" s="27">
        <f>IF(ISNUMBER('TPS Correction'!S32),'TPS Current'!S32*('TPS Correction'!S32+1),'TPS Current'!S32)</f>
        <v>146</v>
      </c>
      <c r="T32" s="27">
        <f>IF(ISNUMBER('TPS Correction'!T32),'TPS Current'!T32*('TPS Correction'!T32+1),'TPS Current'!T32)</f>
        <v>177</v>
      </c>
      <c r="U32" s="27">
        <f>IF(ISNUMBER('TPS Correction'!U32),'TPS Current'!U32*('TPS Correction'!U32+1),'TPS Current'!U32)</f>
        <v>201</v>
      </c>
      <c r="V32" s="27">
        <f>IF(ISNUMBER('TPS Correction'!V32),'TPS Current'!V32*('TPS Correction'!V32+1),'TPS Current'!V32)</f>
        <v>217</v>
      </c>
      <c r="W32" s="27">
        <f>IF(ISNUMBER('TPS Correction'!W32),'TPS Current'!W32*('TPS Correction'!W32+1),'TPS Current'!W32)</f>
        <v>265</v>
      </c>
      <c r="X32" s="27">
        <f>IF(ISNUMBER('TPS Correction'!X32),'TPS Current'!X32*('TPS Correction'!X32+1),'TPS Current'!X32)</f>
        <v>271</v>
      </c>
    </row>
    <row r="33" spans="1:24" x14ac:dyDescent="0.25">
      <c r="A33" s="15">
        <v>8800</v>
      </c>
      <c r="B33" s="27">
        <f>IF(ISNUMBER('TPS Correction'!B33),'TPS Current'!B33*('TPS Correction'!B33+1),'TPS Current'!B33)</f>
        <v>24</v>
      </c>
      <c r="C33" s="27">
        <f>IF(ISNUMBER('TPS Correction'!C33),'TPS Current'!C33*('TPS Correction'!C33+1),'TPS Current'!C33)</f>
        <v>24</v>
      </c>
      <c r="D33" s="27">
        <f>IF(ISNUMBER('TPS Correction'!D33),'TPS Current'!D33*('TPS Correction'!D33+1),'TPS Current'!D33)</f>
        <v>24</v>
      </c>
      <c r="E33" s="27">
        <f>IF(ISNUMBER('TPS Correction'!E33),'TPS Current'!E33*('TPS Correction'!E33+1),'TPS Current'!E33)</f>
        <v>25</v>
      </c>
      <c r="F33" s="27">
        <f>IF(ISNUMBER('TPS Correction'!F33),'TPS Current'!F33*('TPS Correction'!F33+1),'TPS Current'!F33)</f>
        <v>25</v>
      </c>
      <c r="G33" s="27">
        <f>IF(ISNUMBER('TPS Correction'!G33),'TPS Current'!G33*('TPS Correction'!G33+1),'TPS Current'!G33)</f>
        <v>29</v>
      </c>
      <c r="H33" s="27">
        <f>IF(ISNUMBER('TPS Correction'!H33),'TPS Current'!H33*('TPS Correction'!H33+1),'TPS Current'!H33)</f>
        <v>32</v>
      </c>
      <c r="I33" s="27">
        <f>IF(ISNUMBER('TPS Correction'!I33),'TPS Current'!I33*('TPS Correction'!I33+1),'TPS Current'!I33)</f>
        <v>32</v>
      </c>
      <c r="J33" s="27">
        <f>IF(ISNUMBER('TPS Correction'!J33),'TPS Current'!J33*('TPS Correction'!J33+1),'TPS Current'!J33)</f>
        <v>34</v>
      </c>
      <c r="K33" s="27">
        <f>IF(ISNUMBER('TPS Correction'!K33),'TPS Current'!K33*('TPS Correction'!K33+1),'TPS Current'!K33)</f>
        <v>38</v>
      </c>
      <c r="L33" s="27">
        <f>IF(ISNUMBER('TPS Correction'!L33),'TPS Current'!L33*('TPS Correction'!L33+1),'TPS Current'!L33)</f>
        <v>44</v>
      </c>
      <c r="M33" s="27">
        <f>IF(ISNUMBER('TPS Correction'!M33),'TPS Current'!M33*('TPS Correction'!M33+1),'TPS Current'!M33)</f>
        <v>51</v>
      </c>
      <c r="N33" s="27">
        <f>IF(ISNUMBER('TPS Correction'!N33),'TPS Current'!N33*('TPS Correction'!N33+1),'TPS Current'!N33)</f>
        <v>63</v>
      </c>
      <c r="O33" s="27">
        <f>IF(ISNUMBER('TPS Correction'!O33),'TPS Current'!O33*('TPS Correction'!O33+1),'TPS Current'!O33)</f>
        <v>79</v>
      </c>
      <c r="P33" s="27">
        <f>IF(ISNUMBER('TPS Correction'!P33),'TPS Current'!P33*('TPS Correction'!P33+1),'TPS Current'!P33)</f>
        <v>89</v>
      </c>
      <c r="Q33" s="27">
        <f>IF(ISNUMBER('TPS Correction'!Q33),'TPS Current'!Q33*('TPS Correction'!Q33+1),'TPS Current'!Q33)</f>
        <v>98</v>
      </c>
      <c r="R33" s="27">
        <f>IF(ISNUMBER('TPS Correction'!R33),'TPS Current'!R33*('TPS Correction'!R33+1),'TPS Current'!R33)</f>
        <v>117</v>
      </c>
      <c r="S33" s="27">
        <f>IF(ISNUMBER('TPS Correction'!S33),'TPS Current'!S33*('TPS Correction'!S33+1),'TPS Current'!S33)</f>
        <v>143</v>
      </c>
      <c r="T33" s="27">
        <f>IF(ISNUMBER('TPS Correction'!T33),'TPS Current'!T33*('TPS Correction'!T33+1),'TPS Current'!T33)</f>
        <v>174</v>
      </c>
      <c r="U33" s="27">
        <f>IF(ISNUMBER('TPS Correction'!U33),'TPS Current'!U33*('TPS Correction'!U33+1),'TPS Current'!U33)</f>
        <v>200</v>
      </c>
      <c r="V33" s="27">
        <f>IF(ISNUMBER('TPS Correction'!V33),'TPS Current'!V33*('TPS Correction'!V33+1),'TPS Current'!V33)</f>
        <v>217</v>
      </c>
      <c r="W33" s="27">
        <f>IF(ISNUMBER('TPS Correction'!W33),'TPS Current'!W33*('TPS Correction'!W33+1),'TPS Current'!W33)</f>
        <v>255</v>
      </c>
      <c r="X33" s="27">
        <f>IF(ISNUMBER('TPS Correction'!X33),'TPS Current'!X33*('TPS Correction'!X33+1),'TPS Current'!X33)</f>
        <v>261</v>
      </c>
    </row>
    <row r="34" spans="1:24" x14ac:dyDescent="0.25">
      <c r="A34" s="15">
        <v>9200</v>
      </c>
      <c r="B34" s="27">
        <f>IF(ISNUMBER('TPS Correction'!B34),'TPS Current'!B34*('TPS Correction'!B34+1),'TPS Current'!B34)</f>
        <v>21</v>
      </c>
      <c r="C34" s="27">
        <f>IF(ISNUMBER('TPS Correction'!C34),'TPS Current'!C34*('TPS Correction'!C34+1),'TPS Current'!C34)</f>
        <v>21</v>
      </c>
      <c r="D34" s="27">
        <f>IF(ISNUMBER('TPS Correction'!D34),'TPS Current'!D34*('TPS Correction'!D34+1),'TPS Current'!D34)</f>
        <v>21</v>
      </c>
      <c r="E34" s="27">
        <f>IF(ISNUMBER('TPS Correction'!E34),'TPS Current'!E34*('TPS Correction'!E34+1),'TPS Current'!E34)</f>
        <v>24</v>
      </c>
      <c r="F34" s="27">
        <f>IF(ISNUMBER('TPS Correction'!F34),'TPS Current'!F34*('TPS Correction'!F34+1),'TPS Current'!F34)</f>
        <v>25</v>
      </c>
      <c r="G34" s="27">
        <f>IF(ISNUMBER('TPS Correction'!G34),'TPS Current'!G34*('TPS Correction'!G34+1),'TPS Current'!G34)</f>
        <v>29</v>
      </c>
      <c r="H34" s="27">
        <f>IF(ISNUMBER('TPS Correction'!H34),'TPS Current'!H34*('TPS Correction'!H34+1),'TPS Current'!H34)</f>
        <v>32</v>
      </c>
      <c r="I34" s="27">
        <f>IF(ISNUMBER('TPS Correction'!I34),'TPS Current'!I34*('TPS Correction'!I34+1),'TPS Current'!I34)</f>
        <v>32</v>
      </c>
      <c r="J34" s="27">
        <f>IF(ISNUMBER('TPS Correction'!J34),'TPS Current'!J34*('TPS Correction'!J34+1),'TPS Current'!J34)</f>
        <v>34</v>
      </c>
      <c r="K34" s="27">
        <f>IF(ISNUMBER('TPS Correction'!K34),'TPS Current'!K34*('TPS Correction'!K34+1),'TPS Current'!K34)</f>
        <v>38</v>
      </c>
      <c r="L34" s="27">
        <f>IF(ISNUMBER('TPS Correction'!L34),'TPS Current'!L34*('TPS Correction'!L34+1),'TPS Current'!L34)</f>
        <v>43</v>
      </c>
      <c r="M34" s="27">
        <f>IF(ISNUMBER('TPS Correction'!M34),'TPS Current'!M34*('TPS Correction'!M34+1),'TPS Current'!M34)</f>
        <v>51</v>
      </c>
      <c r="N34" s="27">
        <f>IF(ISNUMBER('TPS Correction'!N34),'TPS Current'!N34*('TPS Correction'!N34+1),'TPS Current'!N34)</f>
        <v>62</v>
      </c>
      <c r="O34" s="27">
        <f>IF(ISNUMBER('TPS Correction'!O34),'TPS Current'!O34*('TPS Correction'!O34+1),'TPS Current'!O34)</f>
        <v>76</v>
      </c>
      <c r="P34" s="27">
        <f>IF(ISNUMBER('TPS Correction'!P34),'TPS Current'!P34*('TPS Correction'!P34+1),'TPS Current'!P34)</f>
        <v>88</v>
      </c>
      <c r="Q34" s="27">
        <f>IF(ISNUMBER('TPS Correction'!Q34),'TPS Current'!Q34*('TPS Correction'!Q34+1),'TPS Current'!Q34)</f>
        <v>97</v>
      </c>
      <c r="R34" s="27">
        <f>IF(ISNUMBER('TPS Correction'!R34),'TPS Current'!R34*('TPS Correction'!R34+1),'TPS Current'!R34)</f>
        <v>113</v>
      </c>
      <c r="S34" s="27">
        <f>IF(ISNUMBER('TPS Correction'!S34),'TPS Current'!S34*('TPS Correction'!S34+1),'TPS Current'!S34)</f>
        <v>140</v>
      </c>
      <c r="T34" s="27">
        <f>IF(ISNUMBER('TPS Correction'!T34),'TPS Current'!T34*('TPS Correction'!T34+1),'TPS Current'!T34)</f>
        <v>171</v>
      </c>
      <c r="U34" s="27">
        <f>IF(ISNUMBER('TPS Correction'!U34),'TPS Current'!U34*('TPS Correction'!U34+1),'TPS Current'!U34)</f>
        <v>194</v>
      </c>
      <c r="V34" s="27">
        <f>IF(ISNUMBER('TPS Correction'!V34),'TPS Current'!V34*('TPS Correction'!V34+1),'TPS Current'!V34)</f>
        <v>214</v>
      </c>
      <c r="W34" s="27">
        <f>IF(ISNUMBER('TPS Correction'!W34),'TPS Current'!W34*('TPS Correction'!W34+1),'TPS Current'!W34)</f>
        <v>252</v>
      </c>
      <c r="X34" s="27">
        <f>IF(ISNUMBER('TPS Correction'!X34),'TPS Current'!X34*('TPS Correction'!X34+1),'TPS Current'!X34)</f>
        <v>260</v>
      </c>
    </row>
    <row r="35" spans="1:24" x14ac:dyDescent="0.25">
      <c r="A35" s="15">
        <v>9600</v>
      </c>
      <c r="B35" s="27">
        <f>IF(ISNUMBER('TPS Correction'!B35),'TPS Current'!B35*('TPS Correction'!B35+1),'TPS Current'!B35)</f>
        <v>21</v>
      </c>
      <c r="C35" s="27">
        <f>IF(ISNUMBER('TPS Correction'!C35),'TPS Current'!C35*('TPS Correction'!C35+1),'TPS Current'!C35)</f>
        <v>21</v>
      </c>
      <c r="D35" s="27">
        <f>IF(ISNUMBER('TPS Correction'!D35),'TPS Current'!D35*('TPS Correction'!D35+1),'TPS Current'!D35)</f>
        <v>21</v>
      </c>
      <c r="E35" s="27">
        <f>IF(ISNUMBER('TPS Correction'!E35),'TPS Current'!E35*('TPS Correction'!E35+1),'TPS Current'!E35)</f>
        <v>23</v>
      </c>
      <c r="F35" s="27">
        <f>IF(ISNUMBER('TPS Correction'!F35),'TPS Current'!F35*('TPS Correction'!F35+1),'TPS Current'!F35)</f>
        <v>25</v>
      </c>
      <c r="G35" s="27">
        <f>IF(ISNUMBER('TPS Correction'!G35),'TPS Current'!G35*('TPS Correction'!G35+1),'TPS Current'!G35)</f>
        <v>29</v>
      </c>
      <c r="H35" s="27">
        <f>IF(ISNUMBER('TPS Correction'!H35),'TPS Current'!H35*('TPS Correction'!H35+1),'TPS Current'!H35)</f>
        <v>32</v>
      </c>
      <c r="I35" s="27">
        <f>IF(ISNUMBER('TPS Correction'!I35),'TPS Current'!I35*('TPS Correction'!I35+1),'TPS Current'!I35)</f>
        <v>32</v>
      </c>
      <c r="J35" s="27">
        <f>IF(ISNUMBER('TPS Correction'!J35),'TPS Current'!J35*('TPS Correction'!J35+1),'TPS Current'!J35)</f>
        <v>32</v>
      </c>
      <c r="K35" s="27">
        <f>IF(ISNUMBER('TPS Correction'!K35),'TPS Current'!K35*('TPS Correction'!K35+1),'TPS Current'!K35)</f>
        <v>36</v>
      </c>
      <c r="L35" s="27">
        <f>IF(ISNUMBER('TPS Correction'!L35),'TPS Current'!L35*('TPS Correction'!L35+1),'TPS Current'!L35)</f>
        <v>42</v>
      </c>
      <c r="M35" s="27">
        <f>IF(ISNUMBER('TPS Correction'!M35),'TPS Current'!M35*('TPS Correction'!M35+1),'TPS Current'!M35)</f>
        <v>50</v>
      </c>
      <c r="N35" s="27">
        <f>IF(ISNUMBER('TPS Correction'!N35),'TPS Current'!N35*('TPS Correction'!N35+1),'TPS Current'!N35)</f>
        <v>62</v>
      </c>
      <c r="O35" s="27">
        <f>IF(ISNUMBER('TPS Correction'!O35),'TPS Current'!O35*('TPS Correction'!O35+1),'TPS Current'!O35)</f>
        <v>75</v>
      </c>
      <c r="P35" s="27">
        <f>IF(ISNUMBER('TPS Correction'!P35),'TPS Current'!P35*('TPS Correction'!P35+1),'TPS Current'!P35)</f>
        <v>86</v>
      </c>
      <c r="Q35" s="27">
        <f>IF(ISNUMBER('TPS Correction'!Q35),'TPS Current'!Q35*('TPS Correction'!Q35+1),'TPS Current'!Q35)</f>
        <v>94</v>
      </c>
      <c r="R35" s="27">
        <f>IF(ISNUMBER('TPS Correction'!R35),'TPS Current'!R35*('TPS Correction'!R35+1),'TPS Current'!R35)</f>
        <v>111</v>
      </c>
      <c r="S35" s="27">
        <f>IF(ISNUMBER('TPS Correction'!S35),'TPS Current'!S35*('TPS Correction'!S35+1),'TPS Current'!S35)</f>
        <v>136</v>
      </c>
      <c r="T35" s="27">
        <f>IF(ISNUMBER('TPS Correction'!T35),'TPS Current'!T35*('TPS Correction'!T35+1),'TPS Current'!T35)</f>
        <v>167</v>
      </c>
      <c r="U35" s="27">
        <f>IF(ISNUMBER('TPS Correction'!U35),'TPS Current'!U35*('TPS Correction'!U35+1),'TPS Current'!U35)</f>
        <v>191</v>
      </c>
      <c r="V35" s="27">
        <f>IF(ISNUMBER('TPS Correction'!V35),'TPS Current'!V35*('TPS Correction'!V35+1),'TPS Current'!V35)</f>
        <v>211</v>
      </c>
      <c r="W35" s="27">
        <f>IF(ISNUMBER('TPS Correction'!W35),'TPS Current'!W35*('TPS Correction'!W35+1),'TPS Current'!W35)</f>
        <v>250</v>
      </c>
      <c r="X35" s="27">
        <f>IF(ISNUMBER('TPS Correction'!X35),'TPS Current'!X35*('TPS Correction'!X35+1),'TPS Current'!X35)</f>
        <v>260</v>
      </c>
    </row>
    <row r="36" spans="1:24" x14ac:dyDescent="0.25">
      <c r="A36" s="15">
        <v>10000</v>
      </c>
      <c r="B36" s="27">
        <f>IF(ISNUMBER('TPS Correction'!B36),'TPS Current'!B36*('TPS Correction'!B36+1),'TPS Current'!B36)</f>
        <v>21</v>
      </c>
      <c r="C36" s="27">
        <f>IF(ISNUMBER('TPS Correction'!C36),'TPS Current'!C36*('TPS Correction'!C36+1),'TPS Current'!C36)</f>
        <v>21</v>
      </c>
      <c r="D36" s="27">
        <f>IF(ISNUMBER('TPS Correction'!D36),'TPS Current'!D36*('TPS Correction'!D36+1),'TPS Current'!D36)</f>
        <v>21</v>
      </c>
      <c r="E36" s="27">
        <f>IF(ISNUMBER('TPS Correction'!E36),'TPS Current'!E36*('TPS Correction'!E36+1),'TPS Current'!E36)</f>
        <v>23</v>
      </c>
      <c r="F36" s="27">
        <f>IF(ISNUMBER('TPS Correction'!F36),'TPS Current'!F36*('TPS Correction'!F36+1),'TPS Current'!F36)</f>
        <v>25</v>
      </c>
      <c r="G36" s="27">
        <f>IF(ISNUMBER('TPS Correction'!G36),'TPS Current'!G36*('TPS Correction'!G36+1),'TPS Current'!G36)</f>
        <v>28</v>
      </c>
      <c r="H36" s="27">
        <f>IF(ISNUMBER('TPS Correction'!H36),'TPS Current'!H36*('TPS Correction'!H36+1),'TPS Current'!H36)</f>
        <v>29</v>
      </c>
      <c r="I36" s="27">
        <f>IF(ISNUMBER('TPS Correction'!I36),'TPS Current'!I36*('TPS Correction'!I36+1),'TPS Current'!I36)</f>
        <v>29</v>
      </c>
      <c r="J36" s="27">
        <f>IF(ISNUMBER('TPS Correction'!J36),'TPS Current'!J36*('TPS Correction'!J36+1),'TPS Current'!J36)</f>
        <v>32</v>
      </c>
      <c r="K36" s="27">
        <f>IF(ISNUMBER('TPS Correction'!K36),'TPS Current'!K36*('TPS Correction'!K36+1),'TPS Current'!K36)</f>
        <v>36</v>
      </c>
      <c r="L36" s="27">
        <f>IF(ISNUMBER('TPS Correction'!L36),'TPS Current'!L36*('TPS Correction'!L36+1),'TPS Current'!L36)</f>
        <v>42</v>
      </c>
      <c r="M36" s="27">
        <f>IF(ISNUMBER('TPS Correction'!M36),'TPS Current'!M36*('TPS Correction'!M36+1),'TPS Current'!M36)</f>
        <v>48</v>
      </c>
      <c r="N36" s="27">
        <f>IF(ISNUMBER('TPS Correction'!N36),'TPS Current'!N36*('TPS Correction'!N36+1),'TPS Current'!N36)</f>
        <v>61</v>
      </c>
      <c r="O36" s="27">
        <f>IF(ISNUMBER('TPS Correction'!O36),'TPS Current'!O36*('TPS Correction'!O36+1),'TPS Current'!O36)</f>
        <v>75</v>
      </c>
      <c r="P36" s="27">
        <f>IF(ISNUMBER('TPS Correction'!P36),'TPS Current'!P36*('TPS Correction'!P36+1),'TPS Current'!P36)</f>
        <v>85</v>
      </c>
      <c r="Q36" s="27">
        <f>IF(ISNUMBER('TPS Correction'!Q36),'TPS Current'!Q36*('TPS Correction'!Q36+1),'TPS Current'!Q36)</f>
        <v>93</v>
      </c>
      <c r="R36" s="27">
        <f>IF(ISNUMBER('TPS Correction'!R36),'TPS Current'!R36*('TPS Correction'!R36+1),'TPS Current'!R36)</f>
        <v>109</v>
      </c>
      <c r="S36" s="27">
        <f>IF(ISNUMBER('TPS Correction'!S36),'TPS Current'!S36*('TPS Correction'!S36+1),'TPS Current'!S36)</f>
        <v>130</v>
      </c>
      <c r="T36" s="27">
        <f>IF(ISNUMBER('TPS Correction'!T36),'TPS Current'!T36*('TPS Correction'!T36+1),'TPS Current'!T36)</f>
        <v>160</v>
      </c>
      <c r="U36" s="27">
        <f>IF(ISNUMBER('TPS Correction'!U36),'TPS Current'!U36*('TPS Correction'!U36+1),'TPS Current'!U36)</f>
        <v>185</v>
      </c>
      <c r="V36" s="27">
        <f>IF(ISNUMBER('TPS Correction'!V36),'TPS Current'!V36*('TPS Correction'!V36+1),'TPS Current'!V36)</f>
        <v>204</v>
      </c>
      <c r="W36" s="27">
        <f>IF(ISNUMBER('TPS Correction'!W36),'TPS Current'!W36*('TPS Correction'!W36+1),'TPS Current'!W36)</f>
        <v>243</v>
      </c>
      <c r="X36" s="27">
        <f>IF(ISNUMBER('TPS Correction'!X36),'TPS Current'!X36*('TPS Correction'!X36+1),'TPS Current'!X36)</f>
        <v>248</v>
      </c>
    </row>
    <row r="37" spans="1:24" x14ac:dyDescent="0.25">
      <c r="A37" s="15">
        <v>10400</v>
      </c>
      <c r="B37" s="27">
        <f>IF(ISNUMBER('TPS Correction'!B37),'TPS Current'!B37*('TPS Correction'!B37+1),'TPS Current'!B37)</f>
        <v>20</v>
      </c>
      <c r="C37" s="27">
        <f>IF(ISNUMBER('TPS Correction'!C37),'TPS Current'!C37*('TPS Correction'!C37+1),'TPS Current'!C37)</f>
        <v>20</v>
      </c>
      <c r="D37" s="27">
        <f>IF(ISNUMBER('TPS Correction'!D37),'TPS Current'!D37*('TPS Correction'!D37+1),'TPS Current'!D37)</f>
        <v>20</v>
      </c>
      <c r="E37" s="27">
        <f>IF(ISNUMBER('TPS Correction'!E37),'TPS Current'!E37*('TPS Correction'!E37+1),'TPS Current'!E37)</f>
        <v>23</v>
      </c>
      <c r="F37" s="27">
        <f>IF(ISNUMBER('TPS Correction'!F37),'TPS Current'!F37*('TPS Correction'!F37+1),'TPS Current'!F37)</f>
        <v>25</v>
      </c>
      <c r="G37" s="27">
        <f>IF(ISNUMBER('TPS Correction'!G37),'TPS Current'!G37*('TPS Correction'!G37+1),'TPS Current'!G37)</f>
        <v>28</v>
      </c>
      <c r="H37" s="27">
        <f>IF(ISNUMBER('TPS Correction'!H37),'TPS Current'!H37*('TPS Correction'!H37+1),'TPS Current'!H37)</f>
        <v>29</v>
      </c>
      <c r="I37" s="27">
        <f>IF(ISNUMBER('TPS Correction'!I37),'TPS Current'!I37*('TPS Correction'!I37+1),'TPS Current'!I37)</f>
        <v>29</v>
      </c>
      <c r="J37" s="27">
        <f>IF(ISNUMBER('TPS Correction'!J37),'TPS Current'!J37*('TPS Correction'!J37+1),'TPS Current'!J37)</f>
        <v>32</v>
      </c>
      <c r="K37" s="27">
        <f>IF(ISNUMBER('TPS Correction'!K37),'TPS Current'!K37*('TPS Correction'!K37+1),'TPS Current'!K37)</f>
        <v>34</v>
      </c>
      <c r="L37" s="27">
        <f>IF(ISNUMBER('TPS Correction'!L37),'TPS Current'!L37*('TPS Correction'!L37+1),'TPS Current'!L37)</f>
        <v>40</v>
      </c>
      <c r="M37" s="27">
        <f>IF(ISNUMBER('TPS Correction'!M37),'TPS Current'!M37*('TPS Correction'!M37+1),'TPS Current'!M37)</f>
        <v>47</v>
      </c>
      <c r="N37" s="27">
        <f>IF(ISNUMBER('TPS Correction'!N37),'TPS Current'!N37*('TPS Correction'!N37+1),'TPS Current'!N37)</f>
        <v>61</v>
      </c>
      <c r="O37" s="27">
        <f>IF(ISNUMBER('TPS Correction'!O37),'TPS Current'!O37*('TPS Correction'!O37+1),'TPS Current'!O37)</f>
        <v>75</v>
      </c>
      <c r="P37" s="27">
        <f>IF(ISNUMBER('TPS Correction'!P37),'TPS Current'!P37*('TPS Correction'!P37+1),'TPS Current'!P37)</f>
        <v>85</v>
      </c>
      <c r="Q37" s="27">
        <f>IF(ISNUMBER('TPS Correction'!Q37),'TPS Current'!Q37*('TPS Correction'!Q37+1),'TPS Current'!Q37)</f>
        <v>92</v>
      </c>
      <c r="R37" s="27">
        <f>IF(ISNUMBER('TPS Correction'!R37),'TPS Current'!R37*('TPS Correction'!R37+1),'TPS Current'!R37)</f>
        <v>108</v>
      </c>
      <c r="S37" s="27">
        <f>IF(ISNUMBER('TPS Correction'!S37),'TPS Current'!S37*('TPS Correction'!S37+1),'TPS Current'!S37)</f>
        <v>126</v>
      </c>
      <c r="T37" s="27">
        <f>IF(ISNUMBER('TPS Correction'!T37),'TPS Current'!T37*('TPS Correction'!T37+1),'TPS Current'!T37)</f>
        <v>155</v>
      </c>
      <c r="U37" s="27">
        <f>IF(ISNUMBER('TPS Correction'!U37),'TPS Current'!U37*('TPS Correction'!U37+1),'TPS Current'!U37)</f>
        <v>181</v>
      </c>
      <c r="V37" s="27">
        <f>IF(ISNUMBER('TPS Correction'!V37),'TPS Current'!V37*('TPS Correction'!V37+1),'TPS Current'!V37)</f>
        <v>202</v>
      </c>
      <c r="W37" s="27">
        <f>IF(ISNUMBER('TPS Correction'!W37),'TPS Current'!W37*('TPS Correction'!W37+1),'TPS Current'!W37)</f>
        <v>236</v>
      </c>
      <c r="X37" s="27">
        <f>IF(ISNUMBER('TPS Correction'!X37),'TPS Current'!X37*('TPS Correction'!X37+1),'TPS Current'!X37)</f>
        <v>240</v>
      </c>
    </row>
    <row r="38" spans="1:24" x14ac:dyDescent="0.25">
      <c r="A38" s="15">
        <v>10800</v>
      </c>
      <c r="B38" s="27">
        <f>IF(ISNUMBER('TPS Correction'!B38),'TPS Current'!B38*('TPS Correction'!B38+1),'TPS Current'!B38)</f>
        <v>20</v>
      </c>
      <c r="C38" s="27">
        <f>IF(ISNUMBER('TPS Correction'!C38),'TPS Current'!C38*('TPS Correction'!C38+1),'TPS Current'!C38)</f>
        <v>20</v>
      </c>
      <c r="D38" s="27">
        <f>IF(ISNUMBER('TPS Correction'!D38),'TPS Current'!D38*('TPS Correction'!D38+1),'TPS Current'!D38)</f>
        <v>20</v>
      </c>
      <c r="E38" s="27">
        <f>IF(ISNUMBER('TPS Correction'!E38),'TPS Current'!E38*('TPS Correction'!E38+1),'TPS Current'!E38)</f>
        <v>23</v>
      </c>
      <c r="F38" s="27">
        <f>IF(ISNUMBER('TPS Correction'!F38),'TPS Current'!F38*('TPS Correction'!F38+1),'TPS Current'!F38)</f>
        <v>25</v>
      </c>
      <c r="G38" s="27">
        <f>IF(ISNUMBER('TPS Correction'!G38),'TPS Current'!G38*('TPS Correction'!G38+1),'TPS Current'!G38)</f>
        <v>28</v>
      </c>
      <c r="H38" s="27">
        <f>IF(ISNUMBER('TPS Correction'!H38),'TPS Current'!H38*('TPS Correction'!H38+1),'TPS Current'!H38)</f>
        <v>28</v>
      </c>
      <c r="I38" s="27">
        <f>IF(ISNUMBER('TPS Correction'!I38),'TPS Current'!I38*('TPS Correction'!I38+1),'TPS Current'!I38)</f>
        <v>29</v>
      </c>
      <c r="J38" s="27">
        <f>IF(ISNUMBER('TPS Correction'!J38),'TPS Current'!J38*('TPS Correction'!J38+1),'TPS Current'!J38)</f>
        <v>29</v>
      </c>
      <c r="K38" s="27">
        <f>IF(ISNUMBER('TPS Correction'!K38),'TPS Current'!K38*('TPS Correction'!K38+1),'TPS Current'!K38)</f>
        <v>32</v>
      </c>
      <c r="L38" s="27">
        <f>IF(ISNUMBER('TPS Correction'!L38),'TPS Current'!L38*('TPS Correction'!L38+1),'TPS Current'!L38)</f>
        <v>39</v>
      </c>
      <c r="M38" s="27">
        <f>IF(ISNUMBER('TPS Correction'!M38),'TPS Current'!M38*('TPS Correction'!M38+1),'TPS Current'!M38)</f>
        <v>46</v>
      </c>
      <c r="N38" s="27">
        <f>IF(ISNUMBER('TPS Correction'!N38),'TPS Current'!N38*('TPS Correction'!N38+1),'TPS Current'!N38)</f>
        <v>57</v>
      </c>
      <c r="O38" s="27">
        <f>IF(ISNUMBER('TPS Correction'!O38),'TPS Current'!O38*('TPS Correction'!O38+1),'TPS Current'!O38)</f>
        <v>71</v>
      </c>
      <c r="P38" s="27">
        <f>IF(ISNUMBER('TPS Correction'!P38),'TPS Current'!P38*('TPS Correction'!P38+1),'TPS Current'!P38)</f>
        <v>84</v>
      </c>
      <c r="Q38" s="27">
        <f>IF(ISNUMBER('TPS Correction'!Q38),'TPS Current'!Q38*('TPS Correction'!Q38+1),'TPS Current'!Q38)</f>
        <v>90</v>
      </c>
      <c r="R38" s="27">
        <f>IF(ISNUMBER('TPS Correction'!R38),'TPS Current'!R38*('TPS Correction'!R38+1),'TPS Current'!R38)</f>
        <v>103</v>
      </c>
      <c r="S38" s="27">
        <f>IF(ISNUMBER('TPS Correction'!S38),'TPS Current'!S38*('TPS Correction'!S38+1),'TPS Current'!S38)</f>
        <v>123</v>
      </c>
      <c r="T38" s="27">
        <f>IF(ISNUMBER('TPS Correction'!T38),'TPS Current'!T38*('TPS Correction'!T38+1),'TPS Current'!T38)</f>
        <v>154</v>
      </c>
      <c r="U38" s="27">
        <f>IF(ISNUMBER('TPS Correction'!U38),'TPS Current'!U38*('TPS Correction'!U38+1),'TPS Current'!U38)</f>
        <v>177</v>
      </c>
      <c r="V38" s="27">
        <f>IF(ISNUMBER('TPS Correction'!V38),'TPS Current'!V38*('TPS Correction'!V38+1),'TPS Current'!V38)</f>
        <v>196</v>
      </c>
      <c r="W38" s="27">
        <f>IF(ISNUMBER('TPS Correction'!W38),'TPS Current'!W38*('TPS Correction'!W38+1),'TPS Current'!W38)</f>
        <v>231</v>
      </c>
      <c r="X38" s="27">
        <f>IF(ISNUMBER('TPS Correction'!X38),'TPS Current'!X38*('TPS Correction'!X38+1),'TPS Current'!X38)</f>
        <v>235</v>
      </c>
    </row>
    <row r="39" spans="1:24" x14ac:dyDescent="0.25">
      <c r="A39" s="15">
        <v>11200</v>
      </c>
      <c r="B39" s="27">
        <f>IF(ISNUMBER('TPS Correction'!B39),'TPS Current'!B39*('TPS Correction'!B39+1),'TPS Current'!B39)</f>
        <v>20</v>
      </c>
      <c r="C39" s="27">
        <f>IF(ISNUMBER('TPS Correction'!C39),'TPS Current'!C39*('TPS Correction'!C39+1),'TPS Current'!C39)</f>
        <v>20</v>
      </c>
      <c r="D39" s="27">
        <f>IF(ISNUMBER('TPS Correction'!D39),'TPS Current'!D39*('TPS Correction'!D39+1),'TPS Current'!D39)</f>
        <v>20</v>
      </c>
      <c r="E39" s="27">
        <f>IF(ISNUMBER('TPS Correction'!E39),'TPS Current'!E39*('TPS Correction'!E39+1),'TPS Current'!E39)</f>
        <v>23</v>
      </c>
      <c r="F39" s="27">
        <f>IF(ISNUMBER('TPS Correction'!F39),'TPS Current'!F39*('TPS Correction'!F39+1),'TPS Current'!F39)</f>
        <v>25</v>
      </c>
      <c r="G39" s="27">
        <f>IF(ISNUMBER('TPS Correction'!G39),'TPS Current'!G39*('TPS Correction'!G39+1),'TPS Current'!G39)</f>
        <v>28</v>
      </c>
      <c r="H39" s="27">
        <f>IF(ISNUMBER('TPS Correction'!H39),'TPS Current'!H39*('TPS Correction'!H39+1),'TPS Current'!H39)</f>
        <v>28</v>
      </c>
      <c r="I39" s="27">
        <f>IF(ISNUMBER('TPS Correction'!I39),'TPS Current'!I39*('TPS Correction'!I39+1),'TPS Current'!I39)</f>
        <v>29</v>
      </c>
      <c r="J39" s="27">
        <f>IF(ISNUMBER('TPS Correction'!J39),'TPS Current'!J39*('TPS Correction'!J39+1),'TPS Current'!J39)</f>
        <v>29</v>
      </c>
      <c r="K39" s="27">
        <f>IF(ISNUMBER('TPS Correction'!K39),'TPS Current'!K39*('TPS Correction'!K39+1),'TPS Current'!K39)</f>
        <v>32</v>
      </c>
      <c r="L39" s="27">
        <f>IF(ISNUMBER('TPS Correction'!L39),'TPS Current'!L39*('TPS Correction'!L39+1),'TPS Current'!L39)</f>
        <v>38</v>
      </c>
      <c r="M39" s="27">
        <f>IF(ISNUMBER('TPS Correction'!M39),'TPS Current'!M39*('TPS Correction'!M39+1),'TPS Current'!M39)</f>
        <v>44</v>
      </c>
      <c r="N39" s="27">
        <f>IF(ISNUMBER('TPS Correction'!N39),'TPS Current'!N39*('TPS Correction'!N39+1),'TPS Current'!N39)</f>
        <v>52</v>
      </c>
      <c r="O39" s="27">
        <f>IF(ISNUMBER('TPS Correction'!O39),'TPS Current'!O39*('TPS Correction'!O39+1),'TPS Current'!O39)</f>
        <v>67</v>
      </c>
      <c r="P39" s="27">
        <f>IF(ISNUMBER('TPS Correction'!P39),'TPS Current'!P39*('TPS Correction'!P39+1),'TPS Current'!P39)</f>
        <v>79</v>
      </c>
      <c r="Q39" s="27">
        <f>IF(ISNUMBER('TPS Correction'!Q39),'TPS Current'!Q39*('TPS Correction'!Q39+1),'TPS Current'!Q39)</f>
        <v>89</v>
      </c>
      <c r="R39" s="27">
        <f>IF(ISNUMBER('TPS Correction'!R39),'TPS Current'!R39*('TPS Correction'!R39+1),'TPS Current'!R39)</f>
        <v>99</v>
      </c>
      <c r="S39" s="27">
        <f>IF(ISNUMBER('TPS Correction'!S39),'TPS Current'!S39*('TPS Correction'!S39+1),'TPS Current'!S39)</f>
        <v>120</v>
      </c>
      <c r="T39" s="27">
        <f>IF(ISNUMBER('TPS Correction'!T39),'TPS Current'!T39*('TPS Correction'!T39+1),'TPS Current'!T39)</f>
        <v>149</v>
      </c>
      <c r="U39" s="27">
        <f>IF(ISNUMBER('TPS Correction'!U39),'TPS Current'!U39*('TPS Correction'!U39+1),'TPS Current'!U39)</f>
        <v>171</v>
      </c>
      <c r="V39" s="27">
        <f>IF(ISNUMBER('TPS Correction'!V39),'TPS Current'!V39*('TPS Correction'!V39+1),'TPS Current'!V39)</f>
        <v>190</v>
      </c>
      <c r="W39" s="27">
        <f>IF(ISNUMBER('TPS Correction'!W39),'TPS Current'!W39*('TPS Correction'!W39+1),'TPS Current'!W39)</f>
        <v>225</v>
      </c>
      <c r="X39" s="27">
        <f>IF(ISNUMBER('TPS Correction'!X39),'TPS Current'!X39*('TPS Correction'!X39+1),'TPS Current'!X39)</f>
        <v>226</v>
      </c>
    </row>
    <row r="40" spans="1:24" x14ac:dyDescent="0.25">
      <c r="A40" s="15">
        <v>11600</v>
      </c>
      <c r="B40" s="27">
        <f>IF(ISNUMBER('TPS Correction'!B40),'TPS Current'!B40*('TPS Correction'!B40+1),'TPS Current'!B40)</f>
        <v>20</v>
      </c>
      <c r="C40" s="27">
        <f>IF(ISNUMBER('TPS Correction'!C40),'TPS Current'!C40*('TPS Correction'!C40+1),'TPS Current'!C40)</f>
        <v>20</v>
      </c>
      <c r="D40" s="27">
        <f>IF(ISNUMBER('TPS Correction'!D40),'TPS Current'!D40*('TPS Correction'!D40+1),'TPS Current'!D40)</f>
        <v>20</v>
      </c>
      <c r="E40" s="27">
        <f>IF(ISNUMBER('TPS Correction'!E40),'TPS Current'!E40*('TPS Correction'!E40+1),'TPS Current'!E40)</f>
        <v>23</v>
      </c>
      <c r="F40" s="27">
        <f>IF(ISNUMBER('TPS Correction'!F40),'TPS Current'!F40*('TPS Correction'!F40+1),'TPS Current'!F40)</f>
        <v>25</v>
      </c>
      <c r="G40" s="27">
        <f>IF(ISNUMBER('TPS Correction'!G40),'TPS Current'!G40*('TPS Correction'!G40+1),'TPS Current'!G40)</f>
        <v>28</v>
      </c>
      <c r="H40" s="27">
        <f>IF(ISNUMBER('TPS Correction'!H40),'TPS Current'!H40*('TPS Correction'!H40+1),'TPS Current'!H40)</f>
        <v>28</v>
      </c>
      <c r="I40" s="27">
        <f>IF(ISNUMBER('TPS Correction'!I40),'TPS Current'!I40*('TPS Correction'!I40+1),'TPS Current'!I40)</f>
        <v>29</v>
      </c>
      <c r="J40" s="27">
        <f>IF(ISNUMBER('TPS Correction'!J40),'TPS Current'!J40*('TPS Correction'!J40+1),'TPS Current'!J40)</f>
        <v>29</v>
      </c>
      <c r="K40" s="27">
        <f>IF(ISNUMBER('TPS Correction'!K40),'TPS Current'!K40*('TPS Correction'!K40+1),'TPS Current'!K40)</f>
        <v>29</v>
      </c>
      <c r="L40" s="27">
        <f>IF(ISNUMBER('TPS Correction'!L40),'TPS Current'!L40*('TPS Correction'!L40+1),'TPS Current'!L40)</f>
        <v>36</v>
      </c>
      <c r="M40" s="27">
        <f>IF(ISNUMBER('TPS Correction'!M40),'TPS Current'!M40*('TPS Correction'!M40+1),'TPS Current'!M40)</f>
        <v>43</v>
      </c>
      <c r="N40" s="27">
        <f>IF(ISNUMBER('TPS Correction'!N40),'TPS Current'!N40*('TPS Correction'!N40+1),'TPS Current'!N40)</f>
        <v>50</v>
      </c>
      <c r="O40" s="27">
        <f>IF(ISNUMBER('TPS Correction'!O40),'TPS Current'!O40*('TPS Correction'!O40+1),'TPS Current'!O40)</f>
        <v>65</v>
      </c>
      <c r="P40" s="27">
        <f>IF(ISNUMBER('TPS Correction'!P40),'TPS Current'!P40*('TPS Correction'!P40+1),'TPS Current'!P40)</f>
        <v>76</v>
      </c>
      <c r="Q40" s="27">
        <f>IF(ISNUMBER('TPS Correction'!Q40),'TPS Current'!Q40*('TPS Correction'!Q40+1),'TPS Current'!Q40)</f>
        <v>86</v>
      </c>
      <c r="R40" s="27">
        <f>IF(ISNUMBER('TPS Correction'!R40),'TPS Current'!R40*('TPS Correction'!R40+1),'TPS Current'!R40)</f>
        <v>97</v>
      </c>
      <c r="S40" s="27">
        <f>IF(ISNUMBER('TPS Correction'!S40),'TPS Current'!S40*('TPS Correction'!S40+1),'TPS Current'!S40)</f>
        <v>117</v>
      </c>
      <c r="T40" s="27">
        <f>IF(ISNUMBER('TPS Correction'!T40),'TPS Current'!T40*('TPS Correction'!T40+1),'TPS Current'!T40)</f>
        <v>143</v>
      </c>
      <c r="U40" s="27">
        <f>IF(ISNUMBER('TPS Correction'!U40),'TPS Current'!U40*('TPS Correction'!U40+1),'TPS Current'!U40)</f>
        <v>163</v>
      </c>
      <c r="V40" s="27">
        <f>IF(ISNUMBER('TPS Correction'!V40),'TPS Current'!V40*('TPS Correction'!V40+1),'TPS Current'!V40)</f>
        <v>182</v>
      </c>
      <c r="W40" s="27">
        <f>IF(ISNUMBER('TPS Correction'!W40),'TPS Current'!W40*('TPS Correction'!W40+1),'TPS Current'!W40)</f>
        <v>214</v>
      </c>
      <c r="X40" s="27">
        <f>IF(ISNUMBER('TPS Correction'!X40),'TPS Current'!X40*('TPS Correction'!X40+1),'TPS Current'!X40)</f>
        <v>216</v>
      </c>
    </row>
    <row r="41" spans="1:24" x14ac:dyDescent="0.25">
      <c r="A41" s="15">
        <v>12000</v>
      </c>
      <c r="B41" s="27">
        <f>IF(ISNUMBER('TPS Correction'!B41),'TPS Current'!B41*('TPS Correction'!B41+1),'TPS Current'!B41)</f>
        <v>20</v>
      </c>
      <c r="C41" s="27">
        <f>IF(ISNUMBER('TPS Correction'!C41),'TPS Current'!C41*('TPS Correction'!C41+1),'TPS Current'!C41)</f>
        <v>20</v>
      </c>
      <c r="D41" s="27">
        <f>IF(ISNUMBER('TPS Correction'!D41),'TPS Current'!D41*('TPS Correction'!D41+1),'TPS Current'!D41)</f>
        <v>20</v>
      </c>
      <c r="E41" s="27">
        <f>IF(ISNUMBER('TPS Correction'!E41),'TPS Current'!E41*('TPS Correction'!E41+1),'TPS Current'!E41)</f>
        <v>23</v>
      </c>
      <c r="F41" s="27">
        <f>IF(ISNUMBER('TPS Correction'!F41),'TPS Current'!F41*('TPS Correction'!F41+1),'TPS Current'!F41)</f>
        <v>25</v>
      </c>
      <c r="G41" s="27">
        <f>IF(ISNUMBER('TPS Correction'!G41),'TPS Current'!G41*('TPS Correction'!G41+1),'TPS Current'!G41)</f>
        <v>28</v>
      </c>
      <c r="H41" s="27">
        <f>IF(ISNUMBER('TPS Correction'!H41),'TPS Current'!H41*('TPS Correction'!H41+1),'TPS Current'!H41)</f>
        <v>28</v>
      </c>
      <c r="I41" s="27">
        <f>IF(ISNUMBER('TPS Correction'!I41),'TPS Current'!I41*('TPS Correction'!I41+1),'TPS Current'!I41)</f>
        <v>29</v>
      </c>
      <c r="J41" s="27">
        <f>IF(ISNUMBER('TPS Correction'!J41),'TPS Current'!J41*('TPS Correction'!J41+1),'TPS Current'!J41)</f>
        <v>29</v>
      </c>
      <c r="K41" s="27">
        <f>IF(ISNUMBER('TPS Correction'!K41),'TPS Current'!K41*('TPS Correction'!K41+1),'TPS Current'!K41)</f>
        <v>29</v>
      </c>
      <c r="L41" s="27">
        <f>IF(ISNUMBER('TPS Correction'!L41),'TPS Current'!L41*('TPS Correction'!L41+1),'TPS Current'!L41)</f>
        <v>36</v>
      </c>
      <c r="M41" s="27">
        <f>IF(ISNUMBER('TPS Correction'!M41),'TPS Current'!M41*('TPS Correction'!M41+1),'TPS Current'!M41)</f>
        <v>42</v>
      </c>
      <c r="N41" s="27">
        <f>IF(ISNUMBER('TPS Correction'!N41),'TPS Current'!N41*('TPS Correction'!N41+1),'TPS Current'!N41)</f>
        <v>48</v>
      </c>
      <c r="O41" s="27">
        <f>IF(ISNUMBER('TPS Correction'!O41),'TPS Current'!O41*('TPS Correction'!O41+1),'TPS Current'!O41)</f>
        <v>63</v>
      </c>
      <c r="P41" s="27">
        <f>IF(ISNUMBER('TPS Correction'!P41),'TPS Current'!P41*('TPS Correction'!P41+1),'TPS Current'!P41)</f>
        <v>74</v>
      </c>
      <c r="Q41" s="27">
        <f>IF(ISNUMBER('TPS Correction'!Q41),'TPS Current'!Q41*('TPS Correction'!Q41+1),'TPS Current'!Q41)</f>
        <v>84</v>
      </c>
      <c r="R41" s="27">
        <f>IF(ISNUMBER('TPS Correction'!R41),'TPS Current'!R41*('TPS Correction'!R41+1),'TPS Current'!R41)</f>
        <v>94</v>
      </c>
      <c r="S41" s="27">
        <f>IF(ISNUMBER('TPS Correction'!S41),'TPS Current'!S41*('TPS Correction'!S41+1),'TPS Current'!S41)</f>
        <v>112</v>
      </c>
      <c r="T41" s="27">
        <f>IF(ISNUMBER('TPS Correction'!T41),'TPS Current'!T41*('TPS Correction'!T41+1),'TPS Current'!T41)</f>
        <v>136</v>
      </c>
      <c r="U41" s="27">
        <f>IF(ISNUMBER('TPS Correction'!U41),'TPS Current'!U41*('TPS Correction'!U41+1),'TPS Current'!U41)</f>
        <v>154</v>
      </c>
      <c r="V41" s="27">
        <f>IF(ISNUMBER('TPS Correction'!V41),'TPS Current'!V41*('TPS Correction'!V41+1),'TPS Current'!V41)</f>
        <v>174</v>
      </c>
      <c r="W41" s="27">
        <f>IF(ISNUMBER('TPS Correction'!W41),'TPS Current'!W41*('TPS Correction'!W41+1),'TPS Current'!W41)</f>
        <v>205</v>
      </c>
      <c r="X41" s="27">
        <f>IF(ISNUMBER('TPS Correction'!X41),'TPS Current'!X41*('TPS Correction'!X41+1),'TPS Current'!X41)</f>
        <v>210</v>
      </c>
    </row>
    <row r="42" spans="1:24" x14ac:dyDescent="0.25">
      <c r="A42" s="15">
        <v>12400</v>
      </c>
      <c r="B42" s="27">
        <f>IF(ISNUMBER('TPS Correction'!B42),'TPS Current'!B42*('TPS Correction'!B42+1),'TPS Current'!B42)</f>
        <v>20</v>
      </c>
      <c r="C42" s="27">
        <f>IF(ISNUMBER('TPS Correction'!C42),'TPS Current'!C42*('TPS Correction'!C42+1),'TPS Current'!C42)</f>
        <v>20</v>
      </c>
      <c r="D42" s="27">
        <f>IF(ISNUMBER('TPS Correction'!D42),'TPS Current'!D42*('TPS Correction'!D42+1),'TPS Current'!D42)</f>
        <v>20</v>
      </c>
      <c r="E42" s="27">
        <f>IF(ISNUMBER('TPS Correction'!E42),'TPS Current'!E42*('TPS Correction'!E42+1),'TPS Current'!E42)</f>
        <v>23</v>
      </c>
      <c r="F42" s="27">
        <f>IF(ISNUMBER('TPS Correction'!F42),'TPS Current'!F42*('TPS Correction'!F42+1),'TPS Current'!F42)</f>
        <v>25</v>
      </c>
      <c r="G42" s="27">
        <f>IF(ISNUMBER('TPS Correction'!G42),'TPS Current'!G42*('TPS Correction'!G42+1),'TPS Current'!G42)</f>
        <v>28</v>
      </c>
      <c r="H42" s="27">
        <f>IF(ISNUMBER('TPS Correction'!H42),'TPS Current'!H42*('TPS Correction'!H42+1),'TPS Current'!H42)</f>
        <v>28</v>
      </c>
      <c r="I42" s="27">
        <f>IF(ISNUMBER('TPS Correction'!I42),'TPS Current'!I42*('TPS Correction'!I42+1),'TPS Current'!I42)</f>
        <v>29</v>
      </c>
      <c r="J42" s="27">
        <f>IF(ISNUMBER('TPS Correction'!J42),'TPS Current'!J42*('TPS Correction'!J42+1),'TPS Current'!J42)</f>
        <v>29</v>
      </c>
      <c r="K42" s="27">
        <f>IF(ISNUMBER('TPS Correction'!K42),'TPS Current'!K42*('TPS Correction'!K42+1),'TPS Current'!K42)</f>
        <v>29</v>
      </c>
      <c r="L42" s="27">
        <f>IF(ISNUMBER('TPS Correction'!L42),'TPS Current'!L42*('TPS Correction'!L42+1),'TPS Current'!L42)</f>
        <v>36</v>
      </c>
      <c r="M42" s="27">
        <f>IF(ISNUMBER('TPS Correction'!M42),'TPS Current'!M42*('TPS Correction'!M42+1),'TPS Current'!M42)</f>
        <v>42</v>
      </c>
      <c r="N42" s="27">
        <f>IF(ISNUMBER('TPS Correction'!N42),'TPS Current'!N42*('TPS Correction'!N42+1),'TPS Current'!N42)</f>
        <v>48</v>
      </c>
      <c r="O42" s="27">
        <f>IF(ISNUMBER('TPS Correction'!O42),'TPS Current'!O42*('TPS Correction'!O42+1),'TPS Current'!O42)</f>
        <v>63</v>
      </c>
      <c r="P42" s="27">
        <f>IF(ISNUMBER('TPS Correction'!P42),'TPS Current'!P42*('TPS Correction'!P42+1),'TPS Current'!P42)</f>
        <v>74</v>
      </c>
      <c r="Q42" s="27">
        <f>IF(ISNUMBER('TPS Correction'!Q42),'TPS Current'!Q42*('TPS Correction'!Q42+1),'TPS Current'!Q42)</f>
        <v>84</v>
      </c>
      <c r="R42" s="27">
        <f>IF(ISNUMBER('TPS Correction'!R42),'TPS Current'!R42*('TPS Correction'!R42+1),'TPS Current'!R42)</f>
        <v>94</v>
      </c>
      <c r="S42" s="27">
        <f>IF(ISNUMBER('TPS Correction'!S42),'TPS Current'!S42*('TPS Correction'!S42+1),'TPS Current'!S42)</f>
        <v>112</v>
      </c>
      <c r="T42" s="27">
        <f>IF(ISNUMBER('TPS Correction'!T42),'TPS Current'!T42*('TPS Correction'!T42+1),'TPS Current'!T42)</f>
        <v>136</v>
      </c>
      <c r="U42" s="27">
        <f>IF(ISNUMBER('TPS Correction'!U42),'TPS Current'!U42*('TPS Correction'!U42+1),'TPS Current'!U42)</f>
        <v>154</v>
      </c>
      <c r="V42" s="27">
        <f>IF(ISNUMBER('TPS Correction'!V42),'TPS Current'!V42*('TPS Correction'!V42+1),'TPS Current'!V42)</f>
        <v>174</v>
      </c>
      <c r="W42" s="27">
        <f>IF(ISNUMBER('TPS Correction'!W42),'TPS Current'!W42*('TPS Correction'!W42+1),'TPS Current'!W42)</f>
        <v>205</v>
      </c>
      <c r="X42" s="27">
        <f>IF(ISNUMBER('TPS Correction'!X42),'TPS Current'!X42*('TPS Correction'!X42+1),'TPS Current'!X42)</f>
        <v>210</v>
      </c>
    </row>
    <row r="43" spans="1:24" ht="13.8" thickBot="1" x14ac:dyDescent="0.3">
      <c r="A43" s="16">
        <v>12800</v>
      </c>
      <c r="B43" s="27">
        <f>IF(ISNUMBER('TPS Correction'!B43),'TPS Current'!B43*('TPS Correction'!B43+1),'TPS Current'!B43)</f>
        <v>20</v>
      </c>
      <c r="C43" s="27">
        <f>IF(ISNUMBER('TPS Correction'!C43),'TPS Current'!C43*('TPS Correction'!C43+1),'TPS Current'!C43)</f>
        <v>20</v>
      </c>
      <c r="D43" s="27">
        <f>IF(ISNUMBER('TPS Correction'!D43),'TPS Current'!D43*('TPS Correction'!D43+1),'TPS Current'!D43)</f>
        <v>20</v>
      </c>
      <c r="E43" s="27">
        <f>IF(ISNUMBER('TPS Correction'!E43),'TPS Current'!E43*('TPS Correction'!E43+1),'TPS Current'!E43)</f>
        <v>23</v>
      </c>
      <c r="F43" s="27">
        <f>IF(ISNUMBER('TPS Correction'!F43),'TPS Current'!F43*('TPS Correction'!F43+1),'TPS Current'!F43)</f>
        <v>25</v>
      </c>
      <c r="G43" s="27">
        <f>IF(ISNUMBER('TPS Correction'!G43),'TPS Current'!G43*('TPS Correction'!G43+1),'TPS Current'!G43)</f>
        <v>28</v>
      </c>
      <c r="H43" s="27">
        <f>IF(ISNUMBER('TPS Correction'!H43),'TPS Current'!H43*('TPS Correction'!H43+1),'TPS Current'!H43)</f>
        <v>28</v>
      </c>
      <c r="I43" s="27">
        <f>IF(ISNUMBER('TPS Correction'!I43),'TPS Current'!I43*('TPS Correction'!I43+1),'TPS Current'!I43)</f>
        <v>29</v>
      </c>
      <c r="J43" s="27">
        <f>IF(ISNUMBER('TPS Correction'!J43),'TPS Current'!J43*('TPS Correction'!J43+1),'TPS Current'!J43)</f>
        <v>29</v>
      </c>
      <c r="K43" s="27">
        <f>IF(ISNUMBER('TPS Correction'!K43),'TPS Current'!K43*('TPS Correction'!K43+1),'TPS Current'!K43)</f>
        <v>29</v>
      </c>
      <c r="L43" s="27">
        <f>IF(ISNUMBER('TPS Correction'!L43),'TPS Current'!L43*('TPS Correction'!L43+1),'TPS Current'!L43)</f>
        <v>36</v>
      </c>
      <c r="M43" s="27">
        <f>IF(ISNUMBER('TPS Correction'!M43),'TPS Current'!M43*('TPS Correction'!M43+1),'TPS Current'!M43)</f>
        <v>42</v>
      </c>
      <c r="N43" s="27">
        <f>IF(ISNUMBER('TPS Correction'!N43),'TPS Current'!N43*('TPS Correction'!N43+1),'TPS Current'!N43)</f>
        <v>48</v>
      </c>
      <c r="O43" s="27">
        <f>IF(ISNUMBER('TPS Correction'!O43),'TPS Current'!O43*('TPS Correction'!O43+1),'TPS Current'!O43)</f>
        <v>63</v>
      </c>
      <c r="P43" s="27">
        <f>IF(ISNUMBER('TPS Correction'!P43),'TPS Current'!P43*('TPS Correction'!P43+1),'TPS Current'!P43)</f>
        <v>74</v>
      </c>
      <c r="Q43" s="27">
        <f>IF(ISNUMBER('TPS Correction'!Q43),'TPS Current'!Q43*('TPS Correction'!Q43+1),'TPS Current'!Q43)</f>
        <v>84</v>
      </c>
      <c r="R43" s="27">
        <f>IF(ISNUMBER('TPS Correction'!R43),'TPS Current'!R43*('TPS Correction'!R43+1),'TPS Current'!R43)</f>
        <v>131.74242424242425</v>
      </c>
      <c r="S43" s="27">
        <f>IF(ISNUMBER('TPS Correction'!S43),'TPS Current'!S43*('TPS Correction'!S43+1),'TPS Current'!S43)</f>
        <v>139.38292011019283</v>
      </c>
      <c r="T43" s="27">
        <f>IF(ISNUMBER('TPS Correction'!T43),'TPS Current'!T43*('TPS Correction'!T43+1),'TPS Current'!T43)</f>
        <v>136</v>
      </c>
      <c r="U43" s="27">
        <f>IF(ISNUMBER('TPS Correction'!U43),'TPS Current'!U43*('TPS Correction'!U43+1),'TPS Current'!U43)</f>
        <v>154</v>
      </c>
      <c r="V43" s="27">
        <f>IF(ISNUMBER('TPS Correction'!V43),'TPS Current'!V43*('TPS Correction'!V43+1),'TPS Current'!V43)</f>
        <v>174</v>
      </c>
      <c r="W43" s="27">
        <f>IF(ISNUMBER('TPS Correction'!W43),'TPS Current'!W43*('TPS Correction'!W43+1),'TPS Current'!W43)</f>
        <v>205</v>
      </c>
      <c r="X43" s="27">
        <f>IF(ISNUMBER('TPS Correction'!X43),'TPS Current'!X43*('TPS Correction'!X43+1),'TPS Current'!X43)</f>
        <v>210</v>
      </c>
    </row>
  </sheetData>
  <sheetProtection algorithmName="SHA-512" hashValue="mlGFN3MsTGcvNTh9f7jJKUxv0aWW97zhoyN83UH5slGE5yB8SJRldIa8nKfB56mcVLOxJrOD+qUOP4a00l/O1w==" saltValue="Ps5qY8az7gd1SUpGQ7MamQ==" spinCount="100000" sheet="1" objects="1" scenarios="1"/>
  <conditionalFormatting sqref="B2:X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V43"/>
  <sheetViews>
    <sheetView zoomScale="70" zoomScaleNormal="70" workbookViewId="0">
      <selection activeCell="O8" sqref="O8"/>
    </sheetView>
  </sheetViews>
  <sheetFormatPr defaultRowHeight="13.2" x14ac:dyDescent="0.25"/>
  <cols>
    <col min="1" max="1" width="6.6640625" bestFit="1" customWidth="1"/>
    <col min="2" max="14" width="4.88671875" bestFit="1" customWidth="1"/>
    <col min="15" max="22" width="6" bestFit="1" customWidth="1"/>
  </cols>
  <sheetData>
    <row r="1" spans="1:22" x14ac:dyDescent="0.25">
      <c r="A1" s="12" t="s">
        <v>1</v>
      </c>
      <c r="B1" s="13">
        <v>120</v>
      </c>
      <c r="C1" s="13">
        <v>104</v>
      </c>
      <c r="D1" s="13">
        <v>88</v>
      </c>
      <c r="E1" s="13">
        <v>72</v>
      </c>
      <c r="F1" s="13">
        <v>68</v>
      </c>
      <c r="G1" s="13">
        <v>64</v>
      </c>
      <c r="H1" s="13">
        <v>60</v>
      </c>
      <c r="I1" s="13">
        <v>56</v>
      </c>
      <c r="J1" s="13">
        <v>52</v>
      </c>
      <c r="K1" s="13">
        <v>48</v>
      </c>
      <c r="L1" s="13">
        <v>44</v>
      </c>
      <c r="M1" s="13">
        <v>40</v>
      </c>
      <c r="N1" s="13">
        <v>36</v>
      </c>
      <c r="O1" s="13">
        <v>32</v>
      </c>
      <c r="P1" s="13">
        <v>24</v>
      </c>
      <c r="Q1" s="13">
        <v>20</v>
      </c>
      <c r="R1" s="13">
        <v>16</v>
      </c>
      <c r="S1" s="13">
        <v>12</v>
      </c>
      <c r="T1" s="13">
        <v>8</v>
      </c>
      <c r="U1" s="13">
        <v>4</v>
      </c>
      <c r="V1" s="14">
        <v>0</v>
      </c>
    </row>
    <row r="2" spans="1:22" x14ac:dyDescent="0.25">
      <c r="A2" s="15">
        <v>800</v>
      </c>
      <c r="B2" s="27">
        <f>IF(ISNUMBER('IAP Correction'!B2),'IAP Current'!B2*('IAP Correction'!B2+1),'IAP Current'!B2)</f>
        <v>29</v>
      </c>
      <c r="C2" s="27">
        <f>IF(ISNUMBER('IAP Correction'!C2),'IAP Current'!C2*('IAP Correction'!C2+1),'IAP Current'!C2)</f>
        <v>32</v>
      </c>
      <c r="D2" s="27">
        <f>IF(ISNUMBER('IAP Correction'!D2),'IAP Current'!D2*('IAP Correction'!D2+1),'IAP Current'!D2)</f>
        <v>33</v>
      </c>
      <c r="E2" s="27">
        <f>IF(ISNUMBER('IAP Correction'!E2),'IAP Current'!E2*('IAP Correction'!E2+1),'IAP Current'!E2)</f>
        <v>36</v>
      </c>
      <c r="F2" s="27">
        <f>IF(ISNUMBER('IAP Correction'!F2),'IAP Current'!F2*('IAP Correction'!F2+1),'IAP Current'!F2)</f>
        <v>41</v>
      </c>
      <c r="G2" s="27">
        <f>IF(ISNUMBER('IAP Correction'!G2),'IAP Current'!G2*('IAP Correction'!G2+1),'IAP Current'!G2)</f>
        <v>46</v>
      </c>
      <c r="H2" s="27">
        <f>IF(ISNUMBER('IAP Correction'!H2),'IAP Current'!H2*('IAP Correction'!H2+1),'IAP Current'!H2)</f>
        <v>52</v>
      </c>
      <c r="I2" s="27">
        <f>IF(ISNUMBER('IAP Correction'!I2),'IAP Current'!I2*('IAP Correction'!I2+1),'IAP Current'!I2)</f>
        <v>58</v>
      </c>
      <c r="J2" s="27">
        <f>IF(ISNUMBER('IAP Correction'!J2),'IAP Current'!J2*('IAP Correction'!J2+1),'IAP Current'!J2)</f>
        <v>70</v>
      </c>
      <c r="K2" s="27">
        <f>IF(ISNUMBER('IAP Correction'!K2),'IAP Current'!K2*('IAP Correction'!K2+1),'IAP Current'!K2)</f>
        <v>72</v>
      </c>
      <c r="L2" s="27">
        <f>IF(ISNUMBER('IAP Correction'!L2),'IAP Current'!L2*('IAP Correction'!L2+1),'IAP Current'!L2)</f>
        <v>78</v>
      </c>
      <c r="M2" s="27">
        <f>IF(ISNUMBER('IAP Correction'!M2),'IAP Current'!M2*('IAP Correction'!M2+1),'IAP Current'!M2)</f>
        <v>78</v>
      </c>
      <c r="N2" s="27">
        <f>IF(ISNUMBER('IAP Correction'!N2),'IAP Current'!N2*('IAP Correction'!N2+1),'IAP Current'!N2)</f>
        <v>80</v>
      </c>
      <c r="O2" s="27">
        <f>IF(ISNUMBER('IAP Correction'!O2),'IAP Current'!O2*('IAP Correction'!O2+1),'IAP Current'!O2)</f>
        <v>86</v>
      </c>
      <c r="P2" s="27">
        <f>IF(ISNUMBER('IAP Correction'!P2),'IAP Current'!P2*('IAP Correction'!P2+1),'IAP Current'!P2)</f>
        <v>93</v>
      </c>
      <c r="Q2" s="27">
        <f>IF(ISNUMBER('IAP Correction'!Q2),'IAP Current'!Q2*('IAP Correction'!Q2+1),'IAP Current'!Q2)</f>
        <v>102</v>
      </c>
      <c r="R2" s="27">
        <f>IF(ISNUMBER('IAP Correction'!R2),'IAP Current'!R2*('IAP Correction'!R2+1),'IAP Current'!R2)</f>
        <v>108</v>
      </c>
      <c r="S2" s="27">
        <f>IF(ISNUMBER('IAP Correction'!S2),'IAP Current'!S2*('IAP Correction'!S2+1),'IAP Current'!S2)</f>
        <v>117</v>
      </c>
      <c r="T2" s="27">
        <f>IF(ISNUMBER('IAP Correction'!T2),'IAP Current'!T2*('IAP Correction'!T2+1),'IAP Current'!T2)</f>
        <v>128</v>
      </c>
      <c r="U2" s="27">
        <f>IF(ISNUMBER('IAP Correction'!U2),'IAP Current'!U2*('IAP Correction'!U2+1),'IAP Current'!U2)</f>
        <v>155</v>
      </c>
      <c r="V2" s="27">
        <f>IF(ISNUMBER('IAP Correction'!V2),'IAP Current'!V2*('IAP Correction'!V2+1),'IAP Current'!V2)</f>
        <v>166</v>
      </c>
    </row>
    <row r="3" spans="1:22" x14ac:dyDescent="0.25">
      <c r="A3" s="15">
        <v>1000</v>
      </c>
      <c r="B3" s="27">
        <f>IF(ISNUMBER('IAP Correction'!B3),'IAP Current'!B3*('IAP Correction'!B3+1),'IAP Current'!B3)</f>
        <v>29</v>
      </c>
      <c r="C3" s="27">
        <f>IF(ISNUMBER('IAP Correction'!C3),'IAP Current'!C3*('IAP Correction'!C3+1),'IAP Current'!C3)</f>
        <v>32</v>
      </c>
      <c r="D3" s="27">
        <f>IF(ISNUMBER('IAP Correction'!D3),'IAP Current'!D3*('IAP Correction'!D3+1),'IAP Current'!D3)</f>
        <v>42.739676113360318</v>
      </c>
      <c r="E3" s="27">
        <f>IF(ISNUMBER('IAP Correction'!E3),'IAP Current'!E3*('IAP Correction'!E3+1),'IAP Current'!E3)</f>
        <v>36</v>
      </c>
      <c r="F3" s="27">
        <f>IF(ISNUMBER('IAP Correction'!F3),'IAP Current'!F3*('IAP Correction'!F3+1),'IAP Current'!F3)</f>
        <v>41</v>
      </c>
      <c r="G3" s="27">
        <f>IF(ISNUMBER('IAP Correction'!G3),'IAP Current'!G3*('IAP Correction'!G3+1),'IAP Current'!G3)</f>
        <v>46</v>
      </c>
      <c r="H3" s="27">
        <f>IF(ISNUMBER('IAP Correction'!H3),'IAP Current'!H3*('IAP Correction'!H3+1),'IAP Current'!H3)</f>
        <v>52</v>
      </c>
      <c r="I3" s="27">
        <f>IF(ISNUMBER('IAP Correction'!I3),'IAP Current'!I3*('IAP Correction'!I3+1),'IAP Current'!I3)</f>
        <v>72.834464043419274</v>
      </c>
      <c r="J3" s="27">
        <f>IF(ISNUMBER('IAP Correction'!J3),'IAP Current'!J3*('IAP Correction'!J3+1),'IAP Current'!J3)</f>
        <v>87.381275440976921</v>
      </c>
      <c r="K3" s="27">
        <f>IF(ISNUMBER('IAP Correction'!K3),'IAP Current'!K3*('IAP Correction'!K3+1),'IAP Current'!K3)</f>
        <v>72</v>
      </c>
      <c r="L3" s="27">
        <f>IF(ISNUMBER('IAP Correction'!L3),'IAP Current'!L3*('IAP Correction'!L3+1),'IAP Current'!L3)</f>
        <v>78</v>
      </c>
      <c r="M3" s="27">
        <f>IF(ISNUMBER('IAP Correction'!M3),'IAP Current'!M3*('IAP Correction'!M3+1),'IAP Current'!M3)</f>
        <v>99.391791044776113</v>
      </c>
      <c r="N3" s="27">
        <f>IF(ISNUMBER('IAP Correction'!N3),'IAP Current'!N3*('IAP Correction'!N3+1),'IAP Current'!N3)</f>
        <v>80</v>
      </c>
      <c r="O3" s="27">
        <f>IF(ISNUMBER('IAP Correction'!O3),'IAP Current'!O3*('IAP Correction'!O3+1),'IAP Current'!O3)</f>
        <v>110.29637526652452</v>
      </c>
      <c r="P3" s="27">
        <f>IF(ISNUMBER('IAP Correction'!P3),'IAP Current'!P3*('IAP Correction'!P3+1),'IAP Current'!P3)</f>
        <v>93</v>
      </c>
      <c r="Q3" s="27">
        <f>IF(ISNUMBER('IAP Correction'!Q3),'IAP Current'!Q3*('IAP Correction'!Q3+1),'IAP Current'!Q3)</f>
        <v>102</v>
      </c>
      <c r="R3" s="27">
        <f>IF(ISNUMBER('IAP Correction'!R3),'IAP Current'!R3*('IAP Correction'!R3+1),'IAP Current'!R3)</f>
        <v>108</v>
      </c>
      <c r="S3" s="27">
        <f>IF(ISNUMBER('IAP Correction'!S3),'IAP Current'!S3*('IAP Correction'!S3+1),'IAP Current'!S3)</f>
        <v>117</v>
      </c>
      <c r="T3" s="27">
        <f>IF(ISNUMBER('IAP Correction'!T3),'IAP Current'!T3*('IAP Correction'!T3+1),'IAP Current'!T3)</f>
        <v>128</v>
      </c>
      <c r="U3" s="27">
        <f>IF(ISNUMBER('IAP Correction'!U3),'IAP Current'!U3*('IAP Correction'!U3+1),'IAP Current'!U3)</f>
        <v>155</v>
      </c>
      <c r="V3" s="27">
        <f>IF(ISNUMBER('IAP Correction'!V3),'IAP Current'!V3*('IAP Correction'!V3+1),'IAP Current'!V3)</f>
        <v>166</v>
      </c>
    </row>
    <row r="4" spans="1:22" x14ac:dyDescent="0.25">
      <c r="A4" s="15">
        <v>1200</v>
      </c>
      <c r="B4" s="27">
        <f>IF(ISNUMBER('IAP Correction'!B4),'IAP Current'!B4*('IAP Correction'!B4+1),'IAP Current'!B4)</f>
        <v>29</v>
      </c>
      <c r="C4" s="27">
        <f>IF(ISNUMBER('IAP Correction'!C4),'IAP Current'!C4*('IAP Correction'!C4+1),'IAP Current'!C4)</f>
        <v>41.800000000000004</v>
      </c>
      <c r="D4" s="27">
        <f>IF(ISNUMBER('IAP Correction'!D4),'IAP Current'!D4*('IAP Correction'!D4+1),'IAP Current'!D4)</f>
        <v>42.344282744282751</v>
      </c>
      <c r="E4" s="27">
        <f>IF(ISNUMBER('IAP Correction'!E4),'IAP Current'!E4*('IAP Correction'!E4+1),'IAP Current'!E4)</f>
        <v>36</v>
      </c>
      <c r="F4" s="27">
        <f>IF(ISNUMBER('IAP Correction'!F4),'IAP Current'!F4*('IAP Correction'!F4+1),'IAP Current'!F4)</f>
        <v>53.110769230769222</v>
      </c>
      <c r="G4" s="27">
        <f>IF(ISNUMBER('IAP Correction'!G4),'IAP Current'!G4*('IAP Correction'!G4+1),'IAP Current'!G4)</f>
        <v>46</v>
      </c>
      <c r="H4" s="27">
        <f>IF(ISNUMBER('IAP Correction'!H4),'IAP Current'!H4*('IAP Correction'!H4+1),'IAP Current'!H4)</f>
        <v>50</v>
      </c>
      <c r="I4" s="27">
        <f>IF(ISNUMBER('IAP Correction'!I4),'IAP Current'!I4*('IAP Correction'!I4+1),'IAP Current'!I4)</f>
        <v>66.464043419267313</v>
      </c>
      <c r="J4" s="27">
        <f>IF(ISNUMBER('IAP Correction'!J4),'IAP Current'!J4*('IAP Correction'!J4+1),'IAP Current'!J4)</f>
        <v>63</v>
      </c>
      <c r="K4" s="27">
        <f>IF(ISNUMBER('IAP Correction'!K4),'IAP Current'!K4*('IAP Correction'!K4+1),'IAP Current'!K4)</f>
        <v>84.65000000000002</v>
      </c>
      <c r="L4" s="27">
        <f>IF(ISNUMBER('IAP Correction'!L4),'IAP Current'!L4*('IAP Correction'!L4+1),'IAP Current'!L4)</f>
        <v>72</v>
      </c>
      <c r="M4" s="27">
        <f>IF(ISNUMBER('IAP Correction'!M4),'IAP Current'!M4*('IAP Correction'!M4+1),'IAP Current'!M4)</f>
        <v>74</v>
      </c>
      <c r="N4" s="27">
        <f>IF(ISNUMBER('IAP Correction'!N4),'IAP Current'!N4*('IAP Correction'!N4+1),'IAP Current'!N4)</f>
        <v>82</v>
      </c>
      <c r="O4" s="27">
        <f>IF(ISNUMBER('IAP Correction'!O4),'IAP Current'!O4*('IAP Correction'!O4+1),'IAP Current'!O4)</f>
        <v>109.15298507462684</v>
      </c>
      <c r="P4" s="27">
        <f>IF(ISNUMBER('IAP Correction'!P4),'IAP Current'!P4*('IAP Correction'!P4+1),'IAP Current'!P4)</f>
        <v>89</v>
      </c>
      <c r="Q4" s="27">
        <f>IF(ISNUMBER('IAP Correction'!Q4),'IAP Current'!Q4*('IAP Correction'!Q4+1),'IAP Current'!Q4)</f>
        <v>96</v>
      </c>
      <c r="R4" s="27">
        <f>IF(ISNUMBER('IAP Correction'!R4),'IAP Current'!R4*('IAP Correction'!R4+1),'IAP Current'!R4)</f>
        <v>101</v>
      </c>
      <c r="S4" s="27">
        <f>IF(ISNUMBER('IAP Correction'!S4),'IAP Current'!S4*('IAP Correction'!S4+1),'IAP Current'!S4)</f>
        <v>113</v>
      </c>
      <c r="T4" s="27">
        <f>IF(ISNUMBER('IAP Correction'!T4),'IAP Current'!T4*('IAP Correction'!T4+1),'IAP Current'!T4)</f>
        <v>125</v>
      </c>
      <c r="U4" s="27">
        <f>IF(ISNUMBER('IAP Correction'!U4),'IAP Current'!U4*('IAP Correction'!U4+1),'IAP Current'!U4)</f>
        <v>150</v>
      </c>
      <c r="V4" s="27">
        <f>IF(ISNUMBER('IAP Correction'!V4),'IAP Current'!V4*('IAP Correction'!V4+1),'IAP Current'!V4)</f>
        <v>156</v>
      </c>
    </row>
    <row r="5" spans="1:22" x14ac:dyDescent="0.25">
      <c r="A5" s="15">
        <v>1400</v>
      </c>
      <c r="B5" s="27">
        <f>IF(ISNUMBER('IAP Correction'!B5),'IAP Current'!B5*('IAP Correction'!B5+1),'IAP Current'!B5)</f>
        <v>29</v>
      </c>
      <c r="C5" s="27">
        <f>IF(ISNUMBER('IAP Correction'!C5),'IAP Current'!C5*('IAP Correction'!C5+1),'IAP Current'!C5)</f>
        <v>32</v>
      </c>
      <c r="D5" s="27">
        <f>IF(ISNUMBER('IAP Correction'!D5),'IAP Current'!D5*('IAP Correction'!D5+1),'IAP Current'!D5)</f>
        <v>33</v>
      </c>
      <c r="E5" s="27">
        <f>IF(ISNUMBER('IAP Correction'!E5),'IAP Current'!E5*('IAP Correction'!E5+1),'IAP Current'!E5)</f>
        <v>34</v>
      </c>
      <c r="F5" s="27">
        <f>IF(ISNUMBER('IAP Correction'!F5),'IAP Current'!F5*('IAP Correction'!F5+1),'IAP Current'!F5)</f>
        <v>41</v>
      </c>
      <c r="G5" s="27">
        <f>IF(ISNUMBER('IAP Correction'!G5),'IAP Current'!G5*('IAP Correction'!G5+1),'IAP Current'!G5)</f>
        <v>47</v>
      </c>
      <c r="H5" s="27">
        <f>IF(ISNUMBER('IAP Correction'!H5),'IAP Current'!H5*('IAP Correction'!H5+1),'IAP Current'!H5)</f>
        <v>50</v>
      </c>
      <c r="I5" s="27">
        <f>IF(ISNUMBER('IAP Correction'!I5),'IAP Current'!I5*('IAP Correction'!I5+1),'IAP Current'!I5)</f>
        <v>55</v>
      </c>
      <c r="J5" s="27">
        <f>IF(ISNUMBER('IAP Correction'!J5),'IAP Current'!J5*('IAP Correction'!J5+1),'IAP Current'!J5)</f>
        <v>64</v>
      </c>
      <c r="K5" s="27">
        <f>IF(ISNUMBER('IAP Correction'!K5),'IAP Current'!K5*('IAP Correction'!K5+1),'IAP Current'!K5)</f>
        <v>68</v>
      </c>
      <c r="L5" s="27">
        <f>IF(ISNUMBER('IAP Correction'!L5),'IAP Current'!L5*('IAP Correction'!L5+1),'IAP Current'!L5)</f>
        <v>71</v>
      </c>
      <c r="M5" s="27">
        <f>IF(ISNUMBER('IAP Correction'!M5),'IAP Current'!M5*('IAP Correction'!M5+1),'IAP Current'!M5)</f>
        <v>75</v>
      </c>
      <c r="N5" s="27">
        <f>IF(ISNUMBER('IAP Correction'!N5),'IAP Current'!N5*('IAP Correction'!N5+1),'IAP Current'!N5)</f>
        <v>76</v>
      </c>
      <c r="O5" s="27">
        <f>IF(ISNUMBER('IAP Correction'!O5),'IAP Current'!O5*('IAP Correction'!O5+1),'IAP Current'!O5)</f>
        <v>80</v>
      </c>
      <c r="P5" s="27">
        <f>IF(ISNUMBER('IAP Correction'!P5),'IAP Current'!P5*('IAP Correction'!P5+1),'IAP Current'!P5)</f>
        <v>86</v>
      </c>
      <c r="Q5" s="27">
        <f>IF(ISNUMBER('IAP Correction'!Q5),'IAP Current'!Q5*('IAP Correction'!Q5+1),'IAP Current'!Q5)</f>
        <v>90</v>
      </c>
      <c r="R5" s="27">
        <f>IF(ISNUMBER('IAP Correction'!R5),'IAP Current'!R5*('IAP Correction'!R5+1),'IAP Current'!R5)</f>
        <v>93</v>
      </c>
      <c r="S5" s="27">
        <f>IF(ISNUMBER('IAP Correction'!S5),'IAP Current'!S5*('IAP Correction'!S5+1),'IAP Current'!S5)</f>
        <v>99</v>
      </c>
      <c r="T5" s="27">
        <f>IF(ISNUMBER('IAP Correction'!T5),'IAP Current'!T5*('IAP Correction'!T5+1),'IAP Current'!T5)</f>
        <v>114</v>
      </c>
      <c r="U5" s="27">
        <f>IF(ISNUMBER('IAP Correction'!U5),'IAP Current'!U5*('IAP Correction'!U5+1),'IAP Current'!U5)</f>
        <v>143</v>
      </c>
      <c r="V5" s="27">
        <f>IF(ISNUMBER('IAP Correction'!V5),'IAP Current'!V5*('IAP Correction'!V5+1),'IAP Current'!V5)</f>
        <v>153</v>
      </c>
    </row>
    <row r="6" spans="1:22" x14ac:dyDescent="0.25">
      <c r="A6" s="15">
        <v>1600</v>
      </c>
      <c r="B6" s="27">
        <f>IF(ISNUMBER('IAP Correction'!B6),'IAP Current'!B6*('IAP Correction'!B6+1),'IAP Current'!B6)</f>
        <v>29</v>
      </c>
      <c r="C6" s="27">
        <f>IF(ISNUMBER('IAP Correction'!C6),'IAP Current'!C6*('IAP Correction'!C6+1),'IAP Current'!C6)</f>
        <v>32</v>
      </c>
      <c r="D6" s="27">
        <f>IF(ISNUMBER('IAP Correction'!D6),'IAP Current'!D6*('IAP Correction'!D6+1),'IAP Current'!D6)</f>
        <v>33</v>
      </c>
      <c r="E6" s="27">
        <f>IF(ISNUMBER('IAP Correction'!E6),'IAP Current'!E6*('IAP Correction'!E6+1),'IAP Current'!E6)</f>
        <v>34</v>
      </c>
      <c r="F6" s="27">
        <f>IF(ISNUMBER('IAP Correction'!F6),'IAP Current'!F6*('IAP Correction'!F6+1),'IAP Current'!F6)</f>
        <v>41</v>
      </c>
      <c r="G6" s="27">
        <f>IF(ISNUMBER('IAP Correction'!G6),'IAP Current'!G6*('IAP Correction'!G6+1),'IAP Current'!G6)</f>
        <v>45</v>
      </c>
      <c r="H6" s="27">
        <f>IF(ISNUMBER('IAP Correction'!H6),'IAP Current'!H6*('IAP Correction'!H6+1),'IAP Current'!H6)</f>
        <v>50</v>
      </c>
      <c r="I6" s="27">
        <f>IF(ISNUMBER('IAP Correction'!I6),'IAP Current'!I6*('IAP Correction'!I6+1),'IAP Current'!I6)</f>
        <v>52</v>
      </c>
      <c r="J6" s="27">
        <f>IF(ISNUMBER('IAP Correction'!J6),'IAP Current'!J6*('IAP Correction'!J6+1),'IAP Current'!J6)</f>
        <v>57</v>
      </c>
      <c r="K6" s="27">
        <f>IF(ISNUMBER('IAP Correction'!K6),'IAP Current'!K6*('IAP Correction'!K6+1),'IAP Current'!K6)</f>
        <v>61</v>
      </c>
      <c r="L6" s="27">
        <f>IF(ISNUMBER('IAP Correction'!L6),'IAP Current'!L6*('IAP Correction'!L6+1),'IAP Current'!L6)</f>
        <v>67</v>
      </c>
      <c r="M6" s="27">
        <f>IF(ISNUMBER('IAP Correction'!M6),'IAP Current'!M6*('IAP Correction'!M6+1),'IAP Current'!M6)</f>
        <v>72</v>
      </c>
      <c r="N6" s="27">
        <f>IF(ISNUMBER('IAP Correction'!N6),'IAP Current'!N6*('IAP Correction'!N6+1),'IAP Current'!N6)</f>
        <v>75</v>
      </c>
      <c r="O6" s="27">
        <f>IF(ISNUMBER('IAP Correction'!O6),'IAP Current'!O6*('IAP Correction'!O6+1),'IAP Current'!O6)</f>
        <v>79</v>
      </c>
      <c r="P6" s="27">
        <f>IF(ISNUMBER('IAP Correction'!P6),'IAP Current'!P6*('IAP Correction'!P6+1),'IAP Current'!P6)</f>
        <v>86</v>
      </c>
      <c r="Q6" s="27">
        <f>IF(ISNUMBER('IAP Correction'!Q6),'IAP Current'!Q6*('IAP Correction'!Q6+1),'IAP Current'!Q6)</f>
        <v>89</v>
      </c>
      <c r="R6" s="27">
        <f>IF(ISNUMBER('IAP Correction'!R6),'IAP Current'!R6*('IAP Correction'!R6+1),'IAP Current'!R6)</f>
        <v>92</v>
      </c>
      <c r="S6" s="27">
        <f>IF(ISNUMBER('IAP Correction'!S6),'IAP Current'!S6*('IAP Correction'!S6+1),'IAP Current'!S6)</f>
        <v>98</v>
      </c>
      <c r="T6" s="27">
        <f>IF(ISNUMBER('IAP Correction'!T6),'IAP Current'!T6*('IAP Correction'!T6+1),'IAP Current'!T6)</f>
        <v>112</v>
      </c>
      <c r="U6" s="27">
        <f>IF(ISNUMBER('IAP Correction'!U6),'IAP Current'!U6*('IAP Correction'!U6+1),'IAP Current'!U6)</f>
        <v>145</v>
      </c>
      <c r="V6" s="27">
        <f>IF(ISNUMBER('IAP Correction'!V6),'IAP Current'!V6*('IAP Correction'!V6+1),'IAP Current'!V6)</f>
        <v>155</v>
      </c>
    </row>
    <row r="7" spans="1:22" x14ac:dyDescent="0.25">
      <c r="A7" s="15">
        <v>1800</v>
      </c>
      <c r="B7" s="27">
        <f>IF(ISNUMBER('IAP Correction'!B7),'IAP Current'!B7*('IAP Correction'!B7+1),'IAP Current'!B7)</f>
        <v>29</v>
      </c>
      <c r="C7" s="27">
        <f>IF(ISNUMBER('IAP Correction'!C7),'IAP Current'!C7*('IAP Correction'!C7+1),'IAP Current'!C7)</f>
        <v>32</v>
      </c>
      <c r="D7" s="27">
        <f>IF(ISNUMBER('IAP Correction'!D7),'IAP Current'!D7*('IAP Correction'!D7+1),'IAP Current'!D7)</f>
        <v>33</v>
      </c>
      <c r="E7" s="27">
        <f>IF(ISNUMBER('IAP Correction'!E7),'IAP Current'!E7*('IAP Correction'!E7+1),'IAP Current'!E7)</f>
        <v>34</v>
      </c>
      <c r="F7" s="27">
        <f>IF(ISNUMBER('IAP Correction'!F7),'IAP Current'!F7*('IAP Correction'!F7+1),'IAP Current'!F7)</f>
        <v>40</v>
      </c>
      <c r="G7" s="27">
        <f>IF(ISNUMBER('IAP Correction'!G7),'IAP Current'!G7*('IAP Correction'!G7+1),'IAP Current'!G7)</f>
        <v>45</v>
      </c>
      <c r="H7" s="27">
        <f>IF(ISNUMBER('IAP Correction'!H7),'IAP Current'!H7*('IAP Correction'!H7+1),'IAP Current'!H7)</f>
        <v>49</v>
      </c>
      <c r="I7" s="27">
        <f>IF(ISNUMBER('IAP Correction'!I7),'IAP Current'!I7*('IAP Correction'!I7+1),'IAP Current'!I7)</f>
        <v>54</v>
      </c>
      <c r="J7" s="27">
        <f>IF(ISNUMBER('IAP Correction'!J7),'IAP Current'!J7*('IAP Correction'!J7+1),'IAP Current'!J7)</f>
        <v>58</v>
      </c>
      <c r="K7" s="27">
        <f>IF(ISNUMBER('IAP Correction'!K7),'IAP Current'!K7*('IAP Correction'!K7+1),'IAP Current'!K7)</f>
        <v>58</v>
      </c>
      <c r="L7" s="27">
        <f>IF(ISNUMBER('IAP Correction'!L7),'IAP Current'!L7*('IAP Correction'!L7+1),'IAP Current'!L7)</f>
        <v>64</v>
      </c>
      <c r="M7" s="27">
        <f>IF(ISNUMBER('IAP Correction'!M7),'IAP Current'!M7*('IAP Correction'!M7+1),'IAP Current'!M7)</f>
        <v>69</v>
      </c>
      <c r="N7" s="27">
        <f>IF(ISNUMBER('IAP Correction'!N7),'IAP Current'!N7*('IAP Correction'!N7+1),'IAP Current'!N7)</f>
        <v>76</v>
      </c>
      <c r="O7" s="27">
        <f>IF(ISNUMBER('IAP Correction'!O7),'IAP Current'!O7*('IAP Correction'!O7+1),'IAP Current'!O7)</f>
        <v>80</v>
      </c>
      <c r="P7" s="27">
        <f>IF(ISNUMBER('IAP Correction'!P7),'IAP Current'!P7*('IAP Correction'!P7+1),'IAP Current'!P7)</f>
        <v>87</v>
      </c>
      <c r="Q7" s="27">
        <f>IF(ISNUMBER('IAP Correction'!Q7),'IAP Current'!Q7*('IAP Correction'!Q7+1),'IAP Current'!Q7)</f>
        <v>90</v>
      </c>
      <c r="R7" s="27">
        <f>IF(ISNUMBER('IAP Correction'!R7),'IAP Current'!R7*('IAP Correction'!R7+1),'IAP Current'!R7)</f>
        <v>94</v>
      </c>
      <c r="S7" s="27">
        <f>IF(ISNUMBER('IAP Correction'!S7),'IAP Current'!S7*('IAP Correction'!S7+1),'IAP Current'!S7)</f>
        <v>102</v>
      </c>
      <c r="T7" s="27">
        <f>IF(ISNUMBER('IAP Correction'!T7),'IAP Current'!T7*('IAP Correction'!T7+1),'IAP Current'!T7)</f>
        <v>113</v>
      </c>
      <c r="U7" s="27">
        <f>IF(ISNUMBER('IAP Correction'!U7),'IAP Current'!U7*('IAP Correction'!U7+1),'IAP Current'!U7)</f>
        <v>149</v>
      </c>
      <c r="V7" s="27">
        <f>IF(ISNUMBER('IAP Correction'!V7),'IAP Current'!V7*('IAP Correction'!V7+1),'IAP Current'!V7)</f>
        <v>164</v>
      </c>
    </row>
    <row r="8" spans="1:22" x14ac:dyDescent="0.25">
      <c r="A8" s="15">
        <v>2000</v>
      </c>
      <c r="B8" s="27">
        <f>IF(ISNUMBER('IAP Correction'!B8),'IAP Current'!B8*('IAP Correction'!B8+1),'IAP Current'!B8)</f>
        <v>29</v>
      </c>
      <c r="C8" s="27">
        <f>IF(ISNUMBER('IAP Correction'!C8),'IAP Current'!C8*('IAP Correction'!C8+1),'IAP Current'!C8)</f>
        <v>32</v>
      </c>
      <c r="D8" s="27">
        <f>IF(ISNUMBER('IAP Correction'!D8),'IAP Current'!D8*('IAP Correction'!D8+1),'IAP Current'!D8)</f>
        <v>33</v>
      </c>
      <c r="E8" s="27">
        <f>IF(ISNUMBER('IAP Correction'!E8),'IAP Current'!E8*('IAP Correction'!E8+1),'IAP Current'!E8)</f>
        <v>34</v>
      </c>
      <c r="F8" s="27">
        <f>IF(ISNUMBER('IAP Correction'!F8),'IAP Current'!F8*('IAP Correction'!F8+1),'IAP Current'!F8)</f>
        <v>41</v>
      </c>
      <c r="G8" s="27">
        <f>IF(ISNUMBER('IAP Correction'!G8),'IAP Current'!G8*('IAP Correction'!G8+1),'IAP Current'!G8)</f>
        <v>48</v>
      </c>
      <c r="H8" s="27">
        <f>IF(ISNUMBER('IAP Correction'!H8),'IAP Current'!H8*('IAP Correction'!H8+1),'IAP Current'!H8)</f>
        <v>48</v>
      </c>
      <c r="I8" s="27">
        <f>IF(ISNUMBER('IAP Correction'!I8),'IAP Current'!I8*('IAP Correction'!I8+1),'IAP Current'!I8)</f>
        <v>52</v>
      </c>
      <c r="J8" s="27">
        <f>IF(ISNUMBER('IAP Correction'!J8),'IAP Current'!J8*('IAP Correction'!J8+1),'IAP Current'!J8)</f>
        <v>60</v>
      </c>
      <c r="K8" s="27">
        <f>IF(ISNUMBER('IAP Correction'!K8),'IAP Current'!K8*('IAP Correction'!K8+1),'IAP Current'!K8)</f>
        <v>64</v>
      </c>
      <c r="L8" s="27">
        <f>IF(ISNUMBER('IAP Correction'!L8),'IAP Current'!L8*('IAP Correction'!L8+1),'IAP Current'!L8)</f>
        <v>67</v>
      </c>
      <c r="M8" s="27">
        <f>IF(ISNUMBER('IAP Correction'!M8),'IAP Current'!M8*('IAP Correction'!M8+1),'IAP Current'!M8)</f>
        <v>71</v>
      </c>
      <c r="N8" s="27">
        <f>IF(ISNUMBER('IAP Correction'!N8),'IAP Current'!N8*('IAP Correction'!N8+1),'IAP Current'!N8)</f>
        <v>78</v>
      </c>
      <c r="O8" s="27">
        <f>IF(ISNUMBER('IAP Correction'!O8),'IAP Current'!O8*('IAP Correction'!O8+1),'IAP Current'!O8)</f>
        <v>80</v>
      </c>
      <c r="P8" s="27">
        <f>IF(ISNUMBER('IAP Correction'!P8),'IAP Current'!P8*('IAP Correction'!P8+1),'IAP Current'!P8)</f>
        <v>87</v>
      </c>
      <c r="Q8" s="27">
        <f>IF(ISNUMBER('IAP Correction'!Q8),'IAP Current'!Q8*('IAP Correction'!Q8+1),'IAP Current'!Q8)</f>
        <v>92</v>
      </c>
      <c r="R8" s="27">
        <f>IF(ISNUMBER('IAP Correction'!R8),'IAP Current'!R8*('IAP Correction'!R8+1),'IAP Current'!R8)</f>
        <v>97</v>
      </c>
      <c r="S8" s="27">
        <f>IF(ISNUMBER('IAP Correction'!S8),'IAP Current'!S8*('IAP Correction'!S8+1),'IAP Current'!S8)</f>
        <v>107</v>
      </c>
      <c r="T8" s="27">
        <f>IF(ISNUMBER('IAP Correction'!T8),'IAP Current'!T8*('IAP Correction'!T8+1),'IAP Current'!T8)</f>
        <v>122</v>
      </c>
      <c r="U8" s="27">
        <f>IF(ISNUMBER('IAP Correction'!U8),'IAP Current'!U8*('IAP Correction'!U8+1),'IAP Current'!U8)</f>
        <v>152</v>
      </c>
      <c r="V8" s="27">
        <f>IF(ISNUMBER('IAP Correction'!V8),'IAP Current'!V8*('IAP Correction'!V8+1),'IAP Current'!V8)</f>
        <v>163</v>
      </c>
    </row>
    <row r="9" spans="1:22" x14ac:dyDescent="0.25">
      <c r="A9" s="15">
        <v>2200</v>
      </c>
      <c r="B9" s="27">
        <f>IF(ISNUMBER('IAP Correction'!B9),'IAP Current'!B9*('IAP Correction'!B9+1),'IAP Current'!B9)</f>
        <v>36</v>
      </c>
      <c r="C9" s="27">
        <f>IF(ISNUMBER('IAP Correction'!C9),'IAP Current'!C9*('IAP Correction'!C9+1),'IAP Current'!C9)</f>
        <v>40</v>
      </c>
      <c r="D9" s="27">
        <f>IF(ISNUMBER('IAP Correction'!D9),'IAP Current'!D9*('IAP Correction'!D9+1),'IAP Current'!D9)</f>
        <v>41</v>
      </c>
      <c r="E9" s="27">
        <f>IF(ISNUMBER('IAP Correction'!E9),'IAP Current'!E9*('IAP Correction'!E9+1),'IAP Current'!E9)</f>
        <v>42</v>
      </c>
      <c r="F9" s="27">
        <f>IF(ISNUMBER('IAP Correction'!F9),'IAP Current'!F9*('IAP Correction'!F9+1),'IAP Current'!F9)</f>
        <v>45</v>
      </c>
      <c r="G9" s="27">
        <f>IF(ISNUMBER('IAP Correction'!G9),'IAP Current'!G9*('IAP Correction'!G9+1),'IAP Current'!G9)</f>
        <v>49</v>
      </c>
      <c r="H9" s="27">
        <f>IF(ISNUMBER('IAP Correction'!H9),'IAP Current'!H9*('IAP Correction'!H9+1),'IAP Current'!H9)</f>
        <v>49</v>
      </c>
      <c r="I9" s="27">
        <f>IF(ISNUMBER('IAP Correction'!I9),'IAP Current'!I9*('IAP Correction'!I9+1),'IAP Current'!I9)</f>
        <v>50</v>
      </c>
      <c r="J9" s="27">
        <f>IF(ISNUMBER('IAP Correction'!J9),'IAP Current'!J9*('IAP Correction'!J9+1),'IAP Current'!J9)</f>
        <v>57</v>
      </c>
      <c r="K9" s="27">
        <f>IF(ISNUMBER('IAP Correction'!K9),'IAP Current'!K9*('IAP Correction'!K9+1),'IAP Current'!K9)</f>
        <v>65</v>
      </c>
      <c r="L9" s="27">
        <f>IF(ISNUMBER('IAP Correction'!L9),'IAP Current'!L9*('IAP Correction'!L9+1),'IAP Current'!L9)</f>
        <v>70</v>
      </c>
      <c r="M9" s="27">
        <f>IF(ISNUMBER('IAP Correction'!M9),'IAP Current'!M9*('IAP Correction'!M9+1),'IAP Current'!M9)</f>
        <v>75</v>
      </c>
      <c r="N9" s="27">
        <f>IF(ISNUMBER('IAP Correction'!N9),'IAP Current'!N9*('IAP Correction'!N9+1),'IAP Current'!N9)</f>
        <v>78</v>
      </c>
      <c r="O9" s="27">
        <f>IF(ISNUMBER('IAP Correction'!O9),'IAP Current'!O9*('IAP Correction'!O9+1),'IAP Current'!O9)</f>
        <v>84</v>
      </c>
      <c r="P9" s="27">
        <f>IF(ISNUMBER('IAP Correction'!P9),'IAP Current'!P9*('IAP Correction'!P9+1),'IAP Current'!P9)</f>
        <v>88</v>
      </c>
      <c r="Q9" s="27">
        <f>IF(ISNUMBER('IAP Correction'!Q9),'IAP Current'!Q9*('IAP Correction'!Q9+1),'IAP Current'!Q9)</f>
        <v>92</v>
      </c>
      <c r="R9" s="27">
        <f>IF(ISNUMBER('IAP Correction'!R9),'IAP Current'!R9*('IAP Correction'!R9+1),'IAP Current'!R9)</f>
        <v>97</v>
      </c>
      <c r="S9" s="27">
        <f>IF(ISNUMBER('IAP Correction'!S9),'IAP Current'!S9*('IAP Correction'!S9+1),'IAP Current'!S9)</f>
        <v>103</v>
      </c>
      <c r="T9" s="27">
        <f>IF(ISNUMBER('IAP Correction'!T9),'IAP Current'!T9*('IAP Correction'!T9+1),'IAP Current'!T9)</f>
        <v>117</v>
      </c>
      <c r="U9" s="27">
        <f>IF(ISNUMBER('IAP Correction'!U9),'IAP Current'!U9*('IAP Correction'!U9+1),'IAP Current'!U9)</f>
        <v>143</v>
      </c>
      <c r="V9" s="27">
        <f>IF(ISNUMBER('IAP Correction'!V9),'IAP Current'!V9*('IAP Correction'!V9+1),'IAP Current'!V9)</f>
        <v>166</v>
      </c>
    </row>
    <row r="10" spans="1:22" x14ac:dyDescent="0.25">
      <c r="A10" s="15">
        <v>2400</v>
      </c>
      <c r="B10" s="27">
        <f>IF(ISNUMBER('IAP Correction'!B10),'IAP Current'!B10*('IAP Correction'!B10+1),'IAP Current'!B10)</f>
        <v>36</v>
      </c>
      <c r="C10" s="27">
        <f>IF(ISNUMBER('IAP Correction'!C10),'IAP Current'!C10*('IAP Correction'!C10+1),'IAP Current'!C10)</f>
        <v>38</v>
      </c>
      <c r="D10" s="27">
        <f>IF(ISNUMBER('IAP Correction'!D10),'IAP Current'!D10*('IAP Correction'!D10+1),'IAP Current'!D10)</f>
        <v>41</v>
      </c>
      <c r="E10" s="27">
        <f>IF(ISNUMBER('IAP Correction'!E10),'IAP Current'!E10*('IAP Correction'!E10+1),'IAP Current'!E10)</f>
        <v>45</v>
      </c>
      <c r="F10" s="27">
        <f>IF(ISNUMBER('IAP Correction'!F10),'IAP Current'!F10*('IAP Correction'!F10+1),'IAP Current'!F10)</f>
        <v>45</v>
      </c>
      <c r="G10" s="27">
        <f>IF(ISNUMBER('IAP Correction'!G10),'IAP Current'!G10*('IAP Correction'!G10+1),'IAP Current'!G10)</f>
        <v>49</v>
      </c>
      <c r="H10" s="27">
        <f>IF(ISNUMBER('IAP Correction'!H10),'IAP Current'!H10*('IAP Correction'!H10+1),'IAP Current'!H10)</f>
        <v>49</v>
      </c>
      <c r="I10" s="27">
        <f>IF(ISNUMBER('IAP Correction'!I10),'IAP Current'!I10*('IAP Correction'!I10+1),'IAP Current'!I10)</f>
        <v>49</v>
      </c>
      <c r="J10" s="27">
        <f>IF(ISNUMBER('IAP Correction'!J10),'IAP Current'!J10*('IAP Correction'!J10+1),'IAP Current'!J10)</f>
        <v>51</v>
      </c>
      <c r="K10" s="27">
        <f>IF(ISNUMBER('IAP Correction'!K10),'IAP Current'!K10*('IAP Correction'!K10+1),'IAP Current'!K10)</f>
        <v>63</v>
      </c>
      <c r="L10" s="27">
        <f>IF(ISNUMBER('IAP Correction'!L10),'IAP Current'!L10*('IAP Correction'!L10+1),'IAP Current'!L10)</f>
        <v>68</v>
      </c>
      <c r="M10" s="27">
        <f>IF(ISNUMBER('IAP Correction'!M10),'IAP Current'!M10*('IAP Correction'!M10+1),'IAP Current'!M10)</f>
        <v>70</v>
      </c>
      <c r="N10" s="27">
        <f>IF(ISNUMBER('IAP Correction'!N10),'IAP Current'!N10*('IAP Correction'!N10+1),'IAP Current'!N10)</f>
        <v>76</v>
      </c>
      <c r="O10" s="27">
        <f>IF(ISNUMBER('IAP Correction'!O10),'IAP Current'!O10*('IAP Correction'!O10+1),'IAP Current'!O10)</f>
        <v>80</v>
      </c>
      <c r="P10" s="27">
        <f>IF(ISNUMBER('IAP Correction'!P10),'IAP Current'!P10*('IAP Correction'!P10+1),'IAP Current'!P10)</f>
        <v>83</v>
      </c>
      <c r="Q10" s="27">
        <f>IF(ISNUMBER('IAP Correction'!Q10),'IAP Current'!Q10*('IAP Correction'!Q10+1),'IAP Current'!Q10)</f>
        <v>89</v>
      </c>
      <c r="R10" s="27">
        <f>IF(ISNUMBER('IAP Correction'!R10),'IAP Current'!R10*('IAP Correction'!R10+1),'IAP Current'!R10)</f>
        <v>94</v>
      </c>
      <c r="S10" s="27">
        <f>IF(ISNUMBER('IAP Correction'!S10),'IAP Current'!S10*('IAP Correction'!S10+1),'IAP Current'!S10)</f>
        <v>96</v>
      </c>
      <c r="T10" s="27">
        <f>IF(ISNUMBER('IAP Correction'!T10),'IAP Current'!T10*('IAP Correction'!T10+1),'IAP Current'!T10)</f>
        <v>108</v>
      </c>
      <c r="U10" s="27">
        <f>IF(ISNUMBER('IAP Correction'!U10),'IAP Current'!U10*('IAP Correction'!U10+1),'IAP Current'!U10)</f>
        <v>132</v>
      </c>
      <c r="V10" s="27">
        <f>IF(ISNUMBER('IAP Correction'!V10),'IAP Current'!V10*('IAP Correction'!V10+1),'IAP Current'!V10)</f>
        <v>171</v>
      </c>
    </row>
    <row r="11" spans="1:22" x14ac:dyDescent="0.25">
      <c r="A11" s="15">
        <v>2600</v>
      </c>
      <c r="B11" s="27">
        <f>IF(ISNUMBER('IAP Correction'!B11),'IAP Current'!B11*('IAP Correction'!B11+1),'IAP Current'!B11)</f>
        <v>36</v>
      </c>
      <c r="C11" s="27">
        <f>IF(ISNUMBER('IAP Correction'!C11),'IAP Current'!C11*('IAP Correction'!C11+1),'IAP Current'!C11)</f>
        <v>38</v>
      </c>
      <c r="D11" s="27">
        <f>IF(ISNUMBER('IAP Correction'!D11),'IAP Current'!D11*('IAP Correction'!D11+1),'IAP Current'!D11)</f>
        <v>41</v>
      </c>
      <c r="E11" s="27">
        <f>IF(ISNUMBER('IAP Correction'!E11),'IAP Current'!E11*('IAP Correction'!E11+1),'IAP Current'!E11)</f>
        <v>45</v>
      </c>
      <c r="F11" s="27">
        <f>IF(ISNUMBER('IAP Correction'!F11),'IAP Current'!F11*('IAP Correction'!F11+1),'IAP Current'!F11)</f>
        <v>45</v>
      </c>
      <c r="G11" s="27">
        <f>IF(ISNUMBER('IAP Correction'!G11),'IAP Current'!G11*('IAP Correction'!G11+1),'IAP Current'!G11)</f>
        <v>49</v>
      </c>
      <c r="H11" s="27">
        <f>IF(ISNUMBER('IAP Correction'!H11),'IAP Current'!H11*('IAP Correction'!H11+1),'IAP Current'!H11)</f>
        <v>48</v>
      </c>
      <c r="I11" s="27">
        <f>IF(ISNUMBER('IAP Correction'!I11),'IAP Current'!I11*('IAP Correction'!I11+1),'IAP Current'!I11)</f>
        <v>49</v>
      </c>
      <c r="J11" s="27">
        <f>IF(ISNUMBER('IAP Correction'!J11),'IAP Current'!J11*('IAP Correction'!J11+1),'IAP Current'!J11)</f>
        <v>51</v>
      </c>
      <c r="K11" s="27">
        <f>IF(ISNUMBER('IAP Correction'!K11),'IAP Current'!K11*('IAP Correction'!K11+1),'IAP Current'!K11)</f>
        <v>58</v>
      </c>
      <c r="L11" s="27">
        <f>IF(ISNUMBER('IAP Correction'!L11),'IAP Current'!L11*('IAP Correction'!L11+1),'IAP Current'!L11)</f>
        <v>64</v>
      </c>
      <c r="M11" s="27">
        <f>IF(ISNUMBER('IAP Correction'!M11),'IAP Current'!M11*('IAP Correction'!M11+1),'IAP Current'!M11)</f>
        <v>67</v>
      </c>
      <c r="N11" s="27">
        <f>IF(ISNUMBER('IAP Correction'!N11),'IAP Current'!N11*('IAP Correction'!N11+1),'IAP Current'!N11)</f>
        <v>71</v>
      </c>
      <c r="O11" s="27">
        <f>IF(ISNUMBER('IAP Correction'!O11),'IAP Current'!O11*('IAP Correction'!O11+1),'IAP Current'!O11)</f>
        <v>75</v>
      </c>
      <c r="P11" s="27">
        <f>IF(ISNUMBER('IAP Correction'!P11),'IAP Current'!P11*('IAP Correction'!P11+1),'IAP Current'!P11)</f>
        <v>80</v>
      </c>
      <c r="Q11" s="27">
        <f>IF(ISNUMBER('IAP Correction'!Q11),'IAP Current'!Q11*('IAP Correction'!Q11+1),'IAP Current'!Q11)</f>
        <v>86</v>
      </c>
      <c r="R11" s="27">
        <f>IF(ISNUMBER('IAP Correction'!R11),'IAP Current'!R11*('IAP Correction'!R11+1),'IAP Current'!R11)</f>
        <v>92</v>
      </c>
      <c r="S11" s="27">
        <f>IF(ISNUMBER('IAP Correction'!S11),'IAP Current'!S11*('IAP Correction'!S11+1),'IAP Current'!S11)</f>
        <v>94</v>
      </c>
      <c r="T11" s="27">
        <f>IF(ISNUMBER('IAP Correction'!T11),'IAP Current'!T11*('IAP Correction'!T11+1),'IAP Current'!T11)</f>
        <v>106</v>
      </c>
      <c r="U11" s="27">
        <f>IF(ISNUMBER('IAP Correction'!U11),'IAP Current'!U11*('IAP Correction'!U11+1),'IAP Current'!U11)</f>
        <v>130</v>
      </c>
      <c r="V11" s="27">
        <f>IF(ISNUMBER('IAP Correction'!V11),'IAP Current'!V11*('IAP Correction'!V11+1),'IAP Current'!V11)</f>
        <v>176</v>
      </c>
    </row>
    <row r="12" spans="1:22" x14ac:dyDescent="0.25">
      <c r="A12" s="15">
        <v>2800</v>
      </c>
      <c r="B12" s="27">
        <f>IF(ISNUMBER('IAP Correction'!B12),'IAP Current'!B12*('IAP Correction'!B12+1),'IAP Current'!B12)</f>
        <v>36</v>
      </c>
      <c r="C12" s="27">
        <f>IF(ISNUMBER('IAP Correction'!C12),'IAP Current'!C12*('IAP Correction'!C12+1),'IAP Current'!C12)</f>
        <v>38</v>
      </c>
      <c r="D12" s="27">
        <f>IF(ISNUMBER('IAP Correction'!D12),'IAP Current'!D12*('IAP Correction'!D12+1),'IAP Current'!D12)</f>
        <v>41</v>
      </c>
      <c r="E12" s="27">
        <f>IF(ISNUMBER('IAP Correction'!E12),'IAP Current'!E12*('IAP Correction'!E12+1),'IAP Current'!E12)</f>
        <v>44</v>
      </c>
      <c r="F12" s="27">
        <f>IF(ISNUMBER('IAP Correction'!F12),'IAP Current'!F12*('IAP Correction'!F12+1),'IAP Current'!F12)</f>
        <v>45</v>
      </c>
      <c r="G12" s="27">
        <f>IF(ISNUMBER('IAP Correction'!G12),'IAP Current'!G12*('IAP Correction'!G12+1),'IAP Current'!G12)</f>
        <v>48</v>
      </c>
      <c r="H12" s="27">
        <f>IF(ISNUMBER('IAP Correction'!H12),'IAP Current'!H12*('IAP Correction'!H12+1),'IAP Current'!H12)</f>
        <v>48</v>
      </c>
      <c r="I12" s="27">
        <f>IF(ISNUMBER('IAP Correction'!I12),'IAP Current'!I12*('IAP Correction'!I12+1),'IAP Current'!I12)</f>
        <v>50</v>
      </c>
      <c r="J12" s="27">
        <f>IF(ISNUMBER('IAP Correction'!J12),'IAP Current'!J12*('IAP Correction'!J12+1),'IAP Current'!J12)</f>
        <v>52</v>
      </c>
      <c r="K12" s="27">
        <f>IF(ISNUMBER('IAP Correction'!K12),'IAP Current'!K12*('IAP Correction'!K12+1),'IAP Current'!K12)</f>
        <v>60</v>
      </c>
      <c r="L12" s="27">
        <f>IF(ISNUMBER('IAP Correction'!L12),'IAP Current'!L12*('IAP Correction'!L12+1),'IAP Current'!L12)</f>
        <v>64</v>
      </c>
      <c r="M12" s="27">
        <f>IF(ISNUMBER('IAP Correction'!M12),'IAP Current'!M12*('IAP Correction'!M12+1),'IAP Current'!M12)</f>
        <v>66</v>
      </c>
      <c r="N12" s="27">
        <f>IF(ISNUMBER('IAP Correction'!N12),'IAP Current'!N12*('IAP Correction'!N12+1),'IAP Current'!N12)</f>
        <v>69</v>
      </c>
      <c r="O12" s="27">
        <f>IF(ISNUMBER('IAP Correction'!O12),'IAP Current'!O12*('IAP Correction'!O12+1),'IAP Current'!O12)</f>
        <v>72</v>
      </c>
      <c r="P12" s="27">
        <f>IF(ISNUMBER('IAP Correction'!P12),'IAP Current'!P12*('IAP Correction'!P12+1),'IAP Current'!P12)</f>
        <v>79</v>
      </c>
      <c r="Q12" s="27">
        <f>IF(ISNUMBER('IAP Correction'!Q12),'IAP Current'!Q12*('IAP Correction'!Q12+1),'IAP Current'!Q12)</f>
        <v>84</v>
      </c>
      <c r="R12" s="27">
        <f>IF(ISNUMBER('IAP Correction'!R12),'IAP Current'!R12*('IAP Correction'!R12+1),'IAP Current'!R12)</f>
        <v>92</v>
      </c>
      <c r="S12" s="27">
        <f>IF(ISNUMBER('IAP Correction'!S12),'IAP Current'!S12*('IAP Correction'!S12+1),'IAP Current'!S12)</f>
        <v>96</v>
      </c>
      <c r="T12" s="27">
        <f>IF(ISNUMBER('IAP Correction'!T12),'IAP Current'!T12*('IAP Correction'!T12+1),'IAP Current'!T12)</f>
        <v>106</v>
      </c>
      <c r="U12" s="27">
        <f>IF(ISNUMBER('IAP Correction'!U12),'IAP Current'!U12*('IAP Correction'!U12+1),'IAP Current'!U12)</f>
        <v>132</v>
      </c>
      <c r="V12" s="27">
        <f>IF(ISNUMBER('IAP Correction'!V12),'IAP Current'!V12*('IAP Correction'!V12+1),'IAP Current'!V12)</f>
        <v>183</v>
      </c>
    </row>
    <row r="13" spans="1:22" x14ac:dyDescent="0.25">
      <c r="A13" s="15">
        <v>3000</v>
      </c>
      <c r="B13" s="27">
        <f>IF(ISNUMBER('IAP Correction'!B13),'IAP Current'!B13*('IAP Correction'!B13+1),'IAP Current'!B13)</f>
        <v>36</v>
      </c>
      <c r="C13" s="27">
        <f>IF(ISNUMBER('IAP Correction'!C13),'IAP Current'!C13*('IAP Correction'!C13+1),'IAP Current'!C13)</f>
        <v>38</v>
      </c>
      <c r="D13" s="27">
        <f>IF(ISNUMBER('IAP Correction'!D13),'IAP Current'!D13*('IAP Correction'!D13+1),'IAP Current'!D13)</f>
        <v>40</v>
      </c>
      <c r="E13" s="27">
        <f>IF(ISNUMBER('IAP Correction'!E13),'IAP Current'!E13*('IAP Correction'!E13+1),'IAP Current'!E13)</f>
        <v>44</v>
      </c>
      <c r="F13" s="27">
        <f>IF(ISNUMBER('IAP Correction'!F13),'IAP Current'!F13*('IAP Correction'!F13+1),'IAP Current'!F13)</f>
        <v>45</v>
      </c>
      <c r="G13" s="27">
        <f>IF(ISNUMBER('IAP Correction'!G13),'IAP Current'!G13*('IAP Correction'!G13+1),'IAP Current'!G13)</f>
        <v>49</v>
      </c>
      <c r="H13" s="27">
        <f>IF(ISNUMBER('IAP Correction'!H13),'IAP Current'!H13*('IAP Correction'!H13+1),'IAP Current'!H13)</f>
        <v>50</v>
      </c>
      <c r="I13" s="27">
        <f>IF(ISNUMBER('IAP Correction'!I13),'IAP Current'!I13*('IAP Correction'!I13+1),'IAP Current'!I13)</f>
        <v>52</v>
      </c>
      <c r="J13" s="27">
        <f>IF(ISNUMBER('IAP Correction'!J13),'IAP Current'!J13*('IAP Correction'!J13+1),'IAP Current'!J13)</f>
        <v>52</v>
      </c>
      <c r="K13" s="27">
        <f>IF(ISNUMBER('IAP Correction'!K13),'IAP Current'!K13*('IAP Correction'!K13+1),'IAP Current'!K13)</f>
        <v>60</v>
      </c>
      <c r="L13" s="27">
        <f>IF(ISNUMBER('IAP Correction'!L13),'IAP Current'!L13*('IAP Correction'!L13+1),'IAP Current'!L13)</f>
        <v>65</v>
      </c>
      <c r="M13" s="27">
        <f>IF(ISNUMBER('IAP Correction'!M13),'IAP Current'!M13*('IAP Correction'!M13+1),'IAP Current'!M13)</f>
        <v>68</v>
      </c>
      <c r="N13" s="27">
        <f>IF(ISNUMBER('IAP Correction'!N13),'IAP Current'!N13*('IAP Correction'!N13+1),'IAP Current'!N13)</f>
        <v>71</v>
      </c>
      <c r="O13" s="27">
        <f>IF(ISNUMBER('IAP Correction'!O13),'IAP Current'!O13*('IAP Correction'!O13+1),'IAP Current'!O13)</f>
        <v>75</v>
      </c>
      <c r="P13" s="27">
        <f>IF(ISNUMBER('IAP Correction'!P13),'IAP Current'!P13*('IAP Correction'!P13+1),'IAP Current'!P13)</f>
        <v>82</v>
      </c>
      <c r="Q13" s="27">
        <f>IF(ISNUMBER('IAP Correction'!Q13),'IAP Current'!Q13*('IAP Correction'!Q13+1),'IAP Current'!Q13)</f>
        <v>87</v>
      </c>
      <c r="R13" s="27">
        <f>IF(ISNUMBER('IAP Correction'!R13),'IAP Current'!R13*('IAP Correction'!R13+1),'IAP Current'!R13)</f>
        <v>94</v>
      </c>
      <c r="S13" s="27">
        <f>IF(ISNUMBER('IAP Correction'!S13),'IAP Current'!S13*('IAP Correction'!S13+1),'IAP Current'!S13)</f>
        <v>101</v>
      </c>
      <c r="T13" s="27">
        <f>IF(ISNUMBER('IAP Correction'!T13),'IAP Current'!T13*('IAP Correction'!T13+1),'IAP Current'!T13)</f>
        <v>112</v>
      </c>
      <c r="U13" s="27">
        <f>IF(ISNUMBER('IAP Correction'!U13),'IAP Current'!U13*('IAP Correction'!U13+1),'IAP Current'!U13)</f>
        <v>140</v>
      </c>
      <c r="V13" s="27">
        <f>IF(ISNUMBER('IAP Correction'!V13),'IAP Current'!V13*('IAP Correction'!V13+1),'IAP Current'!V13)</f>
        <v>189</v>
      </c>
    </row>
    <row r="14" spans="1:22" x14ac:dyDescent="0.25">
      <c r="A14" s="15">
        <v>3200</v>
      </c>
      <c r="B14" s="27">
        <f>IF(ISNUMBER('IAP Correction'!B14),'IAP Current'!B14*('IAP Correction'!B14+1),'IAP Current'!B14)</f>
        <v>36</v>
      </c>
      <c r="C14" s="27">
        <f>IF(ISNUMBER('IAP Correction'!C14),'IAP Current'!C14*('IAP Correction'!C14+1),'IAP Current'!C14)</f>
        <v>38</v>
      </c>
      <c r="D14" s="27">
        <f>IF(ISNUMBER('IAP Correction'!D14),'IAP Current'!D14*('IAP Correction'!D14+1),'IAP Current'!D14)</f>
        <v>40</v>
      </c>
      <c r="E14" s="27">
        <f>IF(ISNUMBER('IAP Correction'!E14),'IAP Current'!E14*('IAP Correction'!E14+1),'IAP Current'!E14)</f>
        <v>44</v>
      </c>
      <c r="F14" s="27">
        <f>IF(ISNUMBER('IAP Correction'!F14),'IAP Current'!F14*('IAP Correction'!F14+1),'IAP Current'!F14)</f>
        <v>47</v>
      </c>
      <c r="G14" s="27">
        <f>IF(ISNUMBER('IAP Correction'!G14),'IAP Current'!G14*('IAP Correction'!G14+1),'IAP Current'!G14)</f>
        <v>50</v>
      </c>
      <c r="H14" s="27">
        <f>IF(ISNUMBER('IAP Correction'!H14),'IAP Current'!H14*('IAP Correction'!H14+1),'IAP Current'!H14)</f>
        <v>51</v>
      </c>
      <c r="I14" s="27">
        <f>IF(ISNUMBER('IAP Correction'!I14),'IAP Current'!I14*('IAP Correction'!I14+1),'IAP Current'!I14)</f>
        <v>52</v>
      </c>
      <c r="J14" s="27">
        <f>IF(ISNUMBER('IAP Correction'!J14),'IAP Current'!J14*('IAP Correction'!J14+1),'IAP Current'!J14)</f>
        <v>55</v>
      </c>
      <c r="K14" s="27">
        <f>IF(ISNUMBER('IAP Correction'!K14),'IAP Current'!K14*('IAP Correction'!K14+1),'IAP Current'!K14)</f>
        <v>61</v>
      </c>
      <c r="L14" s="27">
        <f>IF(ISNUMBER('IAP Correction'!L14),'IAP Current'!L14*('IAP Correction'!L14+1),'IAP Current'!L14)</f>
        <v>67</v>
      </c>
      <c r="M14" s="27">
        <f>IF(ISNUMBER('IAP Correction'!M14),'IAP Current'!M14*('IAP Correction'!M14+1),'IAP Current'!M14)</f>
        <v>70</v>
      </c>
      <c r="N14" s="27">
        <f>IF(ISNUMBER('IAP Correction'!N14),'IAP Current'!N14*('IAP Correction'!N14+1),'IAP Current'!N14)</f>
        <v>74</v>
      </c>
      <c r="O14" s="27">
        <f>IF(ISNUMBER('IAP Correction'!O14),'IAP Current'!O14*('IAP Correction'!O14+1),'IAP Current'!O14)</f>
        <v>78</v>
      </c>
      <c r="P14" s="27">
        <f>IF(ISNUMBER('IAP Correction'!P14),'IAP Current'!P14*('IAP Correction'!P14+1),'IAP Current'!P14)</f>
        <v>84</v>
      </c>
      <c r="Q14" s="27">
        <f>IF(ISNUMBER('IAP Correction'!Q14),'IAP Current'!Q14*('IAP Correction'!Q14+1),'IAP Current'!Q14)</f>
        <v>90</v>
      </c>
      <c r="R14" s="27">
        <f>IF(ISNUMBER('IAP Correction'!R14),'IAP Current'!R14*('IAP Correction'!R14+1),'IAP Current'!R14)</f>
        <v>97</v>
      </c>
      <c r="S14" s="27">
        <f>IF(ISNUMBER('IAP Correction'!S14),'IAP Current'!S14*('IAP Correction'!S14+1),'IAP Current'!S14)</f>
        <v>107</v>
      </c>
      <c r="T14" s="27">
        <f>IF(ISNUMBER('IAP Correction'!T14),'IAP Current'!T14*('IAP Correction'!T14+1),'IAP Current'!T14)</f>
        <v>120</v>
      </c>
      <c r="U14" s="27">
        <f>IF(ISNUMBER('IAP Correction'!U14),'IAP Current'!U14*('IAP Correction'!U14+1),'IAP Current'!U14)</f>
        <v>162</v>
      </c>
      <c r="V14" s="27">
        <f>IF(ISNUMBER('IAP Correction'!V14),'IAP Current'!V14*('IAP Correction'!V14+1),'IAP Current'!V14)</f>
        <v>194</v>
      </c>
    </row>
    <row r="15" spans="1:22" x14ac:dyDescent="0.25">
      <c r="A15" s="15">
        <v>3400</v>
      </c>
      <c r="B15" s="27">
        <f>IF(ISNUMBER('IAP Correction'!B15),'IAP Current'!B15*('IAP Correction'!B15+1),'IAP Current'!B15)</f>
        <v>36</v>
      </c>
      <c r="C15" s="27">
        <f>IF(ISNUMBER('IAP Correction'!C15),'IAP Current'!C15*('IAP Correction'!C15+1),'IAP Current'!C15)</f>
        <v>38</v>
      </c>
      <c r="D15" s="27">
        <f>IF(ISNUMBER('IAP Correction'!D15),'IAP Current'!D15*('IAP Correction'!D15+1),'IAP Current'!D15)</f>
        <v>40</v>
      </c>
      <c r="E15" s="27">
        <f>IF(ISNUMBER('IAP Correction'!E15),'IAP Current'!E15*('IAP Correction'!E15+1),'IAP Current'!E15)</f>
        <v>44</v>
      </c>
      <c r="F15" s="27">
        <f>IF(ISNUMBER('IAP Correction'!F15),'IAP Current'!F15*('IAP Correction'!F15+1),'IAP Current'!F15)</f>
        <v>48</v>
      </c>
      <c r="G15" s="27">
        <f>IF(ISNUMBER('IAP Correction'!G15),'IAP Current'!G15*('IAP Correction'!G15+1),'IAP Current'!G15)</f>
        <v>51</v>
      </c>
      <c r="H15" s="27">
        <f>IF(ISNUMBER('IAP Correction'!H15),'IAP Current'!H15*('IAP Correction'!H15+1),'IAP Current'!H15)</f>
        <v>52</v>
      </c>
      <c r="I15" s="27">
        <f>IF(ISNUMBER('IAP Correction'!I15),'IAP Current'!I15*('IAP Correction'!I15+1),'IAP Current'!I15)</f>
        <v>54</v>
      </c>
      <c r="J15" s="27">
        <f>IF(ISNUMBER('IAP Correction'!J15),'IAP Current'!J15*('IAP Correction'!J15+1),'IAP Current'!J15)</f>
        <v>55</v>
      </c>
      <c r="K15" s="27">
        <f>IF(ISNUMBER('IAP Correction'!K15),'IAP Current'!K15*('IAP Correction'!K15+1),'IAP Current'!K15)</f>
        <v>65</v>
      </c>
      <c r="L15" s="27">
        <f>IF(ISNUMBER('IAP Correction'!L15),'IAP Current'!L15*('IAP Correction'!L15+1),'IAP Current'!L15)</f>
        <v>69</v>
      </c>
      <c r="M15" s="27">
        <f>IF(ISNUMBER('IAP Correction'!M15),'IAP Current'!M15*('IAP Correction'!M15+1),'IAP Current'!M15)</f>
        <v>74</v>
      </c>
      <c r="N15" s="27">
        <f>IF(ISNUMBER('IAP Correction'!N15),'IAP Current'!N15*('IAP Correction'!N15+1),'IAP Current'!N15)</f>
        <v>79</v>
      </c>
      <c r="O15" s="27">
        <f>IF(ISNUMBER('IAP Correction'!O15),'IAP Current'!O15*('IAP Correction'!O15+1),'IAP Current'!O15)</f>
        <v>83</v>
      </c>
      <c r="P15" s="27">
        <f>IF(ISNUMBER('IAP Correction'!P15),'IAP Current'!P15*('IAP Correction'!P15+1),'IAP Current'!P15)</f>
        <v>89</v>
      </c>
      <c r="Q15" s="27">
        <f>IF(ISNUMBER('IAP Correction'!Q15),'IAP Current'!Q15*('IAP Correction'!Q15+1),'IAP Current'!Q15)</f>
        <v>97</v>
      </c>
      <c r="R15" s="27">
        <f>IF(ISNUMBER('IAP Correction'!R15),'IAP Current'!R15*('IAP Correction'!R15+1),'IAP Current'!R15)</f>
        <v>104</v>
      </c>
      <c r="S15" s="27">
        <f>IF(ISNUMBER('IAP Correction'!S15),'IAP Current'!S15*('IAP Correction'!S15+1),'IAP Current'!S15)</f>
        <v>113</v>
      </c>
      <c r="T15" s="27">
        <f>IF(ISNUMBER('IAP Correction'!T15),'IAP Current'!T15*('IAP Correction'!T15+1),'IAP Current'!T15)</f>
        <v>126</v>
      </c>
      <c r="U15" s="27">
        <f>IF(ISNUMBER('IAP Correction'!U15),'IAP Current'!U15*('IAP Correction'!U15+1),'IAP Current'!U15)</f>
        <v>172</v>
      </c>
      <c r="V15" s="27">
        <f>IF(ISNUMBER('IAP Correction'!V15),'IAP Current'!V15*('IAP Correction'!V15+1),'IAP Current'!V15)</f>
        <v>196</v>
      </c>
    </row>
    <row r="16" spans="1:22" x14ac:dyDescent="0.25">
      <c r="A16" s="15">
        <v>3600</v>
      </c>
      <c r="B16" s="27">
        <f>IF(ISNUMBER('IAP Correction'!B16),'IAP Current'!B16*('IAP Correction'!B16+1),'IAP Current'!B16)</f>
        <v>36</v>
      </c>
      <c r="C16" s="27">
        <f>IF(ISNUMBER('IAP Correction'!C16),'IAP Current'!C16*('IAP Correction'!C16+1),'IAP Current'!C16)</f>
        <v>38</v>
      </c>
      <c r="D16" s="27">
        <f>IF(ISNUMBER('IAP Correction'!D16),'IAP Current'!D16*('IAP Correction'!D16+1),'IAP Current'!D16)</f>
        <v>41</v>
      </c>
      <c r="E16" s="27">
        <f>IF(ISNUMBER('IAP Correction'!E16),'IAP Current'!E16*('IAP Correction'!E16+1),'IAP Current'!E16)</f>
        <v>47</v>
      </c>
      <c r="F16" s="27">
        <f>IF(ISNUMBER('IAP Correction'!F16),'IAP Current'!F16*('IAP Correction'!F16+1),'IAP Current'!F16)</f>
        <v>52</v>
      </c>
      <c r="G16" s="27">
        <f>IF(ISNUMBER('IAP Correction'!G16),'IAP Current'!G16*('IAP Correction'!G16+1),'IAP Current'!G16)</f>
        <v>54</v>
      </c>
      <c r="H16" s="27">
        <f>IF(ISNUMBER('IAP Correction'!H16),'IAP Current'!H16*('IAP Correction'!H16+1),'IAP Current'!H16)</f>
        <v>55</v>
      </c>
      <c r="I16" s="27">
        <f>IF(ISNUMBER('IAP Correction'!I16),'IAP Current'!I16*('IAP Correction'!I16+1),'IAP Current'!I16)</f>
        <v>60</v>
      </c>
      <c r="J16" s="27">
        <f>IF(ISNUMBER('IAP Correction'!J16),'IAP Current'!J16*('IAP Correction'!J16+1),'IAP Current'!J16)</f>
        <v>61</v>
      </c>
      <c r="K16" s="27">
        <f>IF(ISNUMBER('IAP Correction'!K16),'IAP Current'!K16*('IAP Correction'!K16+1),'IAP Current'!K16)</f>
        <v>69</v>
      </c>
      <c r="L16" s="27">
        <f>IF(ISNUMBER('IAP Correction'!L16),'IAP Current'!L16*('IAP Correction'!L16+1),'IAP Current'!L16)</f>
        <v>74</v>
      </c>
      <c r="M16" s="27">
        <f>IF(ISNUMBER('IAP Correction'!M16),'IAP Current'!M16*('IAP Correction'!M16+1),'IAP Current'!M16)</f>
        <v>79</v>
      </c>
      <c r="N16" s="27">
        <f>IF(ISNUMBER('IAP Correction'!N16),'IAP Current'!N16*('IAP Correction'!N16+1),'IAP Current'!N16)</f>
        <v>84</v>
      </c>
      <c r="O16" s="27">
        <f>IF(ISNUMBER('IAP Correction'!O16),'IAP Current'!O16*('IAP Correction'!O16+1),'IAP Current'!O16)</f>
        <v>88</v>
      </c>
      <c r="P16" s="27">
        <f>IF(ISNUMBER('IAP Correction'!P16),'IAP Current'!P16*('IAP Correction'!P16+1),'IAP Current'!P16)</f>
        <v>94</v>
      </c>
      <c r="Q16" s="27">
        <f>IF(ISNUMBER('IAP Correction'!Q16),'IAP Current'!Q16*('IAP Correction'!Q16+1),'IAP Current'!Q16)</f>
        <v>102</v>
      </c>
      <c r="R16" s="27">
        <f>IF(ISNUMBER('IAP Correction'!R16),'IAP Current'!R16*('IAP Correction'!R16+1),'IAP Current'!R16)</f>
        <v>109</v>
      </c>
      <c r="S16" s="27">
        <f>IF(ISNUMBER('IAP Correction'!S16),'IAP Current'!S16*('IAP Correction'!S16+1),'IAP Current'!S16)</f>
        <v>119</v>
      </c>
      <c r="T16" s="27">
        <f>IF(ISNUMBER('IAP Correction'!T16),'IAP Current'!T16*('IAP Correction'!T16+1),'IAP Current'!T16)</f>
        <v>134</v>
      </c>
      <c r="U16" s="27">
        <f>IF(ISNUMBER('IAP Correction'!U16),'IAP Current'!U16*('IAP Correction'!U16+1),'IAP Current'!U16)</f>
        <v>178</v>
      </c>
      <c r="V16" s="27">
        <f>IF(ISNUMBER('IAP Correction'!V16),'IAP Current'!V16*('IAP Correction'!V16+1),'IAP Current'!V16)</f>
        <v>198</v>
      </c>
    </row>
    <row r="17" spans="1:22" x14ac:dyDescent="0.25">
      <c r="A17" s="15">
        <v>3800</v>
      </c>
      <c r="B17" s="27">
        <f>IF(ISNUMBER('IAP Correction'!B17),'IAP Current'!B17*('IAP Correction'!B17+1),'IAP Current'!B17)</f>
        <v>36</v>
      </c>
      <c r="C17" s="27">
        <f>IF(ISNUMBER('IAP Correction'!C17),'IAP Current'!C17*('IAP Correction'!C17+1),'IAP Current'!C17)</f>
        <v>40</v>
      </c>
      <c r="D17" s="27">
        <f>IF(ISNUMBER('IAP Correction'!D17),'IAP Current'!D17*('IAP Correction'!D17+1),'IAP Current'!D17)</f>
        <v>41</v>
      </c>
      <c r="E17" s="27">
        <f>IF(ISNUMBER('IAP Correction'!E17),'IAP Current'!E17*('IAP Correction'!E17+1),'IAP Current'!E17)</f>
        <v>48</v>
      </c>
      <c r="F17" s="27">
        <f>IF(ISNUMBER('IAP Correction'!F17),'IAP Current'!F17*('IAP Correction'!F17+1),'IAP Current'!F17)</f>
        <v>52</v>
      </c>
      <c r="G17" s="27">
        <f>IF(ISNUMBER('IAP Correction'!G17),'IAP Current'!G17*('IAP Correction'!G17+1),'IAP Current'!G17)</f>
        <v>55</v>
      </c>
      <c r="H17" s="27">
        <f>IF(ISNUMBER('IAP Correction'!H17),'IAP Current'!H17*('IAP Correction'!H17+1),'IAP Current'!H17)</f>
        <v>58</v>
      </c>
      <c r="I17" s="27">
        <f>IF(ISNUMBER('IAP Correction'!I17),'IAP Current'!I17*('IAP Correction'!I17+1),'IAP Current'!I17)</f>
        <v>64</v>
      </c>
      <c r="J17" s="27">
        <f>IF(ISNUMBER('IAP Correction'!J17),'IAP Current'!J17*('IAP Correction'!J17+1),'IAP Current'!J17)</f>
        <v>69</v>
      </c>
      <c r="K17" s="27">
        <f>IF(ISNUMBER('IAP Correction'!K17),'IAP Current'!K17*('IAP Correction'!K17+1),'IAP Current'!K17)</f>
        <v>74</v>
      </c>
      <c r="L17" s="27">
        <f>IF(ISNUMBER('IAP Correction'!L17),'IAP Current'!L17*('IAP Correction'!L17+1),'IAP Current'!L17)</f>
        <v>79</v>
      </c>
      <c r="M17" s="27">
        <f>IF(ISNUMBER('IAP Correction'!M17),'IAP Current'!M17*('IAP Correction'!M17+1),'IAP Current'!M17)</f>
        <v>84</v>
      </c>
      <c r="N17" s="27">
        <f>IF(ISNUMBER('IAP Correction'!N17),'IAP Current'!N17*('IAP Correction'!N17+1),'IAP Current'!N17)</f>
        <v>88</v>
      </c>
      <c r="O17" s="27">
        <f>IF(ISNUMBER('IAP Correction'!O17),'IAP Current'!O17*('IAP Correction'!O17+1),'IAP Current'!O17)</f>
        <v>92</v>
      </c>
      <c r="P17" s="27">
        <f>IF(ISNUMBER('IAP Correction'!P17),'IAP Current'!P17*('IAP Correction'!P17+1),'IAP Current'!P17)</f>
        <v>99</v>
      </c>
      <c r="Q17" s="27">
        <f>IF(ISNUMBER('IAP Correction'!Q17),'IAP Current'!Q17*('IAP Correction'!Q17+1),'IAP Current'!Q17)</f>
        <v>106</v>
      </c>
      <c r="R17" s="27">
        <f>IF(ISNUMBER('IAP Correction'!R17),'IAP Current'!R17*('IAP Correction'!R17+1),'IAP Current'!R17)</f>
        <v>113</v>
      </c>
      <c r="S17" s="27">
        <f>IF(ISNUMBER('IAP Correction'!S17),'IAP Current'!S17*('IAP Correction'!S17+1),'IAP Current'!S17)</f>
        <v>124</v>
      </c>
      <c r="T17" s="27">
        <f>IF(ISNUMBER('IAP Correction'!T17),'IAP Current'!T17*('IAP Correction'!T17+1),'IAP Current'!T17)</f>
        <v>139</v>
      </c>
      <c r="U17" s="27">
        <f>IF(ISNUMBER('IAP Correction'!U17),'IAP Current'!U17*('IAP Correction'!U17+1),'IAP Current'!U17)</f>
        <v>178</v>
      </c>
      <c r="V17" s="27">
        <f>IF(ISNUMBER('IAP Correction'!V17),'IAP Current'!V17*('IAP Correction'!V17+1),'IAP Current'!V17)</f>
        <v>204</v>
      </c>
    </row>
    <row r="18" spans="1:22" x14ac:dyDescent="0.25">
      <c r="A18" s="15">
        <v>4000</v>
      </c>
      <c r="B18" s="27">
        <f>IF(ISNUMBER('IAP Correction'!B18),'IAP Current'!B18*('IAP Correction'!B18+1),'IAP Current'!B18)</f>
        <v>36</v>
      </c>
      <c r="C18" s="27">
        <f>IF(ISNUMBER('IAP Correction'!C18),'IAP Current'!C18*('IAP Correction'!C18+1),'IAP Current'!C18)</f>
        <v>40</v>
      </c>
      <c r="D18" s="27">
        <f>IF(ISNUMBER('IAP Correction'!D18),'IAP Current'!D18*('IAP Correction'!D18+1),'IAP Current'!D18)</f>
        <v>41</v>
      </c>
      <c r="E18" s="27">
        <f>IF(ISNUMBER('IAP Correction'!E18),'IAP Current'!E18*('IAP Correction'!E18+1),'IAP Current'!E18)</f>
        <v>50</v>
      </c>
      <c r="F18" s="27">
        <f>IF(ISNUMBER('IAP Correction'!F18),'IAP Current'!F18*('IAP Correction'!F18+1),'IAP Current'!F18)</f>
        <v>55</v>
      </c>
      <c r="G18" s="27">
        <f>IF(ISNUMBER('IAP Correction'!G18),'IAP Current'!G18*('IAP Correction'!G18+1),'IAP Current'!G18)</f>
        <v>58</v>
      </c>
      <c r="H18" s="27">
        <f>IF(ISNUMBER('IAP Correction'!H18),'IAP Current'!H18*('IAP Correction'!H18+1),'IAP Current'!H18)</f>
        <v>65</v>
      </c>
      <c r="I18" s="27">
        <f>IF(ISNUMBER('IAP Correction'!I18),'IAP Current'!I18*('IAP Correction'!I18+1),'IAP Current'!I18)</f>
        <v>68</v>
      </c>
      <c r="J18" s="27">
        <f>IF(ISNUMBER('IAP Correction'!J18),'IAP Current'!J18*('IAP Correction'!J18+1),'IAP Current'!J18)</f>
        <v>74</v>
      </c>
      <c r="K18" s="27">
        <f>IF(ISNUMBER('IAP Correction'!K18),'IAP Current'!K18*('IAP Correction'!K18+1),'IAP Current'!K18)</f>
        <v>79</v>
      </c>
      <c r="L18" s="27">
        <f>IF(ISNUMBER('IAP Correction'!L18),'IAP Current'!L18*('IAP Correction'!L18+1),'IAP Current'!L18)</f>
        <v>84</v>
      </c>
      <c r="M18" s="27">
        <f>IF(ISNUMBER('IAP Correction'!M18),'IAP Current'!M18*('IAP Correction'!M18+1),'IAP Current'!M18)</f>
        <v>89</v>
      </c>
      <c r="N18" s="27">
        <f>IF(ISNUMBER('IAP Correction'!N18),'IAP Current'!N18*('IAP Correction'!N18+1),'IAP Current'!N18)</f>
        <v>92</v>
      </c>
      <c r="O18" s="27">
        <f>IF(ISNUMBER('IAP Correction'!O18),'IAP Current'!O18*('IAP Correction'!O18+1),'IAP Current'!O18)</f>
        <v>97</v>
      </c>
      <c r="P18" s="27">
        <f>IF(ISNUMBER('IAP Correction'!P18),'IAP Current'!P18*('IAP Correction'!P18+1),'IAP Current'!P18)</f>
        <v>103</v>
      </c>
      <c r="Q18" s="27">
        <f>IF(ISNUMBER('IAP Correction'!Q18),'IAP Current'!Q18*('IAP Correction'!Q18+1),'IAP Current'!Q18)</f>
        <v>109</v>
      </c>
      <c r="R18" s="27">
        <f>IF(ISNUMBER('IAP Correction'!R18),'IAP Current'!R18*('IAP Correction'!R18+1),'IAP Current'!R18)</f>
        <v>117</v>
      </c>
      <c r="S18" s="27">
        <f>IF(ISNUMBER('IAP Correction'!S18),'IAP Current'!S18*('IAP Correction'!S18+1),'IAP Current'!S18)</f>
        <v>129</v>
      </c>
      <c r="T18" s="27">
        <f>IF(ISNUMBER('IAP Correction'!T18),'IAP Current'!T18*('IAP Correction'!T18+1),'IAP Current'!T18)</f>
        <v>143</v>
      </c>
      <c r="U18" s="27">
        <f>IF(ISNUMBER('IAP Correction'!U18),'IAP Current'!U18*('IAP Correction'!U18+1),'IAP Current'!U18)</f>
        <v>176</v>
      </c>
      <c r="V18" s="27">
        <f>IF(ISNUMBER('IAP Correction'!V18),'IAP Current'!V18*('IAP Correction'!V18+1),'IAP Current'!V18)</f>
        <v>208</v>
      </c>
    </row>
    <row r="19" spans="1:22" x14ac:dyDescent="0.25">
      <c r="A19" s="15">
        <v>4200</v>
      </c>
      <c r="B19" s="27">
        <f>IF(ISNUMBER('IAP Correction'!B19),'IAP Current'!B19*('IAP Correction'!B19+1),'IAP Current'!B19)</f>
        <v>36</v>
      </c>
      <c r="C19" s="27">
        <f>IF(ISNUMBER('IAP Correction'!C19),'IAP Current'!C19*('IAP Correction'!C19+1),'IAP Current'!C19)</f>
        <v>40</v>
      </c>
      <c r="D19" s="27">
        <f>IF(ISNUMBER('IAP Correction'!D19),'IAP Current'!D19*('IAP Correction'!D19+1),'IAP Current'!D19)</f>
        <v>41</v>
      </c>
      <c r="E19" s="27">
        <f>IF(ISNUMBER('IAP Correction'!E19),'IAP Current'!E19*('IAP Correction'!E19+1),'IAP Current'!E19)</f>
        <v>52</v>
      </c>
      <c r="F19" s="27">
        <f>IF(ISNUMBER('IAP Correction'!F19),'IAP Current'!F19*('IAP Correction'!F19+1),'IAP Current'!F19)</f>
        <v>58</v>
      </c>
      <c r="G19" s="27">
        <f>IF(ISNUMBER('IAP Correction'!G19),'IAP Current'!G19*('IAP Correction'!G19+1),'IAP Current'!G19)</f>
        <v>64</v>
      </c>
      <c r="H19" s="27">
        <f>IF(ISNUMBER('IAP Correction'!H19),'IAP Current'!H19*('IAP Correction'!H19+1),'IAP Current'!H19)</f>
        <v>68</v>
      </c>
      <c r="I19" s="27">
        <f>IF(ISNUMBER('IAP Correction'!I19),'IAP Current'!I19*('IAP Correction'!I19+1),'IAP Current'!I19)</f>
        <v>72</v>
      </c>
      <c r="J19" s="27">
        <f>IF(ISNUMBER('IAP Correction'!J19),'IAP Current'!J19*('IAP Correction'!J19+1),'IAP Current'!J19)</f>
        <v>76</v>
      </c>
      <c r="K19" s="27">
        <f>IF(ISNUMBER('IAP Correction'!K19),'IAP Current'!K19*('IAP Correction'!K19+1),'IAP Current'!K19)</f>
        <v>83</v>
      </c>
      <c r="L19" s="27">
        <f>IF(ISNUMBER('IAP Correction'!L19),'IAP Current'!L19*('IAP Correction'!L19+1),'IAP Current'!L19)</f>
        <v>87</v>
      </c>
      <c r="M19" s="27">
        <f>IF(ISNUMBER('IAP Correction'!M19),'IAP Current'!M19*('IAP Correction'!M19+1),'IAP Current'!M19)</f>
        <v>91</v>
      </c>
      <c r="N19" s="27">
        <f>IF(ISNUMBER('IAP Correction'!N19),'IAP Current'!N19*('IAP Correction'!N19+1),'IAP Current'!N19)</f>
        <v>96</v>
      </c>
      <c r="O19" s="27">
        <f>IF(ISNUMBER('IAP Correction'!O19),'IAP Current'!O19*('IAP Correction'!O19+1),'IAP Current'!O19)</f>
        <v>99</v>
      </c>
      <c r="P19" s="27">
        <f>IF(ISNUMBER('IAP Correction'!P19),'IAP Current'!P19*('IAP Correction'!P19+1),'IAP Current'!P19)</f>
        <v>104</v>
      </c>
      <c r="Q19" s="27">
        <f>IF(ISNUMBER('IAP Correction'!Q19),'IAP Current'!Q19*('IAP Correction'!Q19+1),'IAP Current'!Q19)</f>
        <v>112</v>
      </c>
      <c r="R19" s="27">
        <f>IF(ISNUMBER('IAP Correction'!R19),'IAP Current'!R19*('IAP Correction'!R19+1),'IAP Current'!R19)</f>
        <v>118</v>
      </c>
      <c r="S19" s="27">
        <f>IF(ISNUMBER('IAP Correction'!S19),'IAP Current'!S19*('IAP Correction'!S19+1),'IAP Current'!S19)</f>
        <v>129</v>
      </c>
      <c r="T19" s="27">
        <f>IF(ISNUMBER('IAP Correction'!T19),'IAP Current'!T19*('IAP Correction'!T19+1),'IAP Current'!T19)</f>
        <v>143</v>
      </c>
      <c r="U19" s="27">
        <f>IF(ISNUMBER('IAP Correction'!U19),'IAP Current'!U19*('IAP Correction'!U19+1),'IAP Current'!U19)</f>
        <v>172</v>
      </c>
      <c r="V19" s="27">
        <f>IF(ISNUMBER('IAP Correction'!V19),'IAP Current'!V19*('IAP Correction'!V19+1),'IAP Current'!V19)</f>
        <v>208</v>
      </c>
    </row>
    <row r="20" spans="1:22" x14ac:dyDescent="0.25">
      <c r="A20" s="15">
        <v>4400</v>
      </c>
      <c r="B20" s="27">
        <f>IF(ISNUMBER('IAP Correction'!B20),'IAP Current'!B20*('IAP Correction'!B20+1),'IAP Current'!B20)</f>
        <v>36</v>
      </c>
      <c r="C20" s="27">
        <f>IF(ISNUMBER('IAP Correction'!C20),'IAP Current'!C20*('IAP Correction'!C20+1),'IAP Current'!C20)</f>
        <v>38</v>
      </c>
      <c r="D20" s="27">
        <f>IF(ISNUMBER('IAP Correction'!D20),'IAP Current'!D20*('IAP Correction'!D20+1),'IAP Current'!D20)</f>
        <v>41</v>
      </c>
      <c r="E20" s="27">
        <f>IF(ISNUMBER('IAP Correction'!E20),'IAP Current'!E20*('IAP Correction'!E20+1),'IAP Current'!E20)</f>
        <v>58</v>
      </c>
      <c r="F20" s="27">
        <f>IF(ISNUMBER('IAP Correction'!F20),'IAP Current'!F20*('IAP Correction'!F20+1),'IAP Current'!F20)</f>
        <v>64</v>
      </c>
      <c r="G20" s="27">
        <f>IF(ISNUMBER('IAP Correction'!G20),'IAP Current'!G20*('IAP Correction'!G20+1),'IAP Current'!G20)</f>
        <v>67</v>
      </c>
      <c r="H20" s="27">
        <f>IF(ISNUMBER('IAP Correction'!H20),'IAP Current'!H20*('IAP Correction'!H20+1),'IAP Current'!H20)</f>
        <v>70</v>
      </c>
      <c r="I20" s="27">
        <f>IF(ISNUMBER('IAP Correction'!I20),'IAP Current'!I20*('IAP Correction'!I20+1),'IAP Current'!I20)</f>
        <v>75</v>
      </c>
      <c r="J20" s="27">
        <f>IF(ISNUMBER('IAP Correction'!J20),'IAP Current'!J20*('IAP Correction'!J20+1),'IAP Current'!J20)</f>
        <v>79</v>
      </c>
      <c r="K20" s="27">
        <f>IF(ISNUMBER('IAP Correction'!K20),'IAP Current'!K20*('IAP Correction'!K20+1),'IAP Current'!K20)</f>
        <v>84</v>
      </c>
      <c r="L20" s="27">
        <f>IF(ISNUMBER('IAP Correction'!L20),'IAP Current'!L20*('IAP Correction'!L20+1),'IAP Current'!L20)</f>
        <v>88</v>
      </c>
      <c r="M20" s="27">
        <f>IF(ISNUMBER('IAP Correction'!M20),'IAP Current'!M20*('IAP Correction'!M20+1),'IAP Current'!M20)</f>
        <v>92</v>
      </c>
      <c r="N20" s="27">
        <f>IF(ISNUMBER('IAP Correction'!N20),'IAP Current'!N20*('IAP Correction'!N20+1),'IAP Current'!N20)</f>
        <v>97</v>
      </c>
      <c r="O20" s="27">
        <f>IF(ISNUMBER('IAP Correction'!O20),'IAP Current'!O20*('IAP Correction'!O20+1),'IAP Current'!O20)</f>
        <v>99</v>
      </c>
      <c r="P20" s="27">
        <f>IF(ISNUMBER('IAP Correction'!P20),'IAP Current'!P20*('IAP Correction'!P20+1),'IAP Current'!P20)</f>
        <v>107</v>
      </c>
      <c r="Q20" s="27">
        <f>IF(ISNUMBER('IAP Correction'!Q20),'IAP Current'!Q20*('IAP Correction'!Q20+1),'IAP Current'!Q20)</f>
        <v>112</v>
      </c>
      <c r="R20" s="27">
        <f>IF(ISNUMBER('IAP Correction'!R20),'IAP Current'!R20*('IAP Correction'!R20+1),'IAP Current'!R20)</f>
        <v>118</v>
      </c>
      <c r="S20" s="27">
        <f>IF(ISNUMBER('IAP Correction'!S20),'IAP Current'!S20*('IAP Correction'!S20+1),'IAP Current'!S20)</f>
        <v>128</v>
      </c>
      <c r="T20" s="27">
        <f>IF(ISNUMBER('IAP Correction'!T20),'IAP Current'!T20*('IAP Correction'!T20+1),'IAP Current'!T20)</f>
        <v>142</v>
      </c>
      <c r="U20" s="27">
        <f>IF(ISNUMBER('IAP Correction'!U20),'IAP Current'!U20*('IAP Correction'!U20+1),'IAP Current'!U20)</f>
        <v>170</v>
      </c>
      <c r="V20" s="27">
        <f>IF(ISNUMBER('IAP Correction'!V20),'IAP Current'!V20*('IAP Correction'!V20+1),'IAP Current'!V20)</f>
        <v>208</v>
      </c>
    </row>
    <row r="21" spans="1:22" x14ac:dyDescent="0.25">
      <c r="A21" s="15">
        <v>4600</v>
      </c>
      <c r="B21" s="27">
        <f>IF(ISNUMBER('IAP Correction'!B21),'IAP Current'!B21*('IAP Correction'!B21+1),'IAP Current'!B21)</f>
        <v>36</v>
      </c>
      <c r="C21" s="27">
        <f>IF(ISNUMBER('IAP Correction'!C21),'IAP Current'!C21*('IAP Correction'!C21+1),'IAP Current'!C21)</f>
        <v>38</v>
      </c>
      <c r="D21" s="27">
        <f>IF(ISNUMBER('IAP Correction'!D21),'IAP Current'!D21*('IAP Correction'!D21+1),'IAP Current'!D21)</f>
        <v>41</v>
      </c>
      <c r="E21" s="27">
        <f>IF(ISNUMBER('IAP Correction'!E21),'IAP Current'!E21*('IAP Correction'!E21+1),'IAP Current'!E21)</f>
        <v>58</v>
      </c>
      <c r="F21" s="27">
        <f>IF(ISNUMBER('IAP Correction'!F21),'IAP Current'!F21*('IAP Correction'!F21+1),'IAP Current'!F21)</f>
        <v>64</v>
      </c>
      <c r="G21" s="27">
        <f>IF(ISNUMBER('IAP Correction'!G21),'IAP Current'!G21*('IAP Correction'!G21+1),'IAP Current'!G21)</f>
        <v>66</v>
      </c>
      <c r="H21" s="27">
        <f>IF(ISNUMBER('IAP Correction'!H21),'IAP Current'!H21*('IAP Correction'!H21+1),'IAP Current'!H21)</f>
        <v>69</v>
      </c>
      <c r="I21" s="27">
        <f>IF(ISNUMBER('IAP Correction'!I21),'IAP Current'!I21*('IAP Correction'!I21+1),'IAP Current'!I21)</f>
        <v>74</v>
      </c>
      <c r="J21" s="27">
        <f>IF(ISNUMBER('IAP Correction'!J21),'IAP Current'!J21*('IAP Correction'!J21+1),'IAP Current'!J21)</f>
        <v>76</v>
      </c>
      <c r="K21" s="27">
        <f>IF(ISNUMBER('IAP Correction'!K21),'IAP Current'!K21*('IAP Correction'!K21+1),'IAP Current'!K21)</f>
        <v>82</v>
      </c>
      <c r="L21" s="27">
        <f>IF(ISNUMBER('IAP Correction'!L21),'IAP Current'!L21*('IAP Correction'!L21+1),'IAP Current'!L21)</f>
        <v>84</v>
      </c>
      <c r="M21" s="27">
        <f>IF(ISNUMBER('IAP Correction'!M21),'IAP Current'!M21*('IAP Correction'!M21+1),'IAP Current'!M21)</f>
        <v>89</v>
      </c>
      <c r="N21" s="27">
        <f>IF(ISNUMBER('IAP Correction'!N21),'IAP Current'!N21*('IAP Correction'!N21+1),'IAP Current'!N21)</f>
        <v>92</v>
      </c>
      <c r="O21" s="27">
        <f>IF(ISNUMBER('IAP Correction'!O21),'IAP Current'!O21*('IAP Correction'!O21+1),'IAP Current'!O21)</f>
        <v>97</v>
      </c>
      <c r="P21" s="27">
        <f>IF(ISNUMBER('IAP Correction'!P21),'IAP Current'!P21*('IAP Correction'!P21+1),'IAP Current'!P21)</f>
        <v>102</v>
      </c>
      <c r="Q21" s="27">
        <f>IF(ISNUMBER('IAP Correction'!Q21),'IAP Current'!Q21*('IAP Correction'!Q21+1),'IAP Current'!Q21)</f>
        <v>107</v>
      </c>
      <c r="R21" s="27">
        <f>IF(ISNUMBER('IAP Correction'!R21),'IAP Current'!R21*('IAP Correction'!R21+1),'IAP Current'!R21)</f>
        <v>114</v>
      </c>
      <c r="S21" s="27">
        <f>IF(ISNUMBER('IAP Correction'!S21),'IAP Current'!S21*('IAP Correction'!S21+1),'IAP Current'!S21)</f>
        <v>123</v>
      </c>
      <c r="T21" s="27">
        <f>IF(ISNUMBER('IAP Correction'!T21),'IAP Current'!T21*('IAP Correction'!T21+1),'IAP Current'!T21)</f>
        <v>140</v>
      </c>
      <c r="U21" s="27">
        <f>IF(ISNUMBER('IAP Correction'!U21),'IAP Current'!U21*('IAP Correction'!U21+1),'IAP Current'!U21)</f>
        <v>170</v>
      </c>
      <c r="V21" s="27">
        <f>IF(ISNUMBER('IAP Correction'!V21),'IAP Current'!V21*('IAP Correction'!V21+1),'IAP Current'!V21)</f>
        <v>204</v>
      </c>
    </row>
    <row r="22" spans="1:22" x14ac:dyDescent="0.25">
      <c r="A22" s="15">
        <v>4800</v>
      </c>
      <c r="B22" s="27">
        <f>IF(ISNUMBER('IAP Correction'!B22),'IAP Current'!B22*('IAP Correction'!B22+1),'IAP Current'!B22)</f>
        <v>36</v>
      </c>
      <c r="C22" s="27">
        <f>IF(ISNUMBER('IAP Correction'!C22),'IAP Current'!C22*('IAP Correction'!C22+1),'IAP Current'!C22)</f>
        <v>41</v>
      </c>
      <c r="D22" s="27">
        <f>IF(ISNUMBER('IAP Correction'!D22),'IAP Current'!D22*('IAP Correction'!D22+1),'IAP Current'!D22)</f>
        <v>41</v>
      </c>
      <c r="E22" s="27">
        <f>IF(ISNUMBER('IAP Correction'!E22),'IAP Current'!E22*('IAP Correction'!E22+1),'IAP Current'!E22)</f>
        <v>57</v>
      </c>
      <c r="F22" s="27">
        <f>IF(ISNUMBER('IAP Correction'!F22),'IAP Current'!F22*('IAP Correction'!F22+1),'IAP Current'!F22)</f>
        <v>60</v>
      </c>
      <c r="G22" s="27">
        <f>IF(ISNUMBER('IAP Correction'!G22),'IAP Current'!G22*('IAP Correction'!G22+1),'IAP Current'!G22)</f>
        <v>65</v>
      </c>
      <c r="H22" s="27">
        <f>IF(ISNUMBER('IAP Correction'!H22),'IAP Current'!H22*('IAP Correction'!H22+1),'IAP Current'!H22)</f>
        <v>67</v>
      </c>
      <c r="I22" s="27">
        <f>IF(ISNUMBER('IAP Correction'!I22),'IAP Current'!I22*('IAP Correction'!I22+1),'IAP Current'!I22)</f>
        <v>70</v>
      </c>
      <c r="J22" s="27">
        <f>IF(ISNUMBER('IAP Correction'!J22),'IAP Current'!J22*('IAP Correction'!J22+1),'IAP Current'!J22)</f>
        <v>72</v>
      </c>
      <c r="K22" s="27">
        <f>IF(ISNUMBER('IAP Correction'!K22),'IAP Current'!K22*('IAP Correction'!K22+1),'IAP Current'!K22)</f>
        <v>76</v>
      </c>
      <c r="L22" s="27">
        <f>IF(ISNUMBER('IAP Correction'!L22),'IAP Current'!L22*('IAP Correction'!L22+1),'IAP Current'!L22)</f>
        <v>80</v>
      </c>
      <c r="M22" s="27">
        <f>IF(ISNUMBER('IAP Correction'!M22),'IAP Current'!M22*('IAP Correction'!M22+1),'IAP Current'!M22)</f>
        <v>84</v>
      </c>
      <c r="N22" s="27">
        <f>IF(ISNUMBER('IAP Correction'!N22),'IAP Current'!N22*('IAP Correction'!N22+1),'IAP Current'!N22)</f>
        <v>87</v>
      </c>
      <c r="O22" s="27">
        <f>IF(ISNUMBER('IAP Correction'!O22),'IAP Current'!O22*('IAP Correction'!O22+1),'IAP Current'!O22)</f>
        <v>92</v>
      </c>
      <c r="P22" s="27">
        <f>IF(ISNUMBER('IAP Correction'!P22),'IAP Current'!P22*('IAP Correction'!P22+1),'IAP Current'!P22)</f>
        <v>98</v>
      </c>
      <c r="Q22" s="27">
        <f>IF(ISNUMBER('IAP Correction'!Q22),'IAP Current'!Q22*('IAP Correction'!Q22+1),'IAP Current'!Q22)</f>
        <v>102</v>
      </c>
      <c r="R22" s="27">
        <f>IF(ISNUMBER('IAP Correction'!R22),'IAP Current'!R22*('IAP Correction'!R22+1),'IAP Current'!R22)</f>
        <v>109</v>
      </c>
      <c r="S22" s="27">
        <f>IF(ISNUMBER('IAP Correction'!S22),'IAP Current'!S22*('IAP Correction'!S22+1),'IAP Current'!S22)</f>
        <v>119</v>
      </c>
      <c r="T22" s="27">
        <f>IF(ISNUMBER('IAP Correction'!T22),'IAP Current'!T22*('IAP Correction'!T22+1),'IAP Current'!T22)</f>
        <v>138</v>
      </c>
      <c r="U22" s="27">
        <f>IF(ISNUMBER('IAP Correction'!U22),'IAP Current'!U22*('IAP Correction'!U22+1),'IAP Current'!U22)</f>
        <v>172</v>
      </c>
      <c r="V22" s="27">
        <f>IF(ISNUMBER('IAP Correction'!V22),'IAP Current'!V22*('IAP Correction'!V22+1),'IAP Current'!V22)</f>
        <v>202</v>
      </c>
    </row>
    <row r="23" spans="1:22" x14ac:dyDescent="0.25">
      <c r="A23" s="15">
        <v>5000</v>
      </c>
      <c r="B23" s="27">
        <f>IF(ISNUMBER('IAP Correction'!B23),'IAP Current'!B23*('IAP Correction'!B23+1),'IAP Current'!B23)</f>
        <v>34</v>
      </c>
      <c r="C23" s="27">
        <f>IF(ISNUMBER('IAP Correction'!C23),'IAP Current'!C23*('IAP Correction'!C23+1),'IAP Current'!C23)</f>
        <v>36</v>
      </c>
      <c r="D23" s="27">
        <f>IF(ISNUMBER('IAP Correction'!D23),'IAP Current'!D23*('IAP Correction'!D23+1),'IAP Current'!D23)</f>
        <v>41</v>
      </c>
      <c r="E23" s="27">
        <f>IF(ISNUMBER('IAP Correction'!E23),'IAP Current'!E23*('IAP Correction'!E23+1),'IAP Current'!E23)</f>
        <v>52</v>
      </c>
      <c r="F23" s="27">
        <f>IF(ISNUMBER('IAP Correction'!F23),'IAP Current'!F23*('IAP Correction'!F23+1),'IAP Current'!F23)</f>
        <v>57</v>
      </c>
      <c r="G23" s="27">
        <f>IF(ISNUMBER('IAP Correction'!G23),'IAP Current'!G23*('IAP Correction'!G23+1),'IAP Current'!G23)</f>
        <v>63</v>
      </c>
      <c r="H23" s="27">
        <f>IF(ISNUMBER('IAP Correction'!H23),'IAP Current'!H23*('IAP Correction'!H23+1),'IAP Current'!H23)</f>
        <v>65</v>
      </c>
      <c r="I23" s="27">
        <f>IF(ISNUMBER('IAP Correction'!I23),'IAP Current'!I23*('IAP Correction'!I23+1),'IAP Current'!I23)</f>
        <v>68</v>
      </c>
      <c r="J23" s="27">
        <f>IF(ISNUMBER('IAP Correction'!J23),'IAP Current'!J23*('IAP Correction'!J23+1),'IAP Current'!J23)</f>
        <v>70</v>
      </c>
      <c r="K23" s="27">
        <f>IF(ISNUMBER('IAP Correction'!K23),'IAP Current'!K23*('IAP Correction'!K23+1),'IAP Current'!K23)</f>
        <v>74</v>
      </c>
      <c r="L23" s="27">
        <f>IF(ISNUMBER('IAP Correction'!L23),'IAP Current'!L23*('IAP Correction'!L23+1),'IAP Current'!L23)</f>
        <v>78</v>
      </c>
      <c r="M23" s="27">
        <f>IF(ISNUMBER('IAP Correction'!M23),'IAP Current'!M23*('IAP Correction'!M23+1),'IAP Current'!M23)</f>
        <v>82</v>
      </c>
      <c r="N23" s="27">
        <f>IF(ISNUMBER('IAP Correction'!N23),'IAP Current'!N23*('IAP Correction'!N23+1),'IAP Current'!N23)</f>
        <v>86</v>
      </c>
      <c r="O23" s="27">
        <f>IF(ISNUMBER('IAP Correction'!O23),'IAP Current'!O23*('IAP Correction'!O23+1),'IAP Current'!O23)</f>
        <v>89</v>
      </c>
      <c r="P23" s="27">
        <f>IF(ISNUMBER('IAP Correction'!P23),'IAP Current'!P23*('IAP Correction'!P23+1),'IAP Current'!P23)</f>
        <v>96</v>
      </c>
      <c r="Q23" s="27">
        <f>IF(ISNUMBER('IAP Correction'!Q23),'IAP Current'!Q23*('IAP Correction'!Q23+1),'IAP Current'!Q23)</f>
        <v>99</v>
      </c>
      <c r="R23" s="27">
        <f>IF(ISNUMBER('IAP Correction'!R23),'IAP Current'!R23*('IAP Correction'!R23+1),'IAP Current'!R23)</f>
        <v>107</v>
      </c>
      <c r="S23" s="27">
        <f>IF(ISNUMBER('IAP Correction'!S23),'IAP Current'!S23*('IAP Correction'!S23+1),'IAP Current'!S23)</f>
        <v>116</v>
      </c>
      <c r="T23" s="27">
        <f>IF(ISNUMBER('IAP Correction'!T23),'IAP Current'!T23*('IAP Correction'!T23+1),'IAP Current'!T23)</f>
        <v>136</v>
      </c>
      <c r="U23" s="27">
        <f>IF(ISNUMBER('IAP Correction'!U23),'IAP Current'!U23*('IAP Correction'!U23+1),'IAP Current'!U23)</f>
        <v>175</v>
      </c>
      <c r="V23" s="27">
        <f>IF(ISNUMBER('IAP Correction'!V23),'IAP Current'!V23*('IAP Correction'!V23+1),'IAP Current'!V23)</f>
        <v>202</v>
      </c>
    </row>
    <row r="24" spans="1:22" x14ac:dyDescent="0.25">
      <c r="A24" s="15">
        <v>5200</v>
      </c>
      <c r="B24" s="27">
        <f>IF(ISNUMBER('IAP Correction'!B24),'IAP Current'!B24*('IAP Correction'!B24+1),'IAP Current'!B24)</f>
        <v>34</v>
      </c>
      <c r="C24" s="27">
        <f>IF(ISNUMBER('IAP Correction'!C24),'IAP Current'!C24*('IAP Correction'!C24+1),'IAP Current'!C24)</f>
        <v>36</v>
      </c>
      <c r="D24" s="27">
        <f>IF(ISNUMBER('IAP Correction'!D24),'IAP Current'!D24*('IAP Correction'!D24+1),'IAP Current'!D24)</f>
        <v>41</v>
      </c>
      <c r="E24" s="27">
        <f>IF(ISNUMBER('IAP Correction'!E24),'IAP Current'!E24*('IAP Correction'!E24+1),'IAP Current'!E24)</f>
        <v>50</v>
      </c>
      <c r="F24" s="27">
        <f>IF(ISNUMBER('IAP Correction'!F24),'IAP Current'!F24*('IAP Correction'!F24+1),'IAP Current'!F24)</f>
        <v>55</v>
      </c>
      <c r="G24" s="27">
        <f>IF(ISNUMBER('IAP Correction'!G24),'IAP Current'!G24*('IAP Correction'!G24+1),'IAP Current'!G24)</f>
        <v>61</v>
      </c>
      <c r="H24" s="27">
        <f>IF(ISNUMBER('IAP Correction'!H24),'IAP Current'!H24*('IAP Correction'!H24+1),'IAP Current'!H24)</f>
        <v>64</v>
      </c>
      <c r="I24" s="27">
        <f>IF(ISNUMBER('IAP Correction'!I24),'IAP Current'!I24*('IAP Correction'!I24+1),'IAP Current'!I24)</f>
        <v>67</v>
      </c>
      <c r="J24" s="27">
        <f>IF(ISNUMBER('IAP Correction'!J24),'IAP Current'!J24*('IAP Correction'!J24+1),'IAP Current'!J24)</f>
        <v>70</v>
      </c>
      <c r="K24" s="27">
        <f>IF(ISNUMBER('IAP Correction'!K24),'IAP Current'!K24*('IAP Correction'!K24+1),'IAP Current'!K24)</f>
        <v>74</v>
      </c>
      <c r="L24" s="27">
        <f>IF(ISNUMBER('IAP Correction'!L24),'IAP Current'!L24*('IAP Correction'!L24+1),'IAP Current'!L24)</f>
        <v>76</v>
      </c>
      <c r="M24" s="27">
        <f>IF(ISNUMBER('IAP Correction'!M24),'IAP Current'!M24*('IAP Correction'!M24+1),'IAP Current'!M24)</f>
        <v>80</v>
      </c>
      <c r="N24" s="27">
        <f>IF(ISNUMBER('IAP Correction'!N24),'IAP Current'!N24*('IAP Correction'!N24+1),'IAP Current'!N24)</f>
        <v>86</v>
      </c>
      <c r="O24" s="27">
        <f>IF(ISNUMBER('IAP Correction'!O24),'IAP Current'!O24*('IAP Correction'!O24+1),'IAP Current'!O24)</f>
        <v>88</v>
      </c>
      <c r="P24" s="27">
        <f>IF(ISNUMBER('IAP Correction'!P24),'IAP Current'!P24*('IAP Correction'!P24+1),'IAP Current'!P24)</f>
        <v>92</v>
      </c>
      <c r="Q24" s="27">
        <f>IF(ISNUMBER('IAP Correction'!Q24),'IAP Current'!Q24*('IAP Correction'!Q24+1),'IAP Current'!Q24)</f>
        <v>99</v>
      </c>
      <c r="R24" s="27">
        <f>IF(ISNUMBER('IAP Correction'!R24),'IAP Current'!R24*('IAP Correction'!R24+1),'IAP Current'!R24)</f>
        <v>106</v>
      </c>
      <c r="S24" s="27">
        <f>IF(ISNUMBER('IAP Correction'!S24),'IAP Current'!S24*('IAP Correction'!S24+1),'IAP Current'!S24)</f>
        <v>113</v>
      </c>
      <c r="T24" s="27">
        <f>IF(ISNUMBER('IAP Correction'!T24),'IAP Current'!T24*('IAP Correction'!T24+1),'IAP Current'!T24)</f>
        <v>136</v>
      </c>
      <c r="U24" s="27">
        <f>IF(ISNUMBER('IAP Correction'!U24),'IAP Current'!U24*('IAP Correction'!U24+1),'IAP Current'!U24)</f>
        <v>177</v>
      </c>
      <c r="V24" s="27">
        <f>IF(ISNUMBER('IAP Correction'!V24),'IAP Current'!V24*('IAP Correction'!V24+1),'IAP Current'!V24)</f>
        <v>202</v>
      </c>
    </row>
    <row r="25" spans="1:22" x14ac:dyDescent="0.25">
      <c r="A25" s="15">
        <v>5600</v>
      </c>
      <c r="B25" s="27">
        <f>IF(ISNUMBER('IAP Correction'!B25),'IAP Current'!B25*('IAP Correction'!B25+1),'IAP Current'!B25)</f>
        <v>34</v>
      </c>
      <c r="C25" s="27">
        <f>IF(ISNUMBER('IAP Correction'!C25),'IAP Current'!C25*('IAP Correction'!C25+1),'IAP Current'!C25)</f>
        <v>36</v>
      </c>
      <c r="D25" s="27">
        <f>IF(ISNUMBER('IAP Correction'!D25),'IAP Current'!D25*('IAP Correction'!D25+1),'IAP Current'!D25)</f>
        <v>41</v>
      </c>
      <c r="E25" s="27">
        <f>IF(ISNUMBER('IAP Correction'!E25),'IAP Current'!E25*('IAP Correction'!E25+1),'IAP Current'!E25)</f>
        <v>51</v>
      </c>
      <c r="F25" s="27">
        <f>IF(ISNUMBER('IAP Correction'!F25),'IAP Current'!F25*('IAP Correction'!F25+1),'IAP Current'!F25)</f>
        <v>54</v>
      </c>
      <c r="G25" s="27">
        <f>IF(ISNUMBER('IAP Correction'!G25),'IAP Current'!G25*('IAP Correction'!G25+1),'IAP Current'!G25)</f>
        <v>61</v>
      </c>
      <c r="H25" s="27">
        <f>IF(ISNUMBER('IAP Correction'!H25),'IAP Current'!H25*('IAP Correction'!H25+1),'IAP Current'!H25)</f>
        <v>65</v>
      </c>
      <c r="I25" s="27">
        <f>IF(ISNUMBER('IAP Correction'!I25),'IAP Current'!I25*('IAP Correction'!I25+1),'IAP Current'!I25)</f>
        <v>67</v>
      </c>
      <c r="J25" s="27">
        <f>IF(ISNUMBER('IAP Correction'!J25),'IAP Current'!J25*('IAP Correction'!J25+1),'IAP Current'!J25)</f>
        <v>70</v>
      </c>
      <c r="K25" s="27">
        <f>IF(ISNUMBER('IAP Correction'!K25),'IAP Current'!K25*('IAP Correction'!K25+1),'IAP Current'!K25)</f>
        <v>74</v>
      </c>
      <c r="L25" s="27">
        <f>IF(ISNUMBER('IAP Correction'!L25),'IAP Current'!L25*('IAP Correction'!L25+1),'IAP Current'!L25)</f>
        <v>76</v>
      </c>
      <c r="M25" s="27">
        <f>IF(ISNUMBER('IAP Correction'!M25),'IAP Current'!M25*('IAP Correction'!M25+1),'IAP Current'!M25)</f>
        <v>79</v>
      </c>
      <c r="N25" s="27">
        <f>IF(ISNUMBER('IAP Correction'!N25),'IAP Current'!N25*('IAP Correction'!N25+1),'IAP Current'!N25)</f>
        <v>84</v>
      </c>
      <c r="O25" s="27">
        <f>IF(ISNUMBER('IAP Correction'!O25),'IAP Current'!O25*('IAP Correction'!O25+1),'IAP Current'!O25)</f>
        <v>87</v>
      </c>
      <c r="P25" s="27">
        <f>IF(ISNUMBER('IAP Correction'!P25),'IAP Current'!P25*('IAP Correction'!P25+1),'IAP Current'!P25)</f>
        <v>93</v>
      </c>
      <c r="Q25" s="27">
        <f>IF(ISNUMBER('IAP Correction'!Q25),'IAP Current'!Q25*('IAP Correction'!Q25+1),'IAP Current'!Q25)</f>
        <v>99</v>
      </c>
      <c r="R25" s="27">
        <f>IF(ISNUMBER('IAP Correction'!R25),'IAP Current'!R25*('IAP Correction'!R25+1),'IAP Current'!R25)</f>
        <v>108</v>
      </c>
      <c r="S25" s="27">
        <f>IF(ISNUMBER('IAP Correction'!S25),'IAP Current'!S25*('IAP Correction'!S25+1),'IAP Current'!S25)</f>
        <v>117</v>
      </c>
      <c r="T25" s="27">
        <f>IF(ISNUMBER('IAP Correction'!T25),'IAP Current'!T25*('IAP Correction'!T25+1),'IAP Current'!T25)</f>
        <v>136</v>
      </c>
      <c r="U25" s="27">
        <f>IF(ISNUMBER('IAP Correction'!U25),'IAP Current'!U25*('IAP Correction'!U25+1),'IAP Current'!U25)</f>
        <v>183</v>
      </c>
      <c r="V25" s="27">
        <f>IF(ISNUMBER('IAP Correction'!V25),'IAP Current'!V25*('IAP Correction'!V25+1),'IAP Current'!V25)</f>
        <v>206</v>
      </c>
    </row>
    <row r="26" spans="1:22" x14ac:dyDescent="0.25">
      <c r="A26" s="15">
        <v>6000</v>
      </c>
      <c r="B26" s="27">
        <f>IF(ISNUMBER('IAP Correction'!B26),'IAP Current'!B26*('IAP Correction'!B26+1),'IAP Current'!B26)</f>
        <v>34</v>
      </c>
      <c r="C26" s="27">
        <f>IF(ISNUMBER('IAP Correction'!C26),'IAP Current'!C26*('IAP Correction'!C26+1),'IAP Current'!C26)</f>
        <v>38</v>
      </c>
      <c r="D26" s="27">
        <f>IF(ISNUMBER('IAP Correction'!D26),'IAP Current'!D26*('IAP Correction'!D26+1),'IAP Current'!D26)</f>
        <v>42</v>
      </c>
      <c r="E26" s="27">
        <f>IF(ISNUMBER('IAP Correction'!E26),'IAP Current'!E26*('IAP Correction'!E26+1),'IAP Current'!E26)</f>
        <v>52</v>
      </c>
      <c r="F26" s="27">
        <f>IF(ISNUMBER('IAP Correction'!F26),'IAP Current'!F26*('IAP Correction'!F26+1),'IAP Current'!F26)</f>
        <v>54</v>
      </c>
      <c r="G26" s="27">
        <f>IF(ISNUMBER('IAP Correction'!G26),'IAP Current'!G26*('IAP Correction'!G26+1),'IAP Current'!G26)</f>
        <v>61</v>
      </c>
      <c r="H26" s="27">
        <f>IF(ISNUMBER('IAP Correction'!H26),'IAP Current'!H26*('IAP Correction'!H26+1),'IAP Current'!H26)</f>
        <v>66</v>
      </c>
      <c r="I26" s="27">
        <f>IF(ISNUMBER('IAP Correction'!I26),'IAP Current'!I26*('IAP Correction'!I26+1),'IAP Current'!I26)</f>
        <v>68</v>
      </c>
      <c r="J26" s="27">
        <f>IF(ISNUMBER('IAP Correction'!J26),'IAP Current'!J26*('IAP Correction'!J26+1),'IAP Current'!J26)</f>
        <v>71</v>
      </c>
      <c r="K26" s="27">
        <f>IF(ISNUMBER('IAP Correction'!K26),'IAP Current'!K26*('IAP Correction'!K26+1),'IAP Current'!K26)</f>
        <v>74</v>
      </c>
      <c r="L26" s="27">
        <f>IF(ISNUMBER('IAP Correction'!L26),'IAP Current'!L26*('IAP Correction'!L26+1),'IAP Current'!L26)</f>
        <v>78</v>
      </c>
      <c r="M26" s="27">
        <f>IF(ISNUMBER('IAP Correction'!M26),'IAP Current'!M26*('IAP Correction'!M26+1),'IAP Current'!M26)</f>
        <v>79</v>
      </c>
      <c r="N26" s="27">
        <f>IF(ISNUMBER('IAP Correction'!N26),'IAP Current'!N26*('IAP Correction'!N26+1),'IAP Current'!N26)</f>
        <v>83</v>
      </c>
      <c r="O26" s="27">
        <f>IF(ISNUMBER('IAP Correction'!O26),'IAP Current'!O26*('IAP Correction'!O26+1),'IAP Current'!O26)</f>
        <v>87</v>
      </c>
      <c r="P26" s="27">
        <f>IF(ISNUMBER('IAP Correction'!P26),'IAP Current'!P26*('IAP Correction'!P26+1),'IAP Current'!P26)</f>
        <v>96</v>
      </c>
      <c r="Q26" s="27">
        <f>IF(ISNUMBER('IAP Correction'!Q26),'IAP Current'!Q26*('IAP Correction'!Q26+1),'IAP Current'!Q26)</f>
        <v>101</v>
      </c>
      <c r="R26" s="27">
        <f>IF(ISNUMBER('IAP Correction'!R26),'IAP Current'!R26*('IAP Correction'!R26+1),'IAP Current'!R26)</f>
        <v>112</v>
      </c>
      <c r="S26" s="27">
        <f>IF(ISNUMBER('IAP Correction'!S26),'IAP Current'!S26*('IAP Correction'!S26+1),'IAP Current'!S26)</f>
        <v>122</v>
      </c>
      <c r="T26" s="27">
        <f>IF(ISNUMBER('IAP Correction'!T26),'IAP Current'!T26*('IAP Correction'!T26+1),'IAP Current'!T26)</f>
        <v>139</v>
      </c>
      <c r="U26" s="27">
        <f>IF(ISNUMBER('IAP Correction'!U26),'IAP Current'!U26*('IAP Correction'!U26+1),'IAP Current'!U26)</f>
        <v>190</v>
      </c>
      <c r="V26" s="27">
        <f>IF(ISNUMBER('IAP Correction'!V26),'IAP Current'!V26*('IAP Correction'!V26+1),'IAP Current'!V26)</f>
        <v>214</v>
      </c>
    </row>
    <row r="27" spans="1:22" x14ac:dyDescent="0.25">
      <c r="A27" s="15">
        <v>6400</v>
      </c>
      <c r="B27" s="27">
        <f>IF(ISNUMBER('IAP Correction'!B27),'IAP Current'!B27*('IAP Correction'!B27+1),'IAP Current'!B27)</f>
        <v>34</v>
      </c>
      <c r="C27" s="27">
        <f>IF(ISNUMBER('IAP Correction'!C27),'IAP Current'!C27*('IAP Correction'!C27+1),'IAP Current'!C27)</f>
        <v>38</v>
      </c>
      <c r="D27" s="27">
        <f>IF(ISNUMBER('IAP Correction'!D27),'IAP Current'!D27*('IAP Correction'!D27+1),'IAP Current'!D27)</f>
        <v>42</v>
      </c>
      <c r="E27" s="27">
        <f>IF(ISNUMBER('IAP Correction'!E27),'IAP Current'!E27*('IAP Correction'!E27+1),'IAP Current'!E27)</f>
        <v>51</v>
      </c>
      <c r="F27" s="27">
        <f>IF(ISNUMBER('IAP Correction'!F27),'IAP Current'!F27*('IAP Correction'!F27+1),'IAP Current'!F27)</f>
        <v>54</v>
      </c>
      <c r="G27" s="27">
        <f>IF(ISNUMBER('IAP Correction'!G27),'IAP Current'!G27*('IAP Correction'!G27+1),'IAP Current'!G27)</f>
        <v>61</v>
      </c>
      <c r="H27" s="27">
        <f>IF(ISNUMBER('IAP Correction'!H27),'IAP Current'!H27*('IAP Correction'!H27+1),'IAP Current'!H27)</f>
        <v>66</v>
      </c>
      <c r="I27" s="27">
        <f>IF(ISNUMBER('IAP Correction'!I27),'IAP Current'!I27*('IAP Correction'!I27+1),'IAP Current'!I27)</f>
        <v>70</v>
      </c>
      <c r="J27" s="27">
        <f>IF(ISNUMBER('IAP Correction'!J27),'IAP Current'!J27*('IAP Correction'!J27+1),'IAP Current'!J27)</f>
        <v>74</v>
      </c>
      <c r="K27" s="27">
        <f>IF(ISNUMBER('IAP Correction'!K27),'IAP Current'!K27*('IAP Correction'!K27+1),'IAP Current'!K27)</f>
        <v>76</v>
      </c>
      <c r="L27" s="27">
        <f>IF(ISNUMBER('IAP Correction'!L27),'IAP Current'!L27*('IAP Correction'!L27+1),'IAP Current'!L27)</f>
        <v>79</v>
      </c>
      <c r="M27" s="27">
        <f>IF(ISNUMBER('IAP Correction'!M27),'IAP Current'!M27*('IAP Correction'!M27+1),'IAP Current'!M27)</f>
        <v>83</v>
      </c>
      <c r="N27" s="27">
        <f>IF(ISNUMBER('IAP Correction'!N27),'IAP Current'!N27*('IAP Correction'!N27+1),'IAP Current'!N27)</f>
        <v>87</v>
      </c>
      <c r="O27" s="27">
        <f>IF(ISNUMBER('IAP Correction'!O27),'IAP Current'!O27*('IAP Correction'!O27+1),'IAP Current'!O27)</f>
        <v>91</v>
      </c>
      <c r="P27" s="27">
        <f>IF(ISNUMBER('IAP Correction'!P27),'IAP Current'!P27*('IAP Correction'!P27+1),'IAP Current'!P27)</f>
        <v>98</v>
      </c>
      <c r="Q27" s="27">
        <f>IF(ISNUMBER('IAP Correction'!Q27),'IAP Current'!Q27*('IAP Correction'!Q27+1),'IAP Current'!Q27)</f>
        <v>102</v>
      </c>
      <c r="R27" s="27">
        <f>IF(ISNUMBER('IAP Correction'!R27),'IAP Current'!R27*('IAP Correction'!R27+1),'IAP Current'!R27)</f>
        <v>112</v>
      </c>
      <c r="S27" s="27">
        <f>IF(ISNUMBER('IAP Correction'!S27),'IAP Current'!S27*('IAP Correction'!S27+1),'IAP Current'!S27)</f>
        <v>123</v>
      </c>
      <c r="T27" s="27">
        <f>IF(ISNUMBER('IAP Correction'!T27),'IAP Current'!T27*('IAP Correction'!T27+1),'IAP Current'!T27)</f>
        <v>142</v>
      </c>
      <c r="U27" s="27">
        <f>IF(ISNUMBER('IAP Correction'!U27),'IAP Current'!U27*('IAP Correction'!U27+1),'IAP Current'!U27)</f>
        <v>196</v>
      </c>
      <c r="V27" s="27">
        <f>IF(ISNUMBER('IAP Correction'!V27),'IAP Current'!V27*('IAP Correction'!V27+1),'IAP Current'!V27)</f>
        <v>218</v>
      </c>
    </row>
    <row r="28" spans="1:22" x14ac:dyDescent="0.25">
      <c r="A28" s="15">
        <v>6800</v>
      </c>
      <c r="B28" s="27">
        <f>IF(ISNUMBER('IAP Correction'!B28),'IAP Current'!B28*('IAP Correction'!B28+1),'IAP Current'!B28)</f>
        <v>34</v>
      </c>
      <c r="C28" s="27">
        <f>IF(ISNUMBER('IAP Correction'!C28),'IAP Current'!C28*('IAP Correction'!C28+1),'IAP Current'!C28)</f>
        <v>38</v>
      </c>
      <c r="D28" s="27">
        <f>IF(ISNUMBER('IAP Correction'!D28),'IAP Current'!D28*('IAP Correction'!D28+1),'IAP Current'!D28)</f>
        <v>42</v>
      </c>
      <c r="E28" s="27">
        <f>IF(ISNUMBER('IAP Correction'!E28),'IAP Current'!E28*('IAP Correction'!E28+1),'IAP Current'!E28)</f>
        <v>50</v>
      </c>
      <c r="F28" s="27">
        <f>IF(ISNUMBER('IAP Correction'!F28),'IAP Current'!F28*('IAP Correction'!F28+1),'IAP Current'!F28)</f>
        <v>54</v>
      </c>
      <c r="G28" s="27">
        <f>IF(ISNUMBER('IAP Correction'!G28),'IAP Current'!G28*('IAP Correction'!G28+1),'IAP Current'!G28)</f>
        <v>61</v>
      </c>
      <c r="H28" s="27">
        <f>IF(ISNUMBER('IAP Correction'!H28),'IAP Current'!H28*('IAP Correction'!H28+1),'IAP Current'!H28)</f>
        <v>66</v>
      </c>
      <c r="I28" s="27">
        <f>IF(ISNUMBER('IAP Correction'!I28),'IAP Current'!I28*('IAP Correction'!I28+1),'IAP Current'!I28)</f>
        <v>71</v>
      </c>
      <c r="J28" s="27">
        <f>IF(ISNUMBER('IAP Correction'!J28),'IAP Current'!J28*('IAP Correction'!J28+1),'IAP Current'!J28)</f>
        <v>76</v>
      </c>
      <c r="K28" s="27">
        <f>IF(ISNUMBER('IAP Correction'!K28),'IAP Current'!K28*('IAP Correction'!K28+1),'IAP Current'!K28)</f>
        <v>79</v>
      </c>
      <c r="L28" s="27">
        <f>IF(ISNUMBER('IAP Correction'!L28),'IAP Current'!L28*('IAP Correction'!L28+1),'IAP Current'!L28)</f>
        <v>82</v>
      </c>
      <c r="M28" s="27">
        <f>IF(ISNUMBER('IAP Correction'!M28),'IAP Current'!M28*('IAP Correction'!M28+1),'IAP Current'!M28)</f>
        <v>86</v>
      </c>
      <c r="N28" s="27">
        <f>IF(ISNUMBER('IAP Correction'!N28),'IAP Current'!N28*('IAP Correction'!N28+1),'IAP Current'!N28)</f>
        <v>89</v>
      </c>
      <c r="O28" s="27">
        <f>IF(ISNUMBER('IAP Correction'!O28),'IAP Current'!O28*('IAP Correction'!O28+1),'IAP Current'!O28)</f>
        <v>94</v>
      </c>
      <c r="P28" s="27">
        <f>IF(ISNUMBER('IAP Correction'!P28),'IAP Current'!P28*('IAP Correction'!P28+1),'IAP Current'!P28)</f>
        <v>99</v>
      </c>
      <c r="Q28" s="27">
        <f>IF(ISNUMBER('IAP Correction'!Q28),'IAP Current'!Q28*('IAP Correction'!Q28+1),'IAP Current'!Q28)</f>
        <v>103</v>
      </c>
      <c r="R28" s="27">
        <f>IF(ISNUMBER('IAP Correction'!R28),'IAP Current'!R28*('IAP Correction'!R28+1),'IAP Current'!R28)</f>
        <v>113</v>
      </c>
      <c r="S28" s="27">
        <f>IF(ISNUMBER('IAP Correction'!S28),'IAP Current'!S28*('IAP Correction'!S28+1),'IAP Current'!S28)</f>
        <v>124</v>
      </c>
      <c r="T28" s="27">
        <f>IF(ISNUMBER('IAP Correction'!T28),'IAP Current'!T28*('IAP Correction'!T28+1),'IAP Current'!T28)</f>
        <v>146</v>
      </c>
      <c r="U28" s="27">
        <f>IF(ISNUMBER('IAP Correction'!U28),'IAP Current'!U28*('IAP Correction'!U28+1),'IAP Current'!U28)</f>
        <v>205</v>
      </c>
      <c r="V28" s="27">
        <f>IF(ISNUMBER('IAP Correction'!V28),'IAP Current'!V28*('IAP Correction'!V28+1),'IAP Current'!V28)</f>
        <v>226</v>
      </c>
    </row>
    <row r="29" spans="1:22" x14ac:dyDescent="0.25">
      <c r="A29" s="15">
        <v>7200</v>
      </c>
      <c r="B29" s="27">
        <f>IF(ISNUMBER('IAP Correction'!B29),'IAP Current'!B29*('IAP Correction'!B29+1),'IAP Current'!B29)</f>
        <v>34</v>
      </c>
      <c r="C29" s="27">
        <f>IF(ISNUMBER('IAP Correction'!C29),'IAP Current'!C29*('IAP Correction'!C29+1),'IAP Current'!C29)</f>
        <v>38</v>
      </c>
      <c r="D29" s="27">
        <f>IF(ISNUMBER('IAP Correction'!D29),'IAP Current'!D29*('IAP Correction'!D29+1),'IAP Current'!D29)</f>
        <v>42</v>
      </c>
      <c r="E29" s="27">
        <f>IF(ISNUMBER('IAP Correction'!E29),'IAP Current'!E29*('IAP Correction'!E29+1),'IAP Current'!E29)</f>
        <v>50</v>
      </c>
      <c r="F29" s="27">
        <f>IF(ISNUMBER('IAP Correction'!F29),'IAP Current'!F29*('IAP Correction'!F29+1),'IAP Current'!F29)</f>
        <v>54</v>
      </c>
      <c r="G29" s="27">
        <f>IF(ISNUMBER('IAP Correction'!G29),'IAP Current'!G29*('IAP Correction'!G29+1),'IAP Current'!G29)</f>
        <v>61</v>
      </c>
      <c r="H29" s="27">
        <f>IF(ISNUMBER('IAP Correction'!H29),'IAP Current'!H29*('IAP Correction'!H29+1),'IAP Current'!H29)</f>
        <v>66</v>
      </c>
      <c r="I29" s="27">
        <f>IF(ISNUMBER('IAP Correction'!I29),'IAP Current'!I29*('IAP Correction'!I29+1),'IAP Current'!I29)</f>
        <v>72</v>
      </c>
      <c r="J29" s="27">
        <f>IF(ISNUMBER('IAP Correction'!J29),'IAP Current'!J29*('IAP Correction'!J29+1),'IAP Current'!J29)</f>
        <v>78</v>
      </c>
      <c r="K29" s="27">
        <f>IF(ISNUMBER('IAP Correction'!K29),'IAP Current'!K29*('IAP Correction'!K29+1),'IAP Current'!K29)</f>
        <v>79</v>
      </c>
      <c r="L29" s="27">
        <f>IF(ISNUMBER('IAP Correction'!L29),'IAP Current'!L29*('IAP Correction'!L29+1),'IAP Current'!L29)</f>
        <v>83</v>
      </c>
      <c r="M29" s="27">
        <f>IF(ISNUMBER('IAP Correction'!M29),'IAP Current'!M29*('IAP Correction'!M29+1),'IAP Current'!M29)</f>
        <v>86</v>
      </c>
      <c r="N29" s="27">
        <f>IF(ISNUMBER('IAP Correction'!N29),'IAP Current'!N29*('IAP Correction'!N29+1),'IAP Current'!N29)</f>
        <v>90</v>
      </c>
      <c r="O29" s="27">
        <f>IF(ISNUMBER('IAP Correction'!O29),'IAP Current'!O29*('IAP Correction'!O29+1),'IAP Current'!O29)</f>
        <v>94</v>
      </c>
      <c r="P29" s="27">
        <f>IF(ISNUMBER('IAP Correction'!P29),'IAP Current'!P29*('IAP Correction'!P29+1),'IAP Current'!P29)</f>
        <v>99</v>
      </c>
      <c r="Q29" s="27">
        <f>IF(ISNUMBER('IAP Correction'!Q29),'IAP Current'!Q29*('IAP Correction'!Q29+1),'IAP Current'!Q29)</f>
        <v>103</v>
      </c>
      <c r="R29" s="27">
        <f>IF(ISNUMBER('IAP Correction'!R29),'IAP Current'!R29*('IAP Correction'!R29+1),'IAP Current'!R29)</f>
        <v>113</v>
      </c>
      <c r="S29" s="27">
        <f>IF(ISNUMBER('IAP Correction'!S29),'IAP Current'!S29*('IAP Correction'!S29+1),'IAP Current'!S29)</f>
        <v>124</v>
      </c>
      <c r="T29" s="27">
        <f>IF(ISNUMBER('IAP Correction'!T29),'IAP Current'!T29*('IAP Correction'!T29+1),'IAP Current'!T29)</f>
        <v>148</v>
      </c>
      <c r="U29" s="27">
        <f>IF(ISNUMBER('IAP Correction'!U29),'IAP Current'!U29*('IAP Correction'!U29+1),'IAP Current'!U29)</f>
        <v>214</v>
      </c>
      <c r="V29" s="27">
        <f>IF(ISNUMBER('IAP Correction'!V29),'IAP Current'!V29*('IAP Correction'!V29+1),'IAP Current'!V29)</f>
        <v>236</v>
      </c>
    </row>
    <row r="30" spans="1:22" x14ac:dyDescent="0.25">
      <c r="A30" s="15">
        <v>7600</v>
      </c>
      <c r="B30" s="27">
        <f>IF(ISNUMBER('IAP Correction'!B30),'IAP Current'!B30*('IAP Correction'!B30+1),'IAP Current'!B30)</f>
        <v>34</v>
      </c>
      <c r="C30" s="27">
        <f>IF(ISNUMBER('IAP Correction'!C30),'IAP Current'!C30*('IAP Correction'!C30+1),'IAP Current'!C30)</f>
        <v>38</v>
      </c>
      <c r="D30" s="27">
        <f>IF(ISNUMBER('IAP Correction'!D30),'IAP Current'!D30*('IAP Correction'!D30+1),'IAP Current'!D30)</f>
        <v>42</v>
      </c>
      <c r="E30" s="27">
        <f>IF(ISNUMBER('IAP Correction'!E30),'IAP Current'!E30*('IAP Correction'!E30+1),'IAP Current'!E30)</f>
        <v>50</v>
      </c>
      <c r="F30" s="27">
        <f>IF(ISNUMBER('IAP Correction'!F30),'IAP Current'!F30*('IAP Correction'!F30+1),'IAP Current'!F30)</f>
        <v>54</v>
      </c>
      <c r="G30" s="27">
        <f>IF(ISNUMBER('IAP Correction'!G30),'IAP Current'!G30*('IAP Correction'!G30+1),'IAP Current'!G30)</f>
        <v>61</v>
      </c>
      <c r="H30" s="27">
        <f>IF(ISNUMBER('IAP Correction'!H30),'IAP Current'!H30*('IAP Correction'!H30+1),'IAP Current'!H30)</f>
        <v>66</v>
      </c>
      <c r="I30" s="27">
        <f>IF(ISNUMBER('IAP Correction'!I30),'IAP Current'!I30*('IAP Correction'!I30+1),'IAP Current'!I30)</f>
        <v>72</v>
      </c>
      <c r="J30" s="27">
        <f>IF(ISNUMBER('IAP Correction'!J30),'IAP Current'!J30*('IAP Correction'!J30+1),'IAP Current'!J30)</f>
        <v>75</v>
      </c>
      <c r="K30" s="27">
        <f>IF(ISNUMBER('IAP Correction'!K30),'IAP Current'!K30*('IAP Correction'!K30+1),'IAP Current'!K30)</f>
        <v>79</v>
      </c>
      <c r="L30" s="27">
        <f>IF(ISNUMBER('IAP Correction'!L30),'IAP Current'!L30*('IAP Correction'!L30+1),'IAP Current'!L30)</f>
        <v>83</v>
      </c>
      <c r="M30" s="27">
        <f>IF(ISNUMBER('IAP Correction'!M30),'IAP Current'!M30*('IAP Correction'!M30+1),'IAP Current'!M30)</f>
        <v>86</v>
      </c>
      <c r="N30" s="27">
        <f>IF(ISNUMBER('IAP Correction'!N30),'IAP Current'!N30*('IAP Correction'!N30+1),'IAP Current'!N30)</f>
        <v>90</v>
      </c>
      <c r="O30" s="27">
        <f>IF(ISNUMBER('IAP Correction'!O30),'IAP Current'!O30*('IAP Correction'!O30+1),'IAP Current'!O30)</f>
        <v>93</v>
      </c>
      <c r="P30" s="27">
        <f>IF(ISNUMBER('IAP Correction'!P30),'IAP Current'!P30*('IAP Correction'!P30+1),'IAP Current'!P30)</f>
        <v>98</v>
      </c>
      <c r="Q30" s="27">
        <f>IF(ISNUMBER('IAP Correction'!Q30),'IAP Current'!Q30*('IAP Correction'!Q30+1),'IAP Current'!Q30)</f>
        <v>104</v>
      </c>
      <c r="R30" s="27">
        <f>IF(ISNUMBER('IAP Correction'!R30),'IAP Current'!R30*('IAP Correction'!R30+1),'IAP Current'!R30)</f>
        <v>113</v>
      </c>
      <c r="S30" s="27">
        <f>IF(ISNUMBER('IAP Correction'!S30),'IAP Current'!S30*('IAP Correction'!S30+1),'IAP Current'!S30)</f>
        <v>124</v>
      </c>
      <c r="T30" s="27">
        <f>IF(ISNUMBER('IAP Correction'!T30),'IAP Current'!T30*('IAP Correction'!T30+1),'IAP Current'!T30)</f>
        <v>146</v>
      </c>
      <c r="U30" s="27">
        <f>IF(ISNUMBER('IAP Correction'!U30),'IAP Current'!U30*('IAP Correction'!U30+1),'IAP Current'!U30)</f>
        <v>215</v>
      </c>
      <c r="V30" s="27">
        <f>IF(ISNUMBER('IAP Correction'!V30),'IAP Current'!V30*('IAP Correction'!V30+1),'IAP Current'!V30)</f>
        <v>239</v>
      </c>
    </row>
    <row r="31" spans="1:22" x14ac:dyDescent="0.25">
      <c r="A31" s="15">
        <v>8000</v>
      </c>
      <c r="B31" s="27">
        <f>IF(ISNUMBER('IAP Correction'!B31),'IAP Current'!B31*('IAP Correction'!B31+1),'IAP Current'!B31)</f>
        <v>34</v>
      </c>
      <c r="C31" s="27">
        <f>IF(ISNUMBER('IAP Correction'!C31),'IAP Current'!C31*('IAP Correction'!C31+1),'IAP Current'!C31)</f>
        <v>38</v>
      </c>
      <c r="D31" s="27">
        <f>IF(ISNUMBER('IAP Correction'!D31),'IAP Current'!D31*('IAP Correction'!D31+1),'IAP Current'!D31)</f>
        <v>42</v>
      </c>
      <c r="E31" s="27">
        <f>IF(ISNUMBER('IAP Correction'!E31),'IAP Current'!E31*('IAP Correction'!E31+1),'IAP Current'!E31)</f>
        <v>50</v>
      </c>
      <c r="F31" s="27">
        <f>IF(ISNUMBER('IAP Correction'!F31),'IAP Current'!F31*('IAP Correction'!F31+1),'IAP Current'!F31)</f>
        <v>55</v>
      </c>
      <c r="G31" s="27">
        <f>IF(ISNUMBER('IAP Correction'!G31),'IAP Current'!G31*('IAP Correction'!G31+1),'IAP Current'!G31)</f>
        <v>61</v>
      </c>
      <c r="H31" s="27">
        <f>IF(ISNUMBER('IAP Correction'!H31),'IAP Current'!H31*('IAP Correction'!H31+1),'IAP Current'!H31)</f>
        <v>65</v>
      </c>
      <c r="I31" s="27">
        <f>IF(ISNUMBER('IAP Correction'!I31),'IAP Current'!I31*('IAP Correction'!I31+1),'IAP Current'!I31)</f>
        <v>70</v>
      </c>
      <c r="J31" s="27">
        <f>IF(ISNUMBER('IAP Correction'!J31),'IAP Current'!J31*('IAP Correction'!J31+1),'IAP Current'!J31)</f>
        <v>75</v>
      </c>
      <c r="K31" s="27">
        <f>IF(ISNUMBER('IAP Correction'!K31),'IAP Current'!K31*('IAP Correction'!K31+1),'IAP Current'!K31)</f>
        <v>79</v>
      </c>
      <c r="L31" s="27">
        <f>IF(ISNUMBER('IAP Correction'!L31),'IAP Current'!L31*('IAP Correction'!L31+1),'IAP Current'!L31)</f>
        <v>83</v>
      </c>
      <c r="M31" s="27">
        <f>IF(ISNUMBER('IAP Correction'!M31),'IAP Current'!M31*('IAP Correction'!M31+1),'IAP Current'!M31)</f>
        <v>86</v>
      </c>
      <c r="N31" s="27">
        <f>IF(ISNUMBER('IAP Correction'!N31),'IAP Current'!N31*('IAP Correction'!N31+1),'IAP Current'!N31)</f>
        <v>89</v>
      </c>
      <c r="O31" s="27">
        <f>IF(ISNUMBER('IAP Correction'!O31),'IAP Current'!O31*('IAP Correction'!O31+1),'IAP Current'!O31)</f>
        <v>93</v>
      </c>
      <c r="P31" s="27">
        <f>IF(ISNUMBER('IAP Correction'!P31),'IAP Current'!P31*('IAP Correction'!P31+1),'IAP Current'!P31)</f>
        <v>97</v>
      </c>
      <c r="Q31" s="27">
        <f>IF(ISNUMBER('IAP Correction'!Q31),'IAP Current'!Q31*('IAP Correction'!Q31+1),'IAP Current'!Q31)</f>
        <v>104</v>
      </c>
      <c r="R31" s="27">
        <f>IF(ISNUMBER('IAP Correction'!R31),'IAP Current'!R31*('IAP Correction'!R31+1),'IAP Current'!R31)</f>
        <v>114</v>
      </c>
      <c r="S31" s="27">
        <f>IF(ISNUMBER('IAP Correction'!S31),'IAP Current'!S31*('IAP Correction'!S31+1),'IAP Current'!S31)</f>
        <v>126</v>
      </c>
      <c r="T31" s="27">
        <f>IF(ISNUMBER('IAP Correction'!T31),'IAP Current'!T31*('IAP Correction'!T31+1),'IAP Current'!T31)</f>
        <v>147</v>
      </c>
      <c r="U31" s="27">
        <f>IF(ISNUMBER('IAP Correction'!U31),'IAP Current'!U31*('IAP Correction'!U31+1),'IAP Current'!U31)</f>
        <v>216</v>
      </c>
      <c r="V31" s="27">
        <f>IF(ISNUMBER('IAP Correction'!V31),'IAP Current'!V31*('IAP Correction'!V31+1),'IAP Current'!V31)</f>
        <v>243</v>
      </c>
    </row>
    <row r="32" spans="1:22" x14ac:dyDescent="0.25">
      <c r="A32" s="15">
        <v>8400</v>
      </c>
      <c r="B32" s="27">
        <f>IF(ISNUMBER('IAP Correction'!B32),'IAP Current'!B32*('IAP Correction'!B32+1),'IAP Current'!B32)</f>
        <v>34</v>
      </c>
      <c r="C32" s="27">
        <f>IF(ISNUMBER('IAP Correction'!C32),'IAP Current'!C32*('IAP Correction'!C32+1),'IAP Current'!C32)</f>
        <v>38</v>
      </c>
      <c r="D32" s="27">
        <f>IF(ISNUMBER('IAP Correction'!D32),'IAP Current'!D32*('IAP Correction'!D32+1),'IAP Current'!D32)</f>
        <v>41</v>
      </c>
      <c r="E32" s="27">
        <f>IF(ISNUMBER('IAP Correction'!E32),'IAP Current'!E32*('IAP Correction'!E32+1),'IAP Current'!E32)</f>
        <v>50</v>
      </c>
      <c r="F32" s="27">
        <f>IF(ISNUMBER('IAP Correction'!F32),'IAP Current'!F32*('IAP Correction'!F32+1),'IAP Current'!F32)</f>
        <v>55</v>
      </c>
      <c r="G32" s="27">
        <f>IF(ISNUMBER('IAP Correction'!G32),'IAP Current'!G32*('IAP Correction'!G32+1),'IAP Current'!G32)</f>
        <v>64</v>
      </c>
      <c r="H32" s="27">
        <f>IF(ISNUMBER('IAP Correction'!H32),'IAP Current'!H32*('IAP Correction'!H32+1),'IAP Current'!H32)</f>
        <v>66</v>
      </c>
      <c r="I32" s="27">
        <f>IF(ISNUMBER('IAP Correction'!I32),'IAP Current'!I32*('IAP Correction'!I32+1),'IAP Current'!I32)</f>
        <v>70</v>
      </c>
      <c r="J32" s="27">
        <f>IF(ISNUMBER('IAP Correction'!J32),'IAP Current'!J32*('IAP Correction'!J32+1),'IAP Current'!J32)</f>
        <v>75</v>
      </c>
      <c r="K32" s="27">
        <f>IF(ISNUMBER('IAP Correction'!K32),'IAP Current'!K32*('IAP Correction'!K32+1),'IAP Current'!K32)</f>
        <v>79</v>
      </c>
      <c r="L32" s="27">
        <f>IF(ISNUMBER('IAP Correction'!L32),'IAP Current'!L32*('IAP Correction'!L32+1),'IAP Current'!L32)</f>
        <v>83</v>
      </c>
      <c r="M32" s="27">
        <f>IF(ISNUMBER('IAP Correction'!M32),'IAP Current'!M32*('IAP Correction'!M32+1),'IAP Current'!M32)</f>
        <v>86</v>
      </c>
      <c r="N32" s="27">
        <f>IF(ISNUMBER('IAP Correction'!N32),'IAP Current'!N32*('IAP Correction'!N32+1),'IAP Current'!N32)</f>
        <v>89</v>
      </c>
      <c r="O32" s="27">
        <f>IF(ISNUMBER('IAP Correction'!O32),'IAP Current'!O32*('IAP Correction'!O32+1),'IAP Current'!O32)</f>
        <v>93</v>
      </c>
      <c r="P32" s="27">
        <f>IF(ISNUMBER('IAP Correction'!P32),'IAP Current'!P32*('IAP Correction'!P32+1),'IAP Current'!P32)</f>
        <v>98</v>
      </c>
      <c r="Q32" s="27">
        <f>IF(ISNUMBER('IAP Correction'!Q32),'IAP Current'!Q32*('IAP Correction'!Q32+1),'IAP Current'!Q32)</f>
        <v>107</v>
      </c>
      <c r="R32" s="27">
        <f>IF(ISNUMBER('IAP Correction'!R32),'IAP Current'!R32*('IAP Correction'!R32+1),'IAP Current'!R32)</f>
        <v>114</v>
      </c>
      <c r="S32" s="27">
        <f>IF(ISNUMBER('IAP Correction'!S32),'IAP Current'!S32*('IAP Correction'!S32+1),'IAP Current'!S32)</f>
        <v>128</v>
      </c>
      <c r="T32" s="27">
        <f>IF(ISNUMBER('IAP Correction'!T32),'IAP Current'!T32*('IAP Correction'!T32+1),'IAP Current'!T32)</f>
        <v>156</v>
      </c>
      <c r="U32" s="27">
        <f>IF(ISNUMBER('IAP Correction'!U32),'IAP Current'!U32*('IAP Correction'!U32+1),'IAP Current'!U32)</f>
        <v>216</v>
      </c>
      <c r="V32" s="27">
        <f>IF(ISNUMBER('IAP Correction'!V32),'IAP Current'!V32*('IAP Correction'!V32+1),'IAP Current'!V32)</f>
        <v>243</v>
      </c>
    </row>
    <row r="33" spans="1:22" x14ac:dyDescent="0.25">
      <c r="A33" s="15">
        <v>8800</v>
      </c>
      <c r="B33" s="27">
        <f>IF(ISNUMBER('IAP Correction'!B33),'IAP Current'!B33*('IAP Correction'!B33+1),'IAP Current'!B33)</f>
        <v>34</v>
      </c>
      <c r="C33" s="27">
        <f>IF(ISNUMBER('IAP Correction'!C33),'IAP Current'!C33*('IAP Correction'!C33+1),'IAP Current'!C33)</f>
        <v>38</v>
      </c>
      <c r="D33" s="27">
        <f>IF(ISNUMBER('IAP Correction'!D33),'IAP Current'!D33*('IAP Correction'!D33+1),'IAP Current'!D33)</f>
        <v>41</v>
      </c>
      <c r="E33" s="27">
        <f>IF(ISNUMBER('IAP Correction'!E33),'IAP Current'!E33*('IAP Correction'!E33+1),'IAP Current'!E33)</f>
        <v>52</v>
      </c>
      <c r="F33" s="27">
        <f>IF(ISNUMBER('IAP Correction'!F33),'IAP Current'!F33*('IAP Correction'!F33+1),'IAP Current'!F33)</f>
        <v>60</v>
      </c>
      <c r="G33" s="27">
        <f>IF(ISNUMBER('IAP Correction'!G33),'IAP Current'!G33*('IAP Correction'!G33+1),'IAP Current'!G33)</f>
        <v>64</v>
      </c>
      <c r="H33" s="27">
        <f>IF(ISNUMBER('IAP Correction'!H33),'IAP Current'!H33*('IAP Correction'!H33+1),'IAP Current'!H33)</f>
        <v>66</v>
      </c>
      <c r="I33" s="27">
        <f>IF(ISNUMBER('IAP Correction'!I33),'IAP Current'!I33*('IAP Correction'!I33+1),'IAP Current'!I33)</f>
        <v>70</v>
      </c>
      <c r="J33" s="27">
        <f>IF(ISNUMBER('IAP Correction'!J33),'IAP Current'!J33*('IAP Correction'!J33+1),'IAP Current'!J33)</f>
        <v>75</v>
      </c>
      <c r="K33" s="27">
        <f>IF(ISNUMBER('IAP Correction'!K33),'IAP Current'!K33*('IAP Correction'!K33+1),'IAP Current'!K33)</f>
        <v>79</v>
      </c>
      <c r="L33" s="27">
        <f>IF(ISNUMBER('IAP Correction'!L33),'IAP Current'!L33*('IAP Correction'!L33+1),'IAP Current'!L33)</f>
        <v>83</v>
      </c>
      <c r="M33" s="27">
        <f>IF(ISNUMBER('IAP Correction'!M33),'IAP Current'!M33*('IAP Correction'!M33+1),'IAP Current'!M33)</f>
        <v>86</v>
      </c>
      <c r="N33" s="27">
        <f>IF(ISNUMBER('IAP Correction'!N33),'IAP Current'!N33*('IAP Correction'!N33+1),'IAP Current'!N33)</f>
        <v>89</v>
      </c>
      <c r="O33" s="27">
        <f>IF(ISNUMBER('IAP Correction'!O33),'IAP Current'!O33*('IAP Correction'!O33+1),'IAP Current'!O33)</f>
        <v>92</v>
      </c>
      <c r="P33" s="27">
        <f>IF(ISNUMBER('IAP Correction'!P33),'IAP Current'!P33*('IAP Correction'!P33+1),'IAP Current'!P33)</f>
        <v>98</v>
      </c>
      <c r="Q33" s="27">
        <f>IF(ISNUMBER('IAP Correction'!Q33),'IAP Current'!Q33*('IAP Correction'!Q33+1),'IAP Current'!Q33)</f>
        <v>107</v>
      </c>
      <c r="R33" s="27">
        <f>IF(ISNUMBER('IAP Correction'!R33),'IAP Current'!R33*('IAP Correction'!R33+1),'IAP Current'!R33)</f>
        <v>114</v>
      </c>
      <c r="S33" s="27">
        <f>IF(ISNUMBER('IAP Correction'!S33),'IAP Current'!S33*('IAP Correction'!S33+1),'IAP Current'!S33)</f>
        <v>128</v>
      </c>
      <c r="T33" s="27">
        <f>IF(ISNUMBER('IAP Correction'!T33),'IAP Current'!T33*('IAP Correction'!T33+1),'IAP Current'!T33)</f>
        <v>158</v>
      </c>
      <c r="U33" s="27">
        <f>IF(ISNUMBER('IAP Correction'!U33),'IAP Current'!U33*('IAP Correction'!U33+1),'IAP Current'!U33)</f>
        <v>215</v>
      </c>
      <c r="V33" s="27">
        <f>IF(ISNUMBER('IAP Correction'!V33),'IAP Current'!V33*('IAP Correction'!V33+1),'IAP Current'!V33)</f>
        <v>245</v>
      </c>
    </row>
    <row r="34" spans="1:22" x14ac:dyDescent="0.25">
      <c r="A34" s="15">
        <v>9200</v>
      </c>
      <c r="B34" s="27">
        <f>IF(ISNUMBER('IAP Correction'!B34),'IAP Current'!B34*('IAP Correction'!B34+1),'IAP Current'!B34)</f>
        <v>34</v>
      </c>
      <c r="C34" s="27">
        <f>IF(ISNUMBER('IAP Correction'!C34),'IAP Current'!C34*('IAP Correction'!C34+1),'IAP Current'!C34)</f>
        <v>38</v>
      </c>
      <c r="D34" s="27">
        <f>IF(ISNUMBER('IAP Correction'!D34),'IAP Current'!D34*('IAP Correction'!D34+1),'IAP Current'!D34)</f>
        <v>41</v>
      </c>
      <c r="E34" s="27">
        <f>IF(ISNUMBER('IAP Correction'!E34),'IAP Current'!E34*('IAP Correction'!E34+1),'IAP Current'!E34)</f>
        <v>54</v>
      </c>
      <c r="F34" s="27">
        <f>IF(ISNUMBER('IAP Correction'!F34),'IAP Current'!F34*('IAP Correction'!F34+1),'IAP Current'!F34)</f>
        <v>61</v>
      </c>
      <c r="G34" s="27">
        <f>IF(ISNUMBER('IAP Correction'!G34),'IAP Current'!G34*('IAP Correction'!G34+1),'IAP Current'!G34)</f>
        <v>65</v>
      </c>
      <c r="H34" s="27">
        <f>IF(ISNUMBER('IAP Correction'!H34),'IAP Current'!H34*('IAP Correction'!H34+1),'IAP Current'!H34)</f>
        <v>68</v>
      </c>
      <c r="I34" s="27">
        <f>IF(ISNUMBER('IAP Correction'!I34),'IAP Current'!I34*('IAP Correction'!I34+1),'IAP Current'!I34)</f>
        <v>72</v>
      </c>
      <c r="J34" s="27">
        <f>IF(ISNUMBER('IAP Correction'!J34),'IAP Current'!J34*('IAP Correction'!J34+1),'IAP Current'!J34)</f>
        <v>75</v>
      </c>
      <c r="K34" s="27">
        <f>IF(ISNUMBER('IAP Correction'!K34),'IAP Current'!K34*('IAP Correction'!K34+1),'IAP Current'!K34)</f>
        <v>80</v>
      </c>
      <c r="L34" s="27">
        <f>IF(ISNUMBER('IAP Correction'!L34),'IAP Current'!L34*('IAP Correction'!L34+1),'IAP Current'!L34)</f>
        <v>84</v>
      </c>
      <c r="M34" s="27">
        <f>IF(ISNUMBER('IAP Correction'!M34),'IAP Current'!M34*('IAP Correction'!M34+1),'IAP Current'!M34)</f>
        <v>88</v>
      </c>
      <c r="N34" s="27">
        <f>IF(ISNUMBER('IAP Correction'!N34),'IAP Current'!N34*('IAP Correction'!N34+1),'IAP Current'!N34)</f>
        <v>90</v>
      </c>
      <c r="O34" s="27">
        <f>IF(ISNUMBER('IAP Correction'!O34),'IAP Current'!O34*('IAP Correction'!O34+1),'IAP Current'!O34)</f>
        <v>93</v>
      </c>
      <c r="P34" s="27">
        <f>IF(ISNUMBER('IAP Correction'!P34),'IAP Current'!P34*('IAP Correction'!P34+1),'IAP Current'!P34)</f>
        <v>98</v>
      </c>
      <c r="Q34" s="27">
        <f>IF(ISNUMBER('IAP Correction'!Q34),'IAP Current'!Q34*('IAP Correction'!Q34+1),'IAP Current'!Q34)</f>
        <v>107</v>
      </c>
      <c r="R34" s="27">
        <f>IF(ISNUMBER('IAP Correction'!R34),'IAP Current'!R34*('IAP Correction'!R34+1),'IAP Current'!R34)</f>
        <v>114</v>
      </c>
      <c r="S34" s="27">
        <f>IF(ISNUMBER('IAP Correction'!S34),'IAP Current'!S34*('IAP Correction'!S34+1),'IAP Current'!S34)</f>
        <v>128</v>
      </c>
      <c r="T34" s="27">
        <f>IF(ISNUMBER('IAP Correction'!T34),'IAP Current'!T34*('IAP Correction'!T34+1),'IAP Current'!T34)</f>
        <v>152</v>
      </c>
      <c r="U34" s="27">
        <f>IF(ISNUMBER('IAP Correction'!U34),'IAP Current'!U34*('IAP Correction'!U34+1),'IAP Current'!U34)</f>
        <v>212</v>
      </c>
      <c r="V34" s="27">
        <f>IF(ISNUMBER('IAP Correction'!V34),'IAP Current'!V34*('IAP Correction'!V34+1),'IAP Current'!V34)</f>
        <v>243</v>
      </c>
    </row>
    <row r="35" spans="1:22" x14ac:dyDescent="0.25">
      <c r="A35" s="15">
        <v>9600</v>
      </c>
      <c r="B35" s="27">
        <f>IF(ISNUMBER('IAP Correction'!B35),'IAP Current'!B35*('IAP Correction'!B35+1),'IAP Current'!B35)</f>
        <v>34</v>
      </c>
      <c r="C35" s="27">
        <f>IF(ISNUMBER('IAP Correction'!C35),'IAP Current'!C35*('IAP Correction'!C35+1),'IAP Current'!C35)</f>
        <v>38</v>
      </c>
      <c r="D35" s="27">
        <f>IF(ISNUMBER('IAP Correction'!D35),'IAP Current'!D35*('IAP Correction'!D35+1),'IAP Current'!D35)</f>
        <v>41</v>
      </c>
      <c r="E35" s="27">
        <f>IF(ISNUMBER('IAP Correction'!E35),'IAP Current'!E35*('IAP Correction'!E35+1),'IAP Current'!E35)</f>
        <v>55</v>
      </c>
      <c r="F35" s="27">
        <f>IF(ISNUMBER('IAP Correction'!F35),'IAP Current'!F35*('IAP Correction'!F35+1),'IAP Current'!F35)</f>
        <v>64</v>
      </c>
      <c r="G35" s="27">
        <f>IF(ISNUMBER('IAP Correction'!G35),'IAP Current'!G35*('IAP Correction'!G35+1),'IAP Current'!G35)</f>
        <v>68</v>
      </c>
      <c r="H35" s="27">
        <f>IF(ISNUMBER('IAP Correction'!H35),'IAP Current'!H35*('IAP Correction'!H35+1),'IAP Current'!H35)</f>
        <v>70</v>
      </c>
      <c r="I35" s="27">
        <f>IF(ISNUMBER('IAP Correction'!I35),'IAP Current'!I35*('IAP Correction'!I35+1),'IAP Current'!I35)</f>
        <v>74</v>
      </c>
      <c r="J35" s="27">
        <f>IF(ISNUMBER('IAP Correction'!J35),'IAP Current'!J35*('IAP Correction'!J35+1),'IAP Current'!J35)</f>
        <v>78</v>
      </c>
      <c r="K35" s="27">
        <f>IF(ISNUMBER('IAP Correction'!K35),'IAP Current'!K35*('IAP Correction'!K35+1),'IAP Current'!K35)</f>
        <v>83</v>
      </c>
      <c r="L35" s="27">
        <f>IF(ISNUMBER('IAP Correction'!L35),'IAP Current'!L35*('IAP Correction'!L35+1),'IAP Current'!L35)</f>
        <v>86</v>
      </c>
      <c r="M35" s="27">
        <f>IF(ISNUMBER('IAP Correction'!M35),'IAP Current'!M35*('IAP Correction'!M35+1),'IAP Current'!M35)</f>
        <v>88</v>
      </c>
      <c r="N35" s="27">
        <f>IF(ISNUMBER('IAP Correction'!N35),'IAP Current'!N35*('IAP Correction'!N35+1),'IAP Current'!N35)</f>
        <v>90</v>
      </c>
      <c r="O35" s="27">
        <f>IF(ISNUMBER('IAP Correction'!O35),'IAP Current'!O35*('IAP Correction'!O35+1),'IAP Current'!O35)</f>
        <v>93</v>
      </c>
      <c r="P35" s="27">
        <f>IF(ISNUMBER('IAP Correction'!P35),'IAP Current'!P35*('IAP Correction'!P35+1),'IAP Current'!P35)</f>
        <v>99</v>
      </c>
      <c r="Q35" s="27">
        <f>IF(ISNUMBER('IAP Correction'!Q35),'IAP Current'!Q35*('IAP Correction'!Q35+1),'IAP Current'!Q35)</f>
        <v>104</v>
      </c>
      <c r="R35" s="27">
        <f>IF(ISNUMBER('IAP Correction'!R35),'IAP Current'!R35*('IAP Correction'!R35+1),'IAP Current'!R35)</f>
        <v>113</v>
      </c>
      <c r="S35" s="27">
        <f>IF(ISNUMBER('IAP Correction'!S35),'IAP Current'!S35*('IAP Correction'!S35+1),'IAP Current'!S35)</f>
        <v>124</v>
      </c>
      <c r="T35" s="27">
        <f>IF(ISNUMBER('IAP Correction'!T35),'IAP Current'!T35*('IAP Correction'!T35+1),'IAP Current'!T35)</f>
        <v>150</v>
      </c>
      <c r="U35" s="27">
        <f>IF(ISNUMBER('IAP Correction'!U35),'IAP Current'!U35*('IAP Correction'!U35+1),'IAP Current'!U35)</f>
        <v>211</v>
      </c>
      <c r="V35" s="27">
        <f>IF(ISNUMBER('IAP Correction'!V35),'IAP Current'!V35*('IAP Correction'!V35+1),'IAP Current'!V35)</f>
        <v>240</v>
      </c>
    </row>
    <row r="36" spans="1:22" x14ac:dyDescent="0.25">
      <c r="A36" s="15">
        <v>10000</v>
      </c>
      <c r="B36" s="27">
        <f>IF(ISNUMBER('IAP Correction'!B36),'IAP Current'!B36*('IAP Correction'!B36+1),'IAP Current'!B36)</f>
        <v>34</v>
      </c>
      <c r="C36" s="27">
        <f>IF(ISNUMBER('IAP Correction'!C36),'IAP Current'!C36*('IAP Correction'!C36+1),'IAP Current'!C36)</f>
        <v>38</v>
      </c>
      <c r="D36" s="27">
        <f>IF(ISNUMBER('IAP Correction'!D36),'IAP Current'!D36*('IAP Correction'!D36+1),'IAP Current'!D36)</f>
        <v>41</v>
      </c>
      <c r="E36" s="27">
        <f>IF(ISNUMBER('IAP Correction'!E36),'IAP Current'!E36*('IAP Correction'!E36+1),'IAP Current'!E36)</f>
        <v>55</v>
      </c>
      <c r="F36" s="27">
        <f>IF(ISNUMBER('IAP Correction'!F36),'IAP Current'!F36*('IAP Correction'!F36+1),'IAP Current'!F36)</f>
        <v>64</v>
      </c>
      <c r="G36" s="27">
        <f>IF(ISNUMBER('IAP Correction'!G36),'IAP Current'!G36*('IAP Correction'!G36+1),'IAP Current'!G36)</f>
        <v>68</v>
      </c>
      <c r="H36" s="27">
        <f>IF(ISNUMBER('IAP Correction'!H36),'IAP Current'!H36*('IAP Correction'!H36+1),'IAP Current'!H36)</f>
        <v>70</v>
      </c>
      <c r="I36" s="27">
        <f>IF(ISNUMBER('IAP Correction'!I36),'IAP Current'!I36*('IAP Correction'!I36+1),'IAP Current'!I36)</f>
        <v>74</v>
      </c>
      <c r="J36" s="27">
        <f>IF(ISNUMBER('IAP Correction'!J36),'IAP Current'!J36*('IAP Correction'!J36+1),'IAP Current'!J36)</f>
        <v>78</v>
      </c>
      <c r="K36" s="27">
        <f>IF(ISNUMBER('IAP Correction'!K36),'IAP Current'!K36*('IAP Correction'!K36+1),'IAP Current'!K36)</f>
        <v>83</v>
      </c>
      <c r="L36" s="27">
        <f>IF(ISNUMBER('IAP Correction'!L36),'IAP Current'!L36*('IAP Correction'!L36+1),'IAP Current'!L36)</f>
        <v>86</v>
      </c>
      <c r="M36" s="27">
        <f>IF(ISNUMBER('IAP Correction'!M36),'IAP Current'!M36*('IAP Correction'!M36+1),'IAP Current'!M36)</f>
        <v>88</v>
      </c>
      <c r="N36" s="27">
        <f>IF(ISNUMBER('IAP Correction'!N36),'IAP Current'!N36*('IAP Correction'!N36+1),'IAP Current'!N36)</f>
        <v>90</v>
      </c>
      <c r="O36" s="27">
        <f>IF(ISNUMBER('IAP Correction'!O36),'IAP Current'!O36*('IAP Correction'!O36+1),'IAP Current'!O36)</f>
        <v>93</v>
      </c>
      <c r="P36" s="27">
        <f>IF(ISNUMBER('IAP Correction'!P36),'IAP Current'!P36*('IAP Correction'!P36+1),'IAP Current'!P36)</f>
        <v>99</v>
      </c>
      <c r="Q36" s="27">
        <f>IF(ISNUMBER('IAP Correction'!Q36),'IAP Current'!Q36*('IAP Correction'!Q36+1),'IAP Current'!Q36)</f>
        <v>104</v>
      </c>
      <c r="R36" s="27">
        <f>IF(ISNUMBER('IAP Correction'!R36),'IAP Current'!R36*('IAP Correction'!R36+1),'IAP Current'!R36)</f>
        <v>109</v>
      </c>
      <c r="S36" s="27">
        <f>IF(ISNUMBER('IAP Correction'!S36),'IAP Current'!S36*('IAP Correction'!S36+1),'IAP Current'!S36)</f>
        <v>119</v>
      </c>
      <c r="T36" s="27">
        <f>IF(ISNUMBER('IAP Correction'!T36),'IAP Current'!T36*('IAP Correction'!T36+1),'IAP Current'!T36)</f>
        <v>148</v>
      </c>
      <c r="U36" s="27">
        <f>IF(ISNUMBER('IAP Correction'!U36),'IAP Current'!U36*('IAP Correction'!U36+1),'IAP Current'!U36)</f>
        <v>212</v>
      </c>
      <c r="V36" s="27">
        <f>IF(ISNUMBER('IAP Correction'!V36),'IAP Current'!V36*('IAP Correction'!V36+1),'IAP Current'!V36)</f>
        <v>243</v>
      </c>
    </row>
    <row r="37" spans="1:22" x14ac:dyDescent="0.25">
      <c r="A37" s="15">
        <v>10400</v>
      </c>
      <c r="B37" s="27">
        <f>IF(ISNUMBER('IAP Correction'!B37),'IAP Current'!B37*('IAP Correction'!B37+1),'IAP Current'!B37)</f>
        <v>34</v>
      </c>
      <c r="C37" s="27">
        <f>IF(ISNUMBER('IAP Correction'!C37),'IAP Current'!C37*('IAP Correction'!C37+1),'IAP Current'!C37)</f>
        <v>38</v>
      </c>
      <c r="D37" s="27">
        <f>IF(ISNUMBER('IAP Correction'!D37),'IAP Current'!D37*('IAP Correction'!D37+1),'IAP Current'!D37)</f>
        <v>41</v>
      </c>
      <c r="E37" s="27">
        <f>IF(ISNUMBER('IAP Correction'!E37),'IAP Current'!E37*('IAP Correction'!E37+1),'IAP Current'!E37)</f>
        <v>55</v>
      </c>
      <c r="F37" s="27">
        <f>IF(ISNUMBER('IAP Correction'!F37),'IAP Current'!F37*('IAP Correction'!F37+1),'IAP Current'!F37)</f>
        <v>64</v>
      </c>
      <c r="G37" s="27">
        <f>IF(ISNUMBER('IAP Correction'!G37),'IAP Current'!G37*('IAP Correction'!G37+1),'IAP Current'!G37)</f>
        <v>66</v>
      </c>
      <c r="H37" s="27">
        <f>IF(ISNUMBER('IAP Correction'!H37),'IAP Current'!H37*('IAP Correction'!H37+1),'IAP Current'!H37)</f>
        <v>69</v>
      </c>
      <c r="I37" s="27">
        <f>IF(ISNUMBER('IAP Correction'!I37),'IAP Current'!I37*('IAP Correction'!I37+1),'IAP Current'!I37)</f>
        <v>72</v>
      </c>
      <c r="J37" s="27">
        <f>IF(ISNUMBER('IAP Correction'!J37),'IAP Current'!J37*('IAP Correction'!J37+1),'IAP Current'!J37)</f>
        <v>75</v>
      </c>
      <c r="K37" s="27">
        <f>IF(ISNUMBER('IAP Correction'!K37),'IAP Current'!K37*('IAP Correction'!K37+1),'IAP Current'!K37)</f>
        <v>80</v>
      </c>
      <c r="L37" s="27">
        <f>IF(ISNUMBER('IAP Correction'!L37),'IAP Current'!L37*('IAP Correction'!L37+1),'IAP Current'!L37)</f>
        <v>86</v>
      </c>
      <c r="M37" s="27">
        <f>IF(ISNUMBER('IAP Correction'!M37),'IAP Current'!M37*('IAP Correction'!M37+1),'IAP Current'!M37)</f>
        <v>88</v>
      </c>
      <c r="N37" s="27">
        <f>IF(ISNUMBER('IAP Correction'!N37),'IAP Current'!N37*('IAP Correction'!N37+1),'IAP Current'!N37)</f>
        <v>90</v>
      </c>
      <c r="O37" s="27">
        <f>IF(ISNUMBER('IAP Correction'!O37),'IAP Current'!O37*('IAP Correction'!O37+1),'IAP Current'!O37)</f>
        <v>94</v>
      </c>
      <c r="P37" s="27">
        <f>IF(ISNUMBER('IAP Correction'!P37),'IAP Current'!P37*('IAP Correction'!P37+1),'IAP Current'!P37)</f>
        <v>102</v>
      </c>
      <c r="Q37" s="27">
        <f>IF(ISNUMBER('IAP Correction'!Q37),'IAP Current'!Q37*('IAP Correction'!Q37+1),'IAP Current'!Q37)</f>
        <v>104</v>
      </c>
      <c r="R37" s="27">
        <f>IF(ISNUMBER('IAP Correction'!R37),'IAP Current'!R37*('IAP Correction'!R37+1),'IAP Current'!R37)</f>
        <v>109</v>
      </c>
      <c r="S37" s="27">
        <f>IF(ISNUMBER('IAP Correction'!S37),'IAP Current'!S37*('IAP Correction'!S37+1),'IAP Current'!S37)</f>
        <v>119</v>
      </c>
      <c r="T37" s="27">
        <f>IF(ISNUMBER('IAP Correction'!T37),'IAP Current'!T37*('IAP Correction'!T37+1),'IAP Current'!T37)</f>
        <v>147</v>
      </c>
      <c r="U37" s="27">
        <f>IF(ISNUMBER('IAP Correction'!U37),'IAP Current'!U37*('IAP Correction'!U37+1),'IAP Current'!U37)</f>
        <v>206</v>
      </c>
      <c r="V37" s="27">
        <f>IF(ISNUMBER('IAP Correction'!V37),'IAP Current'!V37*('IAP Correction'!V37+1),'IAP Current'!V37)</f>
        <v>239</v>
      </c>
    </row>
    <row r="38" spans="1:22" x14ac:dyDescent="0.25">
      <c r="A38" s="15">
        <v>10800</v>
      </c>
      <c r="B38" s="27">
        <f>IF(ISNUMBER('IAP Correction'!B38),'IAP Current'!B38*('IAP Correction'!B38+1),'IAP Current'!B38)</f>
        <v>34</v>
      </c>
      <c r="C38" s="27">
        <f>IF(ISNUMBER('IAP Correction'!C38),'IAP Current'!C38*('IAP Correction'!C38+1),'IAP Current'!C38)</f>
        <v>38</v>
      </c>
      <c r="D38" s="27">
        <f>IF(ISNUMBER('IAP Correction'!D38),'IAP Current'!D38*('IAP Correction'!D38+1),'IAP Current'!D38)</f>
        <v>41</v>
      </c>
      <c r="E38" s="27">
        <f>IF(ISNUMBER('IAP Correction'!E38),'IAP Current'!E38*('IAP Correction'!E38+1),'IAP Current'!E38)</f>
        <v>55</v>
      </c>
      <c r="F38" s="27">
        <f>IF(ISNUMBER('IAP Correction'!F38),'IAP Current'!F38*('IAP Correction'!F38+1),'IAP Current'!F38)</f>
        <v>64</v>
      </c>
      <c r="G38" s="27">
        <f>IF(ISNUMBER('IAP Correction'!G38),'IAP Current'!G38*('IAP Correction'!G38+1),'IAP Current'!G38)</f>
        <v>66</v>
      </c>
      <c r="H38" s="27">
        <f>IF(ISNUMBER('IAP Correction'!H38),'IAP Current'!H38*('IAP Correction'!H38+1),'IAP Current'!H38)</f>
        <v>69</v>
      </c>
      <c r="I38" s="27">
        <f>IF(ISNUMBER('IAP Correction'!I38),'IAP Current'!I38*('IAP Correction'!I38+1),'IAP Current'!I38)</f>
        <v>72</v>
      </c>
      <c r="J38" s="27">
        <f>IF(ISNUMBER('IAP Correction'!J38),'IAP Current'!J38*('IAP Correction'!J38+1),'IAP Current'!J38)</f>
        <v>75</v>
      </c>
      <c r="K38" s="27">
        <f>IF(ISNUMBER('IAP Correction'!K38),'IAP Current'!K38*('IAP Correction'!K38+1),'IAP Current'!K38)</f>
        <v>80</v>
      </c>
      <c r="L38" s="27">
        <f>IF(ISNUMBER('IAP Correction'!L38),'IAP Current'!L38*('IAP Correction'!L38+1),'IAP Current'!L38)</f>
        <v>86</v>
      </c>
      <c r="M38" s="27">
        <f>IF(ISNUMBER('IAP Correction'!M38),'IAP Current'!M38*('IAP Correction'!M38+1),'IAP Current'!M38)</f>
        <v>88</v>
      </c>
      <c r="N38" s="27">
        <f>IF(ISNUMBER('IAP Correction'!N38),'IAP Current'!N38*('IAP Correction'!N38+1),'IAP Current'!N38)</f>
        <v>90</v>
      </c>
      <c r="O38" s="27">
        <f>IF(ISNUMBER('IAP Correction'!O38),'IAP Current'!O38*('IAP Correction'!O38+1),'IAP Current'!O38)</f>
        <v>94</v>
      </c>
      <c r="P38" s="27">
        <f>IF(ISNUMBER('IAP Correction'!P38),'IAP Current'!P38*('IAP Correction'!P38+1),'IAP Current'!P38)</f>
        <v>102</v>
      </c>
      <c r="Q38" s="27">
        <f>IF(ISNUMBER('IAP Correction'!Q38),'IAP Current'!Q38*('IAP Correction'!Q38+1),'IAP Current'!Q38)</f>
        <v>107</v>
      </c>
      <c r="R38" s="27">
        <f>IF(ISNUMBER('IAP Correction'!R38),'IAP Current'!R38*('IAP Correction'!R38+1),'IAP Current'!R38)</f>
        <v>109</v>
      </c>
      <c r="S38" s="27">
        <f>IF(ISNUMBER('IAP Correction'!S38),'IAP Current'!S38*('IAP Correction'!S38+1),'IAP Current'!S38)</f>
        <v>122</v>
      </c>
      <c r="T38" s="27">
        <f>IF(ISNUMBER('IAP Correction'!T38),'IAP Current'!T38*('IAP Correction'!T38+1),'IAP Current'!T38)</f>
        <v>147</v>
      </c>
      <c r="U38" s="27">
        <f>IF(ISNUMBER('IAP Correction'!U38),'IAP Current'!U38*('IAP Correction'!U38+1),'IAP Current'!U38)</f>
        <v>202</v>
      </c>
      <c r="V38" s="27">
        <f>IF(ISNUMBER('IAP Correction'!V38),'IAP Current'!V38*('IAP Correction'!V38+1),'IAP Current'!V38)</f>
        <v>236</v>
      </c>
    </row>
    <row r="39" spans="1:22" x14ac:dyDescent="0.25">
      <c r="A39" s="15">
        <v>11200</v>
      </c>
      <c r="B39" s="27">
        <f>IF(ISNUMBER('IAP Correction'!B39),'IAP Current'!B39*('IAP Correction'!B39+1),'IAP Current'!B39)</f>
        <v>34</v>
      </c>
      <c r="C39" s="27">
        <f>IF(ISNUMBER('IAP Correction'!C39),'IAP Current'!C39*('IAP Correction'!C39+1),'IAP Current'!C39)</f>
        <v>38</v>
      </c>
      <c r="D39" s="27">
        <f>IF(ISNUMBER('IAP Correction'!D39),'IAP Current'!D39*('IAP Correction'!D39+1),'IAP Current'!D39)</f>
        <v>41</v>
      </c>
      <c r="E39" s="27">
        <f>IF(ISNUMBER('IAP Correction'!E39),'IAP Current'!E39*('IAP Correction'!E39+1),'IAP Current'!E39)</f>
        <v>55</v>
      </c>
      <c r="F39" s="27">
        <f>IF(ISNUMBER('IAP Correction'!F39),'IAP Current'!F39*('IAP Correction'!F39+1),'IAP Current'!F39)</f>
        <v>64</v>
      </c>
      <c r="G39" s="27">
        <f>IF(ISNUMBER('IAP Correction'!G39),'IAP Current'!G39*('IAP Correction'!G39+1),'IAP Current'!G39)</f>
        <v>66</v>
      </c>
      <c r="H39" s="27">
        <f>IF(ISNUMBER('IAP Correction'!H39),'IAP Current'!H39*('IAP Correction'!H39+1),'IAP Current'!H39)</f>
        <v>69</v>
      </c>
      <c r="I39" s="27">
        <f>IF(ISNUMBER('IAP Correction'!I39),'IAP Current'!I39*('IAP Correction'!I39+1),'IAP Current'!I39)</f>
        <v>72</v>
      </c>
      <c r="J39" s="27">
        <f>IF(ISNUMBER('IAP Correction'!J39),'IAP Current'!J39*('IAP Correction'!J39+1),'IAP Current'!J39)</f>
        <v>75</v>
      </c>
      <c r="K39" s="27">
        <f>IF(ISNUMBER('IAP Correction'!K39),'IAP Current'!K39*('IAP Correction'!K39+1),'IAP Current'!K39)</f>
        <v>80</v>
      </c>
      <c r="L39" s="27">
        <f>IF(ISNUMBER('IAP Correction'!L39),'IAP Current'!L39*('IAP Correction'!L39+1),'IAP Current'!L39)</f>
        <v>86</v>
      </c>
      <c r="M39" s="27">
        <f>IF(ISNUMBER('IAP Correction'!M39),'IAP Current'!M39*('IAP Correction'!M39+1),'IAP Current'!M39)</f>
        <v>88</v>
      </c>
      <c r="N39" s="27">
        <f>IF(ISNUMBER('IAP Correction'!N39),'IAP Current'!N39*('IAP Correction'!N39+1),'IAP Current'!N39)</f>
        <v>90</v>
      </c>
      <c r="O39" s="27">
        <f>IF(ISNUMBER('IAP Correction'!O39),'IAP Current'!O39*('IAP Correction'!O39+1),'IAP Current'!O39)</f>
        <v>94</v>
      </c>
      <c r="P39" s="27">
        <f>IF(ISNUMBER('IAP Correction'!P39),'IAP Current'!P39*('IAP Correction'!P39+1),'IAP Current'!P39)</f>
        <v>102</v>
      </c>
      <c r="Q39" s="27">
        <f>IF(ISNUMBER('IAP Correction'!Q39),'IAP Current'!Q39*('IAP Correction'!Q39+1),'IAP Current'!Q39)</f>
        <v>107</v>
      </c>
      <c r="R39" s="27">
        <f>IF(ISNUMBER('IAP Correction'!R39),'IAP Current'!R39*('IAP Correction'!R39+1),'IAP Current'!R39)</f>
        <v>109</v>
      </c>
      <c r="S39" s="27">
        <f>IF(ISNUMBER('IAP Correction'!S39),'IAP Current'!S39*('IAP Correction'!S39+1),'IAP Current'!S39)</f>
        <v>122</v>
      </c>
      <c r="T39" s="27">
        <f>IF(ISNUMBER('IAP Correction'!T39),'IAP Current'!T39*('IAP Correction'!T39+1),'IAP Current'!T39)</f>
        <v>147</v>
      </c>
      <c r="U39" s="27">
        <f>IF(ISNUMBER('IAP Correction'!U39),'IAP Current'!U39*('IAP Correction'!U39+1),'IAP Current'!U39)</f>
        <v>200</v>
      </c>
      <c r="V39" s="27">
        <f>IF(ISNUMBER('IAP Correction'!V39),'IAP Current'!V39*('IAP Correction'!V39+1),'IAP Current'!V39)</f>
        <v>231</v>
      </c>
    </row>
    <row r="40" spans="1:22" x14ac:dyDescent="0.25">
      <c r="A40" s="15">
        <v>11600</v>
      </c>
      <c r="B40" s="27">
        <f>IF(ISNUMBER('IAP Correction'!B40),'IAP Current'!B40*('IAP Correction'!B40+1),'IAP Current'!B40)</f>
        <v>34</v>
      </c>
      <c r="C40" s="27">
        <f>IF(ISNUMBER('IAP Correction'!C40),'IAP Current'!C40*('IAP Correction'!C40+1),'IAP Current'!C40)</f>
        <v>38</v>
      </c>
      <c r="D40" s="27">
        <f>IF(ISNUMBER('IAP Correction'!D40),'IAP Current'!D40*('IAP Correction'!D40+1),'IAP Current'!D40)</f>
        <v>41</v>
      </c>
      <c r="E40" s="27">
        <f>IF(ISNUMBER('IAP Correction'!E40),'IAP Current'!E40*('IAP Correction'!E40+1),'IAP Current'!E40)</f>
        <v>55</v>
      </c>
      <c r="F40" s="27">
        <f>IF(ISNUMBER('IAP Correction'!F40),'IAP Current'!F40*('IAP Correction'!F40+1),'IAP Current'!F40)</f>
        <v>64</v>
      </c>
      <c r="G40" s="27">
        <f>IF(ISNUMBER('IAP Correction'!G40),'IAP Current'!G40*('IAP Correction'!G40+1),'IAP Current'!G40)</f>
        <v>66</v>
      </c>
      <c r="H40" s="27">
        <f>IF(ISNUMBER('IAP Correction'!H40),'IAP Current'!H40*('IAP Correction'!H40+1),'IAP Current'!H40)</f>
        <v>69</v>
      </c>
      <c r="I40" s="27">
        <f>IF(ISNUMBER('IAP Correction'!I40),'IAP Current'!I40*('IAP Correction'!I40+1),'IAP Current'!I40)</f>
        <v>72</v>
      </c>
      <c r="J40" s="27">
        <f>IF(ISNUMBER('IAP Correction'!J40),'IAP Current'!J40*('IAP Correction'!J40+1),'IAP Current'!J40)</f>
        <v>75</v>
      </c>
      <c r="K40" s="27">
        <f>IF(ISNUMBER('IAP Correction'!K40),'IAP Current'!K40*('IAP Correction'!K40+1),'IAP Current'!K40)</f>
        <v>80</v>
      </c>
      <c r="L40" s="27">
        <f>IF(ISNUMBER('IAP Correction'!L40),'IAP Current'!L40*('IAP Correction'!L40+1),'IAP Current'!L40)</f>
        <v>86</v>
      </c>
      <c r="M40" s="27">
        <f>IF(ISNUMBER('IAP Correction'!M40),'IAP Current'!M40*('IAP Correction'!M40+1),'IAP Current'!M40)</f>
        <v>88</v>
      </c>
      <c r="N40" s="27">
        <f>IF(ISNUMBER('IAP Correction'!N40),'IAP Current'!N40*('IAP Correction'!N40+1),'IAP Current'!N40)</f>
        <v>90</v>
      </c>
      <c r="O40" s="27">
        <f>IF(ISNUMBER('IAP Correction'!O40),'IAP Current'!O40*('IAP Correction'!O40+1),'IAP Current'!O40)</f>
        <v>94</v>
      </c>
      <c r="P40" s="27">
        <f>IF(ISNUMBER('IAP Correction'!P40),'IAP Current'!P40*('IAP Correction'!P40+1),'IAP Current'!P40)</f>
        <v>102</v>
      </c>
      <c r="Q40" s="27">
        <f>IF(ISNUMBER('IAP Correction'!Q40),'IAP Current'!Q40*('IAP Correction'!Q40+1),'IAP Current'!Q40)</f>
        <v>107</v>
      </c>
      <c r="R40" s="27">
        <f>IF(ISNUMBER('IAP Correction'!R40),'IAP Current'!R40*('IAP Correction'!R40+1),'IAP Current'!R40)</f>
        <v>109</v>
      </c>
      <c r="S40" s="27">
        <f>IF(ISNUMBER('IAP Correction'!S40),'IAP Current'!S40*('IAP Correction'!S40+1),'IAP Current'!S40)</f>
        <v>122</v>
      </c>
      <c r="T40" s="27">
        <f>IF(ISNUMBER('IAP Correction'!T40),'IAP Current'!T40*('IAP Correction'!T40+1),'IAP Current'!T40)</f>
        <v>147</v>
      </c>
      <c r="U40" s="27">
        <f>IF(ISNUMBER('IAP Correction'!U40),'IAP Current'!U40*('IAP Correction'!U40+1),'IAP Current'!U40)</f>
        <v>196</v>
      </c>
      <c r="V40" s="27">
        <f>IF(ISNUMBER('IAP Correction'!V40),'IAP Current'!V40*('IAP Correction'!V40+1),'IAP Current'!V40)</f>
        <v>228</v>
      </c>
    </row>
    <row r="41" spans="1:22" x14ac:dyDescent="0.25">
      <c r="A41" s="15">
        <v>12000</v>
      </c>
      <c r="B41" s="27">
        <f>IF(ISNUMBER('IAP Correction'!B41),'IAP Current'!B41*('IAP Correction'!B41+1),'IAP Current'!B41)</f>
        <v>34</v>
      </c>
      <c r="C41" s="27">
        <f>IF(ISNUMBER('IAP Correction'!C41),'IAP Current'!C41*('IAP Correction'!C41+1),'IAP Current'!C41)</f>
        <v>38</v>
      </c>
      <c r="D41" s="27">
        <f>IF(ISNUMBER('IAP Correction'!D41),'IAP Current'!D41*('IAP Correction'!D41+1),'IAP Current'!D41)</f>
        <v>41</v>
      </c>
      <c r="E41" s="27">
        <f>IF(ISNUMBER('IAP Correction'!E41),'IAP Current'!E41*('IAP Correction'!E41+1),'IAP Current'!E41)</f>
        <v>55</v>
      </c>
      <c r="F41" s="27">
        <f>IF(ISNUMBER('IAP Correction'!F41),'IAP Current'!F41*('IAP Correction'!F41+1),'IAP Current'!F41)</f>
        <v>64</v>
      </c>
      <c r="G41" s="27">
        <f>IF(ISNUMBER('IAP Correction'!G41),'IAP Current'!G41*('IAP Correction'!G41+1),'IAP Current'!G41)</f>
        <v>66</v>
      </c>
      <c r="H41" s="27">
        <f>IF(ISNUMBER('IAP Correction'!H41),'IAP Current'!H41*('IAP Correction'!H41+1),'IAP Current'!H41)</f>
        <v>69</v>
      </c>
      <c r="I41" s="27">
        <f>IF(ISNUMBER('IAP Correction'!I41),'IAP Current'!I41*('IAP Correction'!I41+1),'IAP Current'!I41)</f>
        <v>72</v>
      </c>
      <c r="J41" s="27">
        <f>IF(ISNUMBER('IAP Correction'!J41),'IAP Current'!J41*('IAP Correction'!J41+1),'IAP Current'!J41)</f>
        <v>75</v>
      </c>
      <c r="K41" s="27">
        <f>IF(ISNUMBER('IAP Correction'!K41),'IAP Current'!K41*('IAP Correction'!K41+1),'IAP Current'!K41)</f>
        <v>80</v>
      </c>
      <c r="L41" s="27">
        <f>IF(ISNUMBER('IAP Correction'!L41),'IAP Current'!L41*('IAP Correction'!L41+1),'IAP Current'!L41)</f>
        <v>86</v>
      </c>
      <c r="M41" s="27">
        <f>IF(ISNUMBER('IAP Correction'!M41),'IAP Current'!M41*('IAP Correction'!M41+1),'IAP Current'!M41)</f>
        <v>88</v>
      </c>
      <c r="N41" s="27">
        <f>IF(ISNUMBER('IAP Correction'!N41),'IAP Current'!N41*('IAP Correction'!N41+1),'IAP Current'!N41)</f>
        <v>90</v>
      </c>
      <c r="O41" s="27">
        <f>IF(ISNUMBER('IAP Correction'!O41),'IAP Current'!O41*('IAP Correction'!O41+1),'IAP Current'!O41)</f>
        <v>94</v>
      </c>
      <c r="P41" s="27">
        <f>IF(ISNUMBER('IAP Correction'!P41),'IAP Current'!P41*('IAP Correction'!P41+1),'IAP Current'!P41)</f>
        <v>102</v>
      </c>
      <c r="Q41" s="27">
        <f>IF(ISNUMBER('IAP Correction'!Q41),'IAP Current'!Q41*('IAP Correction'!Q41+1),'IAP Current'!Q41)</f>
        <v>107</v>
      </c>
      <c r="R41" s="27">
        <f>IF(ISNUMBER('IAP Correction'!R41),'IAP Current'!R41*('IAP Correction'!R41+1),'IAP Current'!R41)</f>
        <v>109</v>
      </c>
      <c r="S41" s="27">
        <f>IF(ISNUMBER('IAP Correction'!S41),'IAP Current'!S41*('IAP Correction'!S41+1),'IAP Current'!S41)</f>
        <v>122</v>
      </c>
      <c r="T41" s="27">
        <f>IF(ISNUMBER('IAP Correction'!T41),'IAP Current'!T41*('IAP Correction'!T41+1),'IAP Current'!T41)</f>
        <v>147</v>
      </c>
      <c r="U41" s="27">
        <f>IF(ISNUMBER('IAP Correction'!U41),'IAP Current'!U41*('IAP Correction'!U41+1),'IAP Current'!U41)</f>
        <v>196</v>
      </c>
      <c r="V41" s="27">
        <f>IF(ISNUMBER('IAP Correction'!V41),'IAP Current'!V41*('IAP Correction'!V41+1),'IAP Current'!V41)</f>
        <v>222</v>
      </c>
    </row>
    <row r="42" spans="1:22" x14ac:dyDescent="0.25">
      <c r="A42" s="15">
        <v>12400</v>
      </c>
      <c r="B42" s="27">
        <f>IF(ISNUMBER('IAP Correction'!B42),'IAP Current'!B42*('IAP Correction'!B42+1),'IAP Current'!B42)</f>
        <v>34</v>
      </c>
      <c r="C42" s="27">
        <f>IF(ISNUMBER('IAP Correction'!C42),'IAP Current'!C42*('IAP Correction'!C42+1),'IAP Current'!C42)</f>
        <v>38</v>
      </c>
      <c r="D42" s="27">
        <f>IF(ISNUMBER('IAP Correction'!D42),'IAP Current'!D42*('IAP Correction'!D42+1),'IAP Current'!D42)</f>
        <v>41</v>
      </c>
      <c r="E42" s="27">
        <f>IF(ISNUMBER('IAP Correction'!E42),'IAP Current'!E42*('IAP Correction'!E42+1),'IAP Current'!E42)</f>
        <v>55</v>
      </c>
      <c r="F42" s="27">
        <f>IF(ISNUMBER('IAP Correction'!F42),'IAP Current'!F42*('IAP Correction'!F42+1),'IAP Current'!F42)</f>
        <v>64</v>
      </c>
      <c r="G42" s="27">
        <f>IF(ISNUMBER('IAP Correction'!G42),'IAP Current'!G42*('IAP Correction'!G42+1),'IAP Current'!G42)</f>
        <v>66</v>
      </c>
      <c r="H42" s="27">
        <f>IF(ISNUMBER('IAP Correction'!H42),'IAP Current'!H42*('IAP Correction'!H42+1),'IAP Current'!H42)</f>
        <v>69</v>
      </c>
      <c r="I42" s="27">
        <f>IF(ISNUMBER('IAP Correction'!I42),'IAP Current'!I42*('IAP Correction'!I42+1),'IAP Current'!I42)</f>
        <v>72</v>
      </c>
      <c r="J42" s="27">
        <f>IF(ISNUMBER('IAP Correction'!J42),'IAP Current'!J42*('IAP Correction'!J42+1),'IAP Current'!J42)</f>
        <v>75</v>
      </c>
      <c r="K42" s="27">
        <f>IF(ISNUMBER('IAP Correction'!K42),'IAP Current'!K42*('IAP Correction'!K42+1),'IAP Current'!K42)</f>
        <v>80</v>
      </c>
      <c r="L42" s="27">
        <f>IF(ISNUMBER('IAP Correction'!L42),'IAP Current'!L42*('IAP Correction'!L42+1),'IAP Current'!L42)</f>
        <v>86</v>
      </c>
      <c r="M42" s="27">
        <f>IF(ISNUMBER('IAP Correction'!M42),'IAP Current'!M42*('IAP Correction'!M42+1),'IAP Current'!M42)</f>
        <v>88</v>
      </c>
      <c r="N42" s="27">
        <f>IF(ISNUMBER('IAP Correction'!N42),'IAP Current'!N42*('IAP Correction'!N42+1),'IAP Current'!N42)</f>
        <v>90</v>
      </c>
      <c r="O42" s="27">
        <f>IF(ISNUMBER('IAP Correction'!O42),'IAP Current'!O42*('IAP Correction'!O42+1),'IAP Current'!O42)</f>
        <v>94</v>
      </c>
      <c r="P42" s="27">
        <f>IF(ISNUMBER('IAP Correction'!P42),'IAP Current'!P42*('IAP Correction'!P42+1),'IAP Current'!P42)</f>
        <v>102</v>
      </c>
      <c r="Q42" s="27">
        <f>IF(ISNUMBER('IAP Correction'!Q42),'IAP Current'!Q42*('IAP Correction'!Q42+1),'IAP Current'!Q42)</f>
        <v>107</v>
      </c>
      <c r="R42" s="27">
        <f>IF(ISNUMBER('IAP Correction'!R42),'IAP Current'!R42*('IAP Correction'!R42+1),'IAP Current'!R42)</f>
        <v>109</v>
      </c>
      <c r="S42" s="27">
        <f>IF(ISNUMBER('IAP Correction'!S42),'IAP Current'!S42*('IAP Correction'!S42+1),'IAP Current'!S42)</f>
        <v>122</v>
      </c>
      <c r="T42" s="27">
        <f>IF(ISNUMBER('IAP Correction'!T42),'IAP Current'!T42*('IAP Correction'!T42+1),'IAP Current'!T42)</f>
        <v>147</v>
      </c>
      <c r="U42" s="27">
        <f>IF(ISNUMBER('IAP Correction'!U42),'IAP Current'!U42*('IAP Correction'!U42+1),'IAP Current'!U42)</f>
        <v>196</v>
      </c>
      <c r="V42" s="27">
        <f>IF(ISNUMBER('IAP Correction'!V42),'IAP Current'!V42*('IAP Correction'!V42+1),'IAP Current'!V42)</f>
        <v>222</v>
      </c>
    </row>
    <row r="43" spans="1:22" ht="13.8" thickBot="1" x14ac:dyDescent="0.3">
      <c r="A43" s="16">
        <v>12800</v>
      </c>
      <c r="B43" s="27">
        <f>IF(ISNUMBER('IAP Correction'!B43),'IAP Current'!B43*('IAP Correction'!B43+1),'IAP Current'!B43)</f>
        <v>34</v>
      </c>
      <c r="C43" s="27">
        <f>IF(ISNUMBER('IAP Correction'!C43),'IAP Current'!C43*('IAP Correction'!C43+1),'IAP Current'!C43)</f>
        <v>38</v>
      </c>
      <c r="D43" s="27">
        <f>IF(ISNUMBER('IAP Correction'!D43),'IAP Current'!D43*('IAP Correction'!D43+1),'IAP Current'!D43)</f>
        <v>41</v>
      </c>
      <c r="E43" s="27">
        <f>IF(ISNUMBER('IAP Correction'!E43),'IAP Current'!E43*('IAP Correction'!E43+1),'IAP Current'!E43)</f>
        <v>55</v>
      </c>
      <c r="F43" s="27">
        <f>IF(ISNUMBER('IAP Correction'!F43),'IAP Current'!F43*('IAP Correction'!F43+1),'IAP Current'!F43)</f>
        <v>64</v>
      </c>
      <c r="G43" s="27">
        <f>IF(ISNUMBER('IAP Correction'!G43),'IAP Current'!G43*('IAP Correction'!G43+1),'IAP Current'!G43)</f>
        <v>66</v>
      </c>
      <c r="H43" s="27">
        <f>IF(ISNUMBER('IAP Correction'!H43),'IAP Current'!H43*('IAP Correction'!H43+1),'IAP Current'!H43)</f>
        <v>69</v>
      </c>
      <c r="I43" s="27">
        <f>IF(ISNUMBER('IAP Correction'!I43),'IAP Current'!I43*('IAP Correction'!I43+1),'IAP Current'!I43)</f>
        <v>72</v>
      </c>
      <c r="J43" s="27">
        <f>IF(ISNUMBER('IAP Correction'!J43),'IAP Current'!J43*('IAP Correction'!J43+1),'IAP Current'!J43)</f>
        <v>75</v>
      </c>
      <c r="K43" s="27">
        <f>IF(ISNUMBER('IAP Correction'!K43),'IAP Current'!K43*('IAP Correction'!K43+1),'IAP Current'!K43)</f>
        <v>80</v>
      </c>
      <c r="L43" s="27">
        <f>IF(ISNUMBER('IAP Correction'!L43),'IAP Current'!L43*('IAP Correction'!L43+1),'IAP Current'!L43)</f>
        <v>86</v>
      </c>
      <c r="M43" s="27">
        <f>IF(ISNUMBER('IAP Correction'!M43),'IAP Current'!M43*('IAP Correction'!M43+1),'IAP Current'!M43)</f>
        <v>88</v>
      </c>
      <c r="N43" s="27">
        <f>IF(ISNUMBER('IAP Correction'!N43),'IAP Current'!N43*('IAP Correction'!N43+1),'IAP Current'!N43)</f>
        <v>90</v>
      </c>
      <c r="O43" s="27">
        <f>IF(ISNUMBER('IAP Correction'!O43),'IAP Current'!O43*('IAP Correction'!O43+1),'IAP Current'!O43)</f>
        <v>94</v>
      </c>
      <c r="P43" s="27">
        <f>IF(ISNUMBER('IAP Correction'!P43),'IAP Current'!P43*('IAP Correction'!P43+1),'IAP Current'!P43)</f>
        <v>102</v>
      </c>
      <c r="Q43" s="27">
        <f>IF(ISNUMBER('IAP Correction'!Q43),'IAP Current'!Q43*('IAP Correction'!Q43+1),'IAP Current'!Q43)</f>
        <v>107</v>
      </c>
      <c r="R43" s="27">
        <f>IF(ISNUMBER('IAP Correction'!R43),'IAP Current'!R43*('IAP Correction'!R43+1),'IAP Current'!R43)</f>
        <v>109</v>
      </c>
      <c r="S43" s="27">
        <f>IF(ISNUMBER('IAP Correction'!S43),'IAP Current'!S43*('IAP Correction'!S43+1),'IAP Current'!S43)</f>
        <v>122</v>
      </c>
      <c r="T43" s="27">
        <f>IF(ISNUMBER('IAP Correction'!T43),'IAP Current'!T43*('IAP Correction'!T43+1),'IAP Current'!T43)</f>
        <v>147</v>
      </c>
      <c r="U43" s="27">
        <f>IF(ISNUMBER('IAP Correction'!U43),'IAP Current'!U43*('IAP Correction'!U43+1),'IAP Current'!U43)</f>
        <v>263.30213243546581</v>
      </c>
      <c r="V43" s="27">
        <f>IF(ISNUMBER('IAP Correction'!V43),'IAP Current'!V43*('IAP Correction'!V43+1),'IAP Current'!V43)</f>
        <v>222</v>
      </c>
    </row>
  </sheetData>
  <sheetProtection algorithmName="SHA-512" hashValue="AffISpSp9Fye2OH4EhVhlZ+29fkoZZuE3eZ7Hp05HPl9nerSX1LSqSP0BpIi/KLyg/hCF/fdqW/CtKxJiGP79g==" saltValue="S8oMBU/S8AnxRCPNY1StaA==" spinCount="100000" sheet="1" objects="1" scenarios="1"/>
  <conditionalFormatting sqref="B2:V43">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DataLog</vt:lpstr>
      <vt:lpstr>MAIN</vt:lpstr>
      <vt:lpstr>TPS data</vt:lpstr>
      <vt:lpstr>IAP data</vt:lpstr>
      <vt:lpstr>TPS Current</vt:lpstr>
      <vt:lpstr>IAP Current</vt:lpstr>
      <vt:lpstr>Des TPS AFR</vt:lpstr>
      <vt:lpstr>Des IAP AFR</vt:lpstr>
      <vt:lpstr>TPS Correction</vt:lpstr>
      <vt:lpstr>IAP Correction</vt:lpstr>
      <vt:lpstr>Auto Correct TPS</vt:lpstr>
      <vt:lpstr>Auto Correct IAP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Jerad S. Ames</dc:creator>
  <cp:lastModifiedBy>Ames, Jerad (VooDoo)</cp:lastModifiedBy>
  <dcterms:created xsi:type="dcterms:W3CDTF">2023-11-13T13:09:58Z</dcterms:created>
  <dcterms:modified xsi:type="dcterms:W3CDTF">2023-12-17T22:13:26Z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ead8c9b4-da16-4fa6-b5d0-3e1e2a81ffff</vt:lpwstr>
  </property>
  <property fmtid="{D5CDD505-2E9C-101B-9397-08002B2CF9AE}" pid="3" name="Workbook type">
    <vt:lpwstr>Custom</vt:lpwstr>
  </property>
  <property fmtid="{D5CDD505-2E9C-101B-9397-08002B2CF9AE}" pid="4" name="Workbook version">
    <vt:lpwstr>Custom</vt:lpwstr>
  </property>
</Properties>
</file>