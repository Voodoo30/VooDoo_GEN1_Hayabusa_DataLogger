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drawings/drawing10.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Administrator\Desktop\"/>
    </mc:Choice>
  </mc:AlternateContent>
  <xr:revisionPtr revIDLastSave="0" documentId="13_ncr:1_{4541DF4C-14F9-4424-9989-E14D6D01D8D2}" xr6:coauthVersionLast="47" xr6:coauthVersionMax="47" xr10:uidLastSave="{00000000-0000-0000-0000-000000000000}"/>
  <bookViews>
    <workbookView xWindow="-108" yWindow="-108" windowWidth="23256" windowHeight="12576" tabRatio="804" firstSheet="1" activeTab="1" xr2:uid="{00000000-000D-0000-FFFF-FFFF00000000}"/>
  </bookViews>
  <sheets>
    <sheet name="DataLog" sheetId="13" state="hidden" r:id="rId1"/>
    <sheet name="MAIN" sheetId="9" r:id="rId2"/>
    <sheet name="TPS data" sheetId="4" r:id="rId3"/>
    <sheet name="IAP data" sheetId="5" r:id="rId4"/>
    <sheet name="TPS Current" sheetId="1" r:id="rId5"/>
    <sheet name="IAP Current" sheetId="2" r:id="rId6"/>
    <sheet name="Des TPS AFR" sheetId="3" r:id="rId7"/>
    <sheet name="Des IAP AFR" sheetId="8" r:id="rId8"/>
    <sheet name="TPS Correction" sheetId="6" r:id="rId9"/>
    <sheet name="IAP Correction" sheetId="7" r:id="rId10"/>
    <sheet name="Auto Correct TPS" sheetId="11" r:id="rId11"/>
    <sheet name="Auto Correct IAP" sheetId="12" r:id="rId12"/>
  </sheets>
  <definedNames>
    <definedName name="DataChannelCountSetting">#REF!</definedName>
    <definedName name="DataDelaySetting">#REF!</definedName>
    <definedName name="DataOrientationSetting">#REF!</definedName>
    <definedName name="DataRowCountSetting">#REF!</definedName>
    <definedName name="Manifest_BaudRate">#REF!</definedName>
    <definedName name="Manifest_DataInterval">#REF!</definedName>
    <definedName name="Manifest_Generated">#REF!</definedName>
    <definedName name="Manifest_Id">#REF!</definedName>
    <definedName name="Manifest_Schem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B3" i="7" l="1"/>
  <c r="B3" i="12" s="1"/>
  <c r="C3" i="7"/>
  <c r="C3" i="12" s="1"/>
  <c r="D3" i="7"/>
  <c r="D3" i="12" s="1"/>
  <c r="E3" i="7"/>
  <c r="F3" i="7"/>
  <c r="F3" i="12" s="1"/>
  <c r="G3" i="7"/>
  <c r="G3" i="12" s="1"/>
  <c r="H3" i="7"/>
  <c r="H3" i="12" s="1"/>
  <c r="I3" i="7"/>
  <c r="I3" i="12" s="1"/>
  <c r="J3" i="7"/>
  <c r="J3" i="12" s="1"/>
  <c r="K3" i="7"/>
  <c r="K3" i="12" s="1"/>
  <c r="L3" i="7"/>
  <c r="L3" i="12" s="1"/>
  <c r="M3" i="7"/>
  <c r="M3" i="12" s="1"/>
  <c r="N3" i="7"/>
  <c r="N3" i="12" s="1"/>
  <c r="O3" i="7"/>
  <c r="O3" i="12" s="1"/>
  <c r="P3" i="7"/>
  <c r="P3" i="12" s="1"/>
  <c r="Q3" i="7"/>
  <c r="Q3" i="12" s="1"/>
  <c r="R3" i="7"/>
  <c r="R3" i="12" s="1"/>
  <c r="S3" i="7"/>
  <c r="S3" i="12" s="1"/>
  <c r="T3" i="7"/>
  <c r="T3" i="12" s="1"/>
  <c r="U3" i="7"/>
  <c r="U3" i="12" s="1"/>
  <c r="V3" i="7"/>
  <c r="V3" i="12" s="1"/>
  <c r="B4" i="7"/>
  <c r="B4" i="12" s="1"/>
  <c r="C4" i="7"/>
  <c r="C4" i="12" s="1"/>
  <c r="D4" i="7"/>
  <c r="D4" i="12" s="1"/>
  <c r="E4" i="7"/>
  <c r="E4" i="12" s="1"/>
  <c r="F4" i="7"/>
  <c r="F4" i="12" s="1"/>
  <c r="G4" i="7"/>
  <c r="G4" i="12" s="1"/>
  <c r="H4" i="7"/>
  <c r="H4" i="12" s="1"/>
  <c r="I4" i="7"/>
  <c r="I4" i="12" s="1"/>
  <c r="J4" i="7"/>
  <c r="J4" i="12" s="1"/>
  <c r="K4" i="7"/>
  <c r="K4" i="12" s="1"/>
  <c r="L4" i="7"/>
  <c r="L4" i="12" s="1"/>
  <c r="M4" i="7"/>
  <c r="M4" i="12" s="1"/>
  <c r="N4" i="7"/>
  <c r="N4" i="12" s="1"/>
  <c r="O4" i="7"/>
  <c r="O4" i="12" s="1"/>
  <c r="P4" i="7"/>
  <c r="P4" i="12" s="1"/>
  <c r="Q4" i="7"/>
  <c r="Q4" i="12" s="1"/>
  <c r="R4" i="7"/>
  <c r="R4" i="12" s="1"/>
  <c r="S4" i="7"/>
  <c r="S4" i="12" s="1"/>
  <c r="T4" i="7"/>
  <c r="T4" i="12" s="1"/>
  <c r="U4" i="7"/>
  <c r="U4" i="12" s="1"/>
  <c r="V4" i="7"/>
  <c r="V4" i="12" s="1"/>
  <c r="B5" i="7"/>
  <c r="B5" i="12" s="1"/>
  <c r="C5" i="7"/>
  <c r="C5" i="12" s="1"/>
  <c r="D5" i="7"/>
  <c r="D5" i="12" s="1"/>
  <c r="E5" i="7"/>
  <c r="E5" i="12" s="1"/>
  <c r="F5" i="7"/>
  <c r="F5" i="12" s="1"/>
  <c r="G5" i="7"/>
  <c r="G5" i="12" s="1"/>
  <c r="H5" i="7"/>
  <c r="I5" i="7"/>
  <c r="I5" i="12" s="1"/>
  <c r="J5" i="7"/>
  <c r="J5" i="12" s="1"/>
  <c r="K5" i="7"/>
  <c r="K5" i="12" s="1"/>
  <c r="L5" i="7"/>
  <c r="L5" i="12" s="1"/>
  <c r="M5" i="7"/>
  <c r="M5" i="12" s="1"/>
  <c r="N5" i="7"/>
  <c r="N5" i="12" s="1"/>
  <c r="O5" i="7"/>
  <c r="O5" i="12" s="1"/>
  <c r="P5" i="7"/>
  <c r="P5" i="12" s="1"/>
  <c r="Q5" i="7"/>
  <c r="Q5" i="12" s="1"/>
  <c r="R5" i="7"/>
  <c r="R5" i="12" s="1"/>
  <c r="S5" i="7"/>
  <c r="S5" i="12" s="1"/>
  <c r="T5" i="7"/>
  <c r="T5" i="12" s="1"/>
  <c r="U5" i="7"/>
  <c r="U5" i="12" s="1"/>
  <c r="V5" i="7"/>
  <c r="V5" i="12" s="1"/>
  <c r="B6" i="7"/>
  <c r="B6" i="12" s="1"/>
  <c r="C6" i="7"/>
  <c r="C6" i="12" s="1"/>
  <c r="D6" i="7"/>
  <c r="D6" i="12" s="1"/>
  <c r="E6" i="7"/>
  <c r="E6" i="12" s="1"/>
  <c r="F6" i="7"/>
  <c r="F6" i="12" s="1"/>
  <c r="G6" i="7"/>
  <c r="G6" i="12" s="1"/>
  <c r="H6" i="7"/>
  <c r="H6" i="12" s="1"/>
  <c r="I6" i="7"/>
  <c r="I6" i="12" s="1"/>
  <c r="J6" i="7"/>
  <c r="J6" i="12" s="1"/>
  <c r="K6" i="7"/>
  <c r="K6" i="12" s="1"/>
  <c r="L6" i="7"/>
  <c r="L6" i="12" s="1"/>
  <c r="M6" i="7"/>
  <c r="M6" i="12" s="1"/>
  <c r="N6" i="7"/>
  <c r="O6" i="7"/>
  <c r="O6" i="12" s="1"/>
  <c r="P6" i="7"/>
  <c r="P6" i="12" s="1"/>
  <c r="Q6" i="7"/>
  <c r="Q6" i="12" s="1"/>
  <c r="R6" i="7"/>
  <c r="R6" i="12" s="1"/>
  <c r="S6" i="7"/>
  <c r="S6" i="12" s="1"/>
  <c r="T6" i="7"/>
  <c r="T6" i="12" s="1"/>
  <c r="U6" i="7"/>
  <c r="U6" i="12" s="1"/>
  <c r="V6" i="7"/>
  <c r="V6" i="12" s="1"/>
  <c r="B7" i="7"/>
  <c r="B7" i="12" s="1"/>
  <c r="C7" i="7"/>
  <c r="C7" i="12" s="1"/>
  <c r="D7" i="7"/>
  <c r="D7" i="12" s="1"/>
  <c r="E7" i="7"/>
  <c r="E7" i="12" s="1"/>
  <c r="F7" i="7"/>
  <c r="F7" i="12" s="1"/>
  <c r="G7" i="7"/>
  <c r="G7" i="12" s="1"/>
  <c r="H7" i="7"/>
  <c r="H7" i="12" s="1"/>
  <c r="I7" i="7"/>
  <c r="I7" i="12" s="1"/>
  <c r="J7" i="7"/>
  <c r="J7" i="12" s="1"/>
  <c r="K7" i="7"/>
  <c r="K7" i="12" s="1"/>
  <c r="L7" i="7"/>
  <c r="L7" i="12" s="1"/>
  <c r="M7" i="7"/>
  <c r="M7" i="12" s="1"/>
  <c r="N7" i="7"/>
  <c r="N7" i="12" s="1"/>
  <c r="O7" i="7"/>
  <c r="O7" i="12" s="1"/>
  <c r="P7" i="7"/>
  <c r="P7" i="12" s="1"/>
  <c r="Q7" i="7"/>
  <c r="Q7" i="12" s="1"/>
  <c r="R7" i="7"/>
  <c r="R7" i="12" s="1"/>
  <c r="S7" i="7"/>
  <c r="S7" i="12" s="1"/>
  <c r="T7" i="7"/>
  <c r="T7" i="12" s="1"/>
  <c r="U7" i="7"/>
  <c r="U7" i="12" s="1"/>
  <c r="V7" i="7"/>
  <c r="V7" i="12" s="1"/>
  <c r="B8" i="7"/>
  <c r="B8" i="12" s="1"/>
  <c r="C8" i="7"/>
  <c r="C8" i="12" s="1"/>
  <c r="D8" i="7"/>
  <c r="D8" i="12" s="1"/>
  <c r="E8" i="7"/>
  <c r="E8" i="12" s="1"/>
  <c r="F8" i="7"/>
  <c r="F8" i="12" s="1"/>
  <c r="G8" i="7"/>
  <c r="G8" i="12" s="1"/>
  <c r="H8" i="7"/>
  <c r="H8" i="12" s="1"/>
  <c r="I8" i="7"/>
  <c r="I8" i="12" s="1"/>
  <c r="J8" i="7"/>
  <c r="J8" i="12" s="1"/>
  <c r="K8" i="7"/>
  <c r="K8" i="12" s="1"/>
  <c r="L8" i="7"/>
  <c r="L8" i="12" s="1"/>
  <c r="M8" i="7"/>
  <c r="M8" i="12" s="1"/>
  <c r="N8" i="7"/>
  <c r="N8" i="12" s="1"/>
  <c r="O8" i="7"/>
  <c r="O8" i="12" s="1"/>
  <c r="P8" i="7"/>
  <c r="P8" i="12" s="1"/>
  <c r="Q8" i="7"/>
  <c r="Q8" i="12" s="1"/>
  <c r="R8" i="7"/>
  <c r="R8" i="12" s="1"/>
  <c r="S8" i="7"/>
  <c r="S8" i="12" s="1"/>
  <c r="T8" i="7"/>
  <c r="T8" i="12" s="1"/>
  <c r="U8" i="7"/>
  <c r="U8" i="12" s="1"/>
  <c r="V8" i="7"/>
  <c r="V8" i="12" s="1"/>
  <c r="B9" i="7"/>
  <c r="B9" i="12" s="1"/>
  <c r="C9" i="7"/>
  <c r="C9" i="12" s="1"/>
  <c r="D9" i="7"/>
  <c r="D9" i="12" s="1"/>
  <c r="E9" i="7"/>
  <c r="E9" i="12" s="1"/>
  <c r="F9" i="7"/>
  <c r="F9" i="12" s="1"/>
  <c r="G9" i="7"/>
  <c r="G9" i="12" s="1"/>
  <c r="H9" i="7"/>
  <c r="H9" i="12" s="1"/>
  <c r="I9" i="7"/>
  <c r="I9" i="12" s="1"/>
  <c r="J9" i="7"/>
  <c r="J9" i="12" s="1"/>
  <c r="K9" i="7"/>
  <c r="K9" i="12" s="1"/>
  <c r="L9" i="7"/>
  <c r="L9" i="12" s="1"/>
  <c r="M9" i="7"/>
  <c r="M9" i="12" s="1"/>
  <c r="N9" i="7"/>
  <c r="N9" i="12" s="1"/>
  <c r="O9" i="7"/>
  <c r="O9" i="12" s="1"/>
  <c r="P9" i="7"/>
  <c r="P9" i="12" s="1"/>
  <c r="Q9" i="7"/>
  <c r="Q9" i="12" s="1"/>
  <c r="R9" i="7"/>
  <c r="R9" i="12" s="1"/>
  <c r="S9" i="7"/>
  <c r="S9" i="12" s="1"/>
  <c r="T9" i="7"/>
  <c r="T9" i="12" s="1"/>
  <c r="U9" i="7"/>
  <c r="U9" i="12" s="1"/>
  <c r="V9" i="7"/>
  <c r="V9" i="12" s="1"/>
  <c r="B10" i="7"/>
  <c r="C10" i="7"/>
  <c r="C10" i="12" s="1"/>
  <c r="D10" i="7"/>
  <c r="D10" i="12" s="1"/>
  <c r="E10" i="7"/>
  <c r="E10" i="12" s="1"/>
  <c r="F10" i="7"/>
  <c r="F10" i="12" s="1"/>
  <c r="G10" i="7"/>
  <c r="G10" i="12" s="1"/>
  <c r="H10" i="7"/>
  <c r="H10" i="12" s="1"/>
  <c r="I10" i="7"/>
  <c r="I10" i="12" s="1"/>
  <c r="J10" i="7"/>
  <c r="J10" i="12" s="1"/>
  <c r="K10" i="7"/>
  <c r="K10" i="12" s="1"/>
  <c r="L10" i="7"/>
  <c r="L10" i="12" s="1"/>
  <c r="M10" i="7"/>
  <c r="M10" i="12" s="1"/>
  <c r="N10" i="7"/>
  <c r="N10" i="12" s="1"/>
  <c r="O10" i="7"/>
  <c r="O10" i="12" s="1"/>
  <c r="P10" i="7"/>
  <c r="P10" i="12" s="1"/>
  <c r="Q10" i="7"/>
  <c r="Q10" i="12" s="1"/>
  <c r="R10" i="7"/>
  <c r="R10" i="12" s="1"/>
  <c r="S10" i="7"/>
  <c r="S10" i="12" s="1"/>
  <c r="T10" i="7"/>
  <c r="T10" i="12" s="1"/>
  <c r="U10" i="7"/>
  <c r="U10" i="12" s="1"/>
  <c r="V10" i="7"/>
  <c r="V10" i="12" s="1"/>
  <c r="B11" i="7"/>
  <c r="B11" i="12" s="1"/>
  <c r="C11" i="7"/>
  <c r="C11" i="12" s="1"/>
  <c r="D11" i="7"/>
  <c r="D11" i="12" s="1"/>
  <c r="E11" i="7"/>
  <c r="E11" i="12" s="1"/>
  <c r="F11" i="7"/>
  <c r="F11" i="12" s="1"/>
  <c r="G11" i="7"/>
  <c r="G11" i="12" s="1"/>
  <c r="H11" i="7"/>
  <c r="H11" i="12" s="1"/>
  <c r="I11" i="7"/>
  <c r="I11" i="12" s="1"/>
  <c r="J11" i="7"/>
  <c r="J11" i="12" s="1"/>
  <c r="K11" i="7"/>
  <c r="K11" i="12" s="1"/>
  <c r="L11" i="7"/>
  <c r="L11" i="12" s="1"/>
  <c r="M11" i="7"/>
  <c r="M11" i="12" s="1"/>
  <c r="N11" i="7"/>
  <c r="N11" i="12" s="1"/>
  <c r="O11" i="7"/>
  <c r="O11" i="12" s="1"/>
  <c r="P11" i="7"/>
  <c r="P11" i="12" s="1"/>
  <c r="Q11" i="7"/>
  <c r="Q11" i="12" s="1"/>
  <c r="R11" i="7"/>
  <c r="R11" i="12" s="1"/>
  <c r="S11" i="7"/>
  <c r="S11" i="12" s="1"/>
  <c r="T11" i="7"/>
  <c r="T11" i="12" s="1"/>
  <c r="U11" i="7"/>
  <c r="U11" i="12" s="1"/>
  <c r="V11" i="7"/>
  <c r="V11" i="12" s="1"/>
  <c r="B12" i="7"/>
  <c r="B12" i="12" s="1"/>
  <c r="C12" i="7"/>
  <c r="C12" i="12" s="1"/>
  <c r="D12" i="7"/>
  <c r="D12" i="12" s="1"/>
  <c r="E12" i="7"/>
  <c r="E12" i="12" s="1"/>
  <c r="F12" i="7"/>
  <c r="F12" i="12" s="1"/>
  <c r="G12" i="7"/>
  <c r="G12" i="12" s="1"/>
  <c r="H12" i="7"/>
  <c r="H12" i="12" s="1"/>
  <c r="I12" i="7"/>
  <c r="I12" i="12" s="1"/>
  <c r="J12" i="7"/>
  <c r="J12" i="12" s="1"/>
  <c r="K12" i="7"/>
  <c r="K12" i="12" s="1"/>
  <c r="L12" i="7"/>
  <c r="L12" i="12" s="1"/>
  <c r="M12" i="7"/>
  <c r="M12" i="12" s="1"/>
  <c r="N12" i="7"/>
  <c r="N12" i="12" s="1"/>
  <c r="O12" i="7"/>
  <c r="O12" i="12" s="1"/>
  <c r="P12" i="7"/>
  <c r="P12" i="12" s="1"/>
  <c r="Q12" i="7"/>
  <c r="Q12" i="12" s="1"/>
  <c r="R12" i="7"/>
  <c r="R12" i="12" s="1"/>
  <c r="S12" i="7"/>
  <c r="S12" i="12" s="1"/>
  <c r="T12" i="7"/>
  <c r="U12" i="7"/>
  <c r="U12" i="12" s="1"/>
  <c r="V12" i="7"/>
  <c r="V12" i="12" s="1"/>
  <c r="B13" i="7"/>
  <c r="B13" i="12" s="1"/>
  <c r="C13" i="7"/>
  <c r="C13" i="12" s="1"/>
  <c r="D13" i="7"/>
  <c r="D13" i="12" s="1"/>
  <c r="E13" i="7"/>
  <c r="E13" i="12" s="1"/>
  <c r="F13" i="7"/>
  <c r="F13" i="12" s="1"/>
  <c r="G13" i="7"/>
  <c r="G13" i="12" s="1"/>
  <c r="H13" i="7"/>
  <c r="H13" i="12" s="1"/>
  <c r="I13" i="7"/>
  <c r="I13" i="12" s="1"/>
  <c r="J13" i="7"/>
  <c r="J13" i="12" s="1"/>
  <c r="K13" i="7"/>
  <c r="K13" i="12" s="1"/>
  <c r="L13" i="7"/>
  <c r="L13" i="12" s="1"/>
  <c r="M13" i="7"/>
  <c r="M13" i="12" s="1"/>
  <c r="N13" i="7"/>
  <c r="N13" i="12" s="1"/>
  <c r="O13" i="7"/>
  <c r="O13" i="12" s="1"/>
  <c r="P13" i="7"/>
  <c r="P13" i="12" s="1"/>
  <c r="Q13" i="7"/>
  <c r="Q13" i="12" s="1"/>
  <c r="R13" i="7"/>
  <c r="R13" i="12" s="1"/>
  <c r="S13" i="7"/>
  <c r="S13" i="12" s="1"/>
  <c r="T13" i="7"/>
  <c r="T13" i="12" s="1"/>
  <c r="U13" i="7"/>
  <c r="U13" i="12" s="1"/>
  <c r="V13" i="7"/>
  <c r="V13" i="12" s="1"/>
  <c r="B14" i="7"/>
  <c r="B14" i="12" s="1"/>
  <c r="C14" i="7"/>
  <c r="C14" i="12" s="1"/>
  <c r="D14" i="7"/>
  <c r="D14" i="12" s="1"/>
  <c r="E14" i="7"/>
  <c r="E14" i="12" s="1"/>
  <c r="F14" i="7"/>
  <c r="F14" i="12" s="1"/>
  <c r="G14" i="7"/>
  <c r="G14" i="12" s="1"/>
  <c r="H14" i="7"/>
  <c r="H14" i="12" s="1"/>
  <c r="I14" i="7"/>
  <c r="I14" i="12" s="1"/>
  <c r="J14" i="7"/>
  <c r="J14" i="12" s="1"/>
  <c r="K14" i="7"/>
  <c r="K14" i="12" s="1"/>
  <c r="L14" i="7"/>
  <c r="L14" i="12" s="1"/>
  <c r="M14" i="7"/>
  <c r="M14" i="12" s="1"/>
  <c r="N14" i="7"/>
  <c r="N14" i="12" s="1"/>
  <c r="O14" i="7"/>
  <c r="O14" i="12" s="1"/>
  <c r="P14" i="7"/>
  <c r="P14" i="12" s="1"/>
  <c r="Q14" i="7"/>
  <c r="Q14" i="12" s="1"/>
  <c r="R14" i="7"/>
  <c r="R14" i="12" s="1"/>
  <c r="S14" i="7"/>
  <c r="S14" i="12" s="1"/>
  <c r="T14" i="7"/>
  <c r="T14" i="12" s="1"/>
  <c r="U14" i="7"/>
  <c r="U14" i="12" s="1"/>
  <c r="V14" i="7"/>
  <c r="V14" i="12" s="1"/>
  <c r="B15" i="7"/>
  <c r="B15" i="12" s="1"/>
  <c r="C15" i="7"/>
  <c r="C15" i="12" s="1"/>
  <c r="D15" i="7"/>
  <c r="D15" i="12" s="1"/>
  <c r="E15" i="7"/>
  <c r="E15" i="12" s="1"/>
  <c r="F15" i="7"/>
  <c r="F15" i="12" s="1"/>
  <c r="G15" i="7"/>
  <c r="G15" i="12" s="1"/>
  <c r="H15" i="7"/>
  <c r="H15" i="12" s="1"/>
  <c r="I15" i="7"/>
  <c r="I15" i="12" s="1"/>
  <c r="J15" i="7"/>
  <c r="J15" i="12" s="1"/>
  <c r="K15" i="7"/>
  <c r="K15" i="12" s="1"/>
  <c r="L15" i="7"/>
  <c r="L15" i="12" s="1"/>
  <c r="M15" i="7"/>
  <c r="M15" i="12" s="1"/>
  <c r="N15" i="7"/>
  <c r="N15" i="12" s="1"/>
  <c r="O15" i="7"/>
  <c r="O15" i="12" s="1"/>
  <c r="P15" i="7"/>
  <c r="Q15" i="7"/>
  <c r="Q15" i="12" s="1"/>
  <c r="R15" i="7"/>
  <c r="R15" i="12" s="1"/>
  <c r="S15" i="7"/>
  <c r="S15" i="12" s="1"/>
  <c r="T15" i="7"/>
  <c r="T15" i="12" s="1"/>
  <c r="U15" i="7"/>
  <c r="U15" i="12" s="1"/>
  <c r="V15" i="7"/>
  <c r="V15" i="12" s="1"/>
  <c r="B16" i="7"/>
  <c r="B16" i="12" s="1"/>
  <c r="C16" i="7"/>
  <c r="C16" i="12" s="1"/>
  <c r="D16" i="7"/>
  <c r="D16" i="12" s="1"/>
  <c r="E16" i="7"/>
  <c r="E16" i="12" s="1"/>
  <c r="F16" i="7"/>
  <c r="F16" i="12" s="1"/>
  <c r="G16" i="7"/>
  <c r="G16" i="12" s="1"/>
  <c r="H16" i="7"/>
  <c r="H16" i="12" s="1"/>
  <c r="I16" i="7"/>
  <c r="I16" i="12" s="1"/>
  <c r="J16" i="7"/>
  <c r="J16" i="12" s="1"/>
  <c r="K16" i="7"/>
  <c r="K16" i="12" s="1"/>
  <c r="L16" i="7"/>
  <c r="L16" i="12" s="1"/>
  <c r="M16" i="7"/>
  <c r="M16" i="12" s="1"/>
  <c r="N16" i="7"/>
  <c r="N16" i="12" s="1"/>
  <c r="O16" i="7"/>
  <c r="O16" i="12" s="1"/>
  <c r="P16" i="7"/>
  <c r="P16" i="12" s="1"/>
  <c r="Q16" i="7"/>
  <c r="Q16" i="12" s="1"/>
  <c r="R16" i="7"/>
  <c r="R16" i="12" s="1"/>
  <c r="S16" i="7"/>
  <c r="S16" i="12" s="1"/>
  <c r="T16" i="7"/>
  <c r="T16" i="12" s="1"/>
  <c r="U16" i="7"/>
  <c r="U16" i="12" s="1"/>
  <c r="V16" i="7"/>
  <c r="V16" i="12" s="1"/>
  <c r="B17" i="7"/>
  <c r="B17" i="12" s="1"/>
  <c r="C17" i="7"/>
  <c r="C17" i="12" s="1"/>
  <c r="D17" i="7"/>
  <c r="D17" i="12" s="1"/>
  <c r="E17" i="7"/>
  <c r="E17" i="12" s="1"/>
  <c r="F17" i="7"/>
  <c r="F17" i="12" s="1"/>
  <c r="G17" i="7"/>
  <c r="G17" i="12" s="1"/>
  <c r="H17" i="7"/>
  <c r="H17" i="12" s="1"/>
  <c r="I17" i="7"/>
  <c r="I17" i="12" s="1"/>
  <c r="J17" i="7"/>
  <c r="J17" i="12" s="1"/>
  <c r="K17" i="7"/>
  <c r="K17" i="12" s="1"/>
  <c r="L17" i="7"/>
  <c r="L17" i="12" s="1"/>
  <c r="M17" i="7"/>
  <c r="M17" i="12" s="1"/>
  <c r="N17" i="7"/>
  <c r="N17" i="12" s="1"/>
  <c r="O17" i="7"/>
  <c r="O17" i="12" s="1"/>
  <c r="P17" i="7"/>
  <c r="P17" i="12" s="1"/>
  <c r="Q17" i="7"/>
  <c r="Q17" i="12" s="1"/>
  <c r="R17" i="7"/>
  <c r="R17" i="12" s="1"/>
  <c r="S17" i="7"/>
  <c r="S17" i="12" s="1"/>
  <c r="T17" i="7"/>
  <c r="T17" i="12" s="1"/>
  <c r="U17" i="7"/>
  <c r="U17" i="12" s="1"/>
  <c r="V17" i="7"/>
  <c r="V17" i="12" s="1"/>
  <c r="B18" i="7"/>
  <c r="B18" i="12" s="1"/>
  <c r="C18" i="7"/>
  <c r="C18" i="12" s="1"/>
  <c r="D18" i="7"/>
  <c r="D18" i="12" s="1"/>
  <c r="E18" i="7"/>
  <c r="E18" i="12" s="1"/>
  <c r="F18" i="7"/>
  <c r="F18" i="12" s="1"/>
  <c r="G18" i="7"/>
  <c r="G18" i="12" s="1"/>
  <c r="H18" i="7"/>
  <c r="H18" i="12" s="1"/>
  <c r="I18" i="7"/>
  <c r="I18" i="12" s="1"/>
  <c r="J18" i="7"/>
  <c r="J18" i="12" s="1"/>
  <c r="K18" i="7"/>
  <c r="K18" i="12" s="1"/>
  <c r="L18" i="7"/>
  <c r="L18" i="12" s="1"/>
  <c r="M18" i="7"/>
  <c r="M18" i="12" s="1"/>
  <c r="N18" i="7"/>
  <c r="N18" i="12" s="1"/>
  <c r="O18" i="7"/>
  <c r="O18" i="12" s="1"/>
  <c r="P18" i="7"/>
  <c r="P18" i="12" s="1"/>
  <c r="Q18" i="7"/>
  <c r="Q18" i="12" s="1"/>
  <c r="R18" i="7"/>
  <c r="R18" i="12" s="1"/>
  <c r="S18" i="7"/>
  <c r="S18" i="12" s="1"/>
  <c r="T18" i="7"/>
  <c r="T18" i="12" s="1"/>
  <c r="U18" i="7"/>
  <c r="U18" i="12" s="1"/>
  <c r="V18" i="7"/>
  <c r="V18" i="12" s="1"/>
  <c r="B19" i="7"/>
  <c r="B19" i="12" s="1"/>
  <c r="C19" i="7"/>
  <c r="C19" i="12" s="1"/>
  <c r="D19" i="7"/>
  <c r="D19" i="12" s="1"/>
  <c r="E19" i="7"/>
  <c r="F19" i="7"/>
  <c r="F19" i="12" s="1"/>
  <c r="G19" i="7"/>
  <c r="G19" i="12" s="1"/>
  <c r="H19" i="7"/>
  <c r="H19" i="12" s="1"/>
  <c r="I19" i="7"/>
  <c r="I19" i="12" s="1"/>
  <c r="J19" i="7"/>
  <c r="J19" i="12" s="1"/>
  <c r="K19" i="7"/>
  <c r="L19" i="7"/>
  <c r="L19" i="12" s="1"/>
  <c r="M19" i="7"/>
  <c r="M19" i="12" s="1"/>
  <c r="N19" i="7"/>
  <c r="N19" i="12" s="1"/>
  <c r="O19" i="7"/>
  <c r="O19" i="12" s="1"/>
  <c r="P19" i="7"/>
  <c r="P19" i="12" s="1"/>
  <c r="Q19" i="7"/>
  <c r="Q19" i="12" s="1"/>
  <c r="R19" i="7"/>
  <c r="R19" i="12" s="1"/>
  <c r="S19" i="7"/>
  <c r="S19" i="12" s="1"/>
  <c r="T19" i="7"/>
  <c r="T19" i="12" s="1"/>
  <c r="U19" i="7"/>
  <c r="U19" i="12" s="1"/>
  <c r="V19" i="7"/>
  <c r="V19" i="12" s="1"/>
  <c r="B20" i="7"/>
  <c r="B20" i="12" s="1"/>
  <c r="C20" i="7"/>
  <c r="C20" i="12" s="1"/>
  <c r="D20" i="7"/>
  <c r="D20" i="12" s="1"/>
  <c r="E20" i="7"/>
  <c r="E20" i="12" s="1"/>
  <c r="F20" i="7"/>
  <c r="F20" i="12" s="1"/>
  <c r="G20" i="7"/>
  <c r="G20" i="12" s="1"/>
  <c r="H20" i="7"/>
  <c r="H20" i="12" s="1"/>
  <c r="I20" i="7"/>
  <c r="I20" i="12" s="1"/>
  <c r="J20" i="7"/>
  <c r="J20" i="12" s="1"/>
  <c r="K20" i="7"/>
  <c r="K20" i="12" s="1"/>
  <c r="L20" i="7"/>
  <c r="L20" i="12" s="1"/>
  <c r="M20" i="7"/>
  <c r="M20" i="12" s="1"/>
  <c r="N20" i="7"/>
  <c r="N20" i="12" s="1"/>
  <c r="O20" i="7"/>
  <c r="O20" i="12" s="1"/>
  <c r="P20" i="7"/>
  <c r="P20" i="12" s="1"/>
  <c r="Q20" i="7"/>
  <c r="Q20" i="12" s="1"/>
  <c r="R20" i="7"/>
  <c r="R20" i="12" s="1"/>
  <c r="S20" i="7"/>
  <c r="S20" i="12" s="1"/>
  <c r="T20" i="7"/>
  <c r="T20" i="12" s="1"/>
  <c r="U20" i="7"/>
  <c r="U20" i="12" s="1"/>
  <c r="V20" i="7"/>
  <c r="V20" i="12" s="1"/>
  <c r="B21" i="7"/>
  <c r="B21" i="12" s="1"/>
  <c r="C21" i="7"/>
  <c r="C21" i="12" s="1"/>
  <c r="D21" i="7"/>
  <c r="D21" i="12" s="1"/>
  <c r="E21" i="7"/>
  <c r="E21" i="12" s="1"/>
  <c r="F21" i="7"/>
  <c r="F21" i="12" s="1"/>
  <c r="G21" i="7"/>
  <c r="G21" i="12" s="1"/>
  <c r="H21" i="7"/>
  <c r="H21" i="12" s="1"/>
  <c r="I21" i="7"/>
  <c r="I21" i="12" s="1"/>
  <c r="J21" i="7"/>
  <c r="J21" i="12" s="1"/>
  <c r="K21" i="7"/>
  <c r="K21" i="12" s="1"/>
  <c r="L21" i="7"/>
  <c r="L21" i="12" s="1"/>
  <c r="M21" i="7"/>
  <c r="M21" i="12" s="1"/>
  <c r="N21" i="7"/>
  <c r="N21" i="12" s="1"/>
  <c r="O21" i="7"/>
  <c r="O21" i="12" s="1"/>
  <c r="P21" i="7"/>
  <c r="P21" i="12" s="1"/>
  <c r="Q21" i="7"/>
  <c r="Q21" i="12" s="1"/>
  <c r="R21" i="7"/>
  <c r="R21" i="12" s="1"/>
  <c r="S21" i="7"/>
  <c r="S21" i="12" s="1"/>
  <c r="T21" i="7"/>
  <c r="T21" i="12" s="1"/>
  <c r="U21" i="7"/>
  <c r="U21" i="12" s="1"/>
  <c r="V21" i="7"/>
  <c r="V21" i="12" s="1"/>
  <c r="B22" i="7"/>
  <c r="B22" i="12" s="1"/>
  <c r="C22" i="7"/>
  <c r="C22" i="12" s="1"/>
  <c r="D22" i="7"/>
  <c r="D22" i="12" s="1"/>
  <c r="E22" i="7"/>
  <c r="E22" i="12" s="1"/>
  <c r="F22" i="7"/>
  <c r="F22" i="12" s="1"/>
  <c r="G22" i="7"/>
  <c r="G22" i="12" s="1"/>
  <c r="H22" i="7"/>
  <c r="H22" i="12" s="1"/>
  <c r="I22" i="7"/>
  <c r="I22" i="12" s="1"/>
  <c r="J22" i="7"/>
  <c r="J22" i="12" s="1"/>
  <c r="K22" i="7"/>
  <c r="K22" i="12" s="1"/>
  <c r="L22" i="7"/>
  <c r="L22" i="12" s="1"/>
  <c r="M22" i="7"/>
  <c r="M22" i="12" s="1"/>
  <c r="N22" i="7"/>
  <c r="N22" i="12" s="1"/>
  <c r="O22" i="7"/>
  <c r="O22" i="12" s="1"/>
  <c r="P22" i="7"/>
  <c r="P22" i="12" s="1"/>
  <c r="Q22" i="7"/>
  <c r="Q22" i="12" s="1"/>
  <c r="R22" i="7"/>
  <c r="R22" i="12" s="1"/>
  <c r="S22" i="7"/>
  <c r="S22" i="12" s="1"/>
  <c r="T22" i="7"/>
  <c r="T22" i="12" s="1"/>
  <c r="U22" i="7"/>
  <c r="U22" i="12" s="1"/>
  <c r="V22" i="7"/>
  <c r="V22" i="12" s="1"/>
  <c r="B23" i="7"/>
  <c r="B23" i="12" s="1"/>
  <c r="C23" i="7"/>
  <c r="C23" i="12" s="1"/>
  <c r="D23" i="7"/>
  <c r="D23" i="12" s="1"/>
  <c r="E23" i="7"/>
  <c r="E23" i="12" s="1"/>
  <c r="F23" i="7"/>
  <c r="F23" i="12" s="1"/>
  <c r="G23" i="7"/>
  <c r="G23" i="12" s="1"/>
  <c r="H23" i="7"/>
  <c r="H23" i="12" s="1"/>
  <c r="I23" i="7"/>
  <c r="I23" i="12" s="1"/>
  <c r="J23" i="7"/>
  <c r="J23" i="12" s="1"/>
  <c r="K23" i="7"/>
  <c r="K23" i="12" s="1"/>
  <c r="L23" i="7"/>
  <c r="L23" i="12" s="1"/>
  <c r="M23" i="7"/>
  <c r="M23" i="12" s="1"/>
  <c r="N23" i="7"/>
  <c r="N23" i="12" s="1"/>
  <c r="O23" i="7"/>
  <c r="O23" i="12" s="1"/>
  <c r="P23" i="7"/>
  <c r="P23" i="12" s="1"/>
  <c r="Q23" i="7"/>
  <c r="Q23" i="12" s="1"/>
  <c r="R23" i="7"/>
  <c r="R23" i="12" s="1"/>
  <c r="S23" i="7"/>
  <c r="S23" i="12" s="1"/>
  <c r="T23" i="7"/>
  <c r="T23" i="12" s="1"/>
  <c r="U23" i="7"/>
  <c r="U23" i="12" s="1"/>
  <c r="V23" i="7"/>
  <c r="V23" i="12" s="1"/>
  <c r="B24" i="7"/>
  <c r="B24" i="12" s="1"/>
  <c r="C24" i="7"/>
  <c r="C24" i="12" s="1"/>
  <c r="D24" i="7"/>
  <c r="D24" i="12" s="1"/>
  <c r="E24" i="7"/>
  <c r="E24" i="12" s="1"/>
  <c r="F24" i="7"/>
  <c r="F24" i="12" s="1"/>
  <c r="G24" i="7"/>
  <c r="G24" i="12" s="1"/>
  <c r="H24" i="7"/>
  <c r="H24" i="12" s="1"/>
  <c r="I24" i="7"/>
  <c r="I24" i="12" s="1"/>
  <c r="J24" i="7"/>
  <c r="J24" i="12" s="1"/>
  <c r="K24" i="7"/>
  <c r="K24" i="12" s="1"/>
  <c r="L24" i="7"/>
  <c r="L24" i="12" s="1"/>
  <c r="M24" i="7"/>
  <c r="M24" i="12" s="1"/>
  <c r="N24" i="7"/>
  <c r="N24" i="12" s="1"/>
  <c r="O24" i="7"/>
  <c r="O24" i="12" s="1"/>
  <c r="P24" i="7"/>
  <c r="P24" i="12" s="1"/>
  <c r="Q24" i="7"/>
  <c r="Q24" i="12" s="1"/>
  <c r="R24" i="7"/>
  <c r="R24" i="12" s="1"/>
  <c r="S24" i="7"/>
  <c r="S24" i="12" s="1"/>
  <c r="T24" i="7"/>
  <c r="T24" i="12" s="1"/>
  <c r="U24" i="7"/>
  <c r="U24" i="12" s="1"/>
  <c r="V24" i="7"/>
  <c r="V24" i="12" s="1"/>
  <c r="B25" i="7"/>
  <c r="B25" i="12" s="1"/>
  <c r="C25" i="7"/>
  <c r="C25" i="12" s="1"/>
  <c r="D25" i="7"/>
  <c r="D25" i="12" s="1"/>
  <c r="E25" i="7"/>
  <c r="E25" i="12" s="1"/>
  <c r="F25" i="7"/>
  <c r="F25" i="12" s="1"/>
  <c r="G25" i="7"/>
  <c r="G25" i="12" s="1"/>
  <c r="H25" i="7"/>
  <c r="H25" i="12" s="1"/>
  <c r="I25" i="7"/>
  <c r="I25" i="12" s="1"/>
  <c r="J25" i="7"/>
  <c r="J25" i="12" s="1"/>
  <c r="K25" i="7"/>
  <c r="K25" i="12" s="1"/>
  <c r="L25" i="7"/>
  <c r="L25" i="12" s="1"/>
  <c r="M25" i="7"/>
  <c r="M25" i="12" s="1"/>
  <c r="N25" i="7"/>
  <c r="N25" i="12" s="1"/>
  <c r="O25" i="7"/>
  <c r="O25" i="12" s="1"/>
  <c r="P25" i="7"/>
  <c r="P25" i="12" s="1"/>
  <c r="Q25" i="7"/>
  <c r="Q25" i="12" s="1"/>
  <c r="R25" i="7"/>
  <c r="R25" i="12" s="1"/>
  <c r="S25" i="7"/>
  <c r="S25" i="12" s="1"/>
  <c r="T25" i="7"/>
  <c r="T25" i="12" s="1"/>
  <c r="U25" i="7"/>
  <c r="U25" i="12" s="1"/>
  <c r="V25" i="7"/>
  <c r="V25" i="12" s="1"/>
  <c r="B26" i="7"/>
  <c r="B26" i="12" s="1"/>
  <c r="C26" i="7"/>
  <c r="C26" i="12" s="1"/>
  <c r="D26" i="7"/>
  <c r="D26" i="12" s="1"/>
  <c r="E26" i="7"/>
  <c r="E26" i="12" s="1"/>
  <c r="F26" i="7"/>
  <c r="F26" i="12" s="1"/>
  <c r="G26" i="7"/>
  <c r="G26" i="12" s="1"/>
  <c r="H26" i="7"/>
  <c r="H26" i="12" s="1"/>
  <c r="I26" i="7"/>
  <c r="I26" i="12" s="1"/>
  <c r="J26" i="7"/>
  <c r="J26" i="12" s="1"/>
  <c r="K26" i="7"/>
  <c r="K26" i="12" s="1"/>
  <c r="L26" i="7"/>
  <c r="L26" i="12" s="1"/>
  <c r="M26" i="7"/>
  <c r="M26" i="12" s="1"/>
  <c r="N26" i="7"/>
  <c r="N26" i="12" s="1"/>
  <c r="O26" i="7"/>
  <c r="O26" i="12" s="1"/>
  <c r="P26" i="7"/>
  <c r="P26" i="12" s="1"/>
  <c r="Q26" i="7"/>
  <c r="Q26" i="12" s="1"/>
  <c r="R26" i="7"/>
  <c r="R26" i="12" s="1"/>
  <c r="S26" i="7"/>
  <c r="S26" i="12" s="1"/>
  <c r="T26" i="7"/>
  <c r="T26" i="12" s="1"/>
  <c r="U26" i="7"/>
  <c r="U26" i="12" s="1"/>
  <c r="V26" i="7"/>
  <c r="V26" i="12" s="1"/>
  <c r="B27" i="7"/>
  <c r="B27" i="12" s="1"/>
  <c r="C27" i="7"/>
  <c r="C27" i="12" s="1"/>
  <c r="D27" i="7"/>
  <c r="D27" i="12" s="1"/>
  <c r="E27" i="7"/>
  <c r="E27" i="12" s="1"/>
  <c r="F27" i="7"/>
  <c r="F27" i="12" s="1"/>
  <c r="G27" i="7"/>
  <c r="G27" i="12" s="1"/>
  <c r="H27" i="7"/>
  <c r="H27" i="12" s="1"/>
  <c r="I27" i="7"/>
  <c r="I27" i="12" s="1"/>
  <c r="J27" i="7"/>
  <c r="J27" i="12" s="1"/>
  <c r="K27" i="7"/>
  <c r="K27" i="12" s="1"/>
  <c r="L27" i="7"/>
  <c r="L27" i="12" s="1"/>
  <c r="M27" i="7"/>
  <c r="M27" i="12" s="1"/>
  <c r="N27" i="7"/>
  <c r="N27" i="12" s="1"/>
  <c r="O27" i="7"/>
  <c r="O27" i="12" s="1"/>
  <c r="P27" i="7"/>
  <c r="P27" i="12" s="1"/>
  <c r="Q27" i="7"/>
  <c r="Q27" i="12" s="1"/>
  <c r="R27" i="7"/>
  <c r="R27" i="12" s="1"/>
  <c r="S27" i="7"/>
  <c r="S27" i="12" s="1"/>
  <c r="T27" i="7"/>
  <c r="T27" i="12" s="1"/>
  <c r="U27" i="7"/>
  <c r="U27" i="12" s="1"/>
  <c r="V27" i="7"/>
  <c r="V27" i="12" s="1"/>
  <c r="B28" i="7"/>
  <c r="B28" i="12" s="1"/>
  <c r="C28" i="7"/>
  <c r="C28" i="12" s="1"/>
  <c r="D28" i="7"/>
  <c r="D28" i="12" s="1"/>
  <c r="E28" i="7"/>
  <c r="E28" i="12" s="1"/>
  <c r="F28" i="7"/>
  <c r="F28" i="12" s="1"/>
  <c r="G28" i="7"/>
  <c r="G28" i="12" s="1"/>
  <c r="H28" i="7"/>
  <c r="H28" i="12" s="1"/>
  <c r="I28" i="7"/>
  <c r="I28" i="12" s="1"/>
  <c r="J28" i="7"/>
  <c r="J28" i="12" s="1"/>
  <c r="K28" i="7"/>
  <c r="K28" i="12" s="1"/>
  <c r="L28" i="7"/>
  <c r="L28" i="12" s="1"/>
  <c r="M28" i="7"/>
  <c r="M28" i="12" s="1"/>
  <c r="N28" i="7"/>
  <c r="N28" i="12" s="1"/>
  <c r="O28" i="7"/>
  <c r="O28" i="12" s="1"/>
  <c r="P28" i="7"/>
  <c r="P28" i="12" s="1"/>
  <c r="Q28" i="7"/>
  <c r="Q28" i="12" s="1"/>
  <c r="R28" i="7"/>
  <c r="R28" i="12" s="1"/>
  <c r="S28" i="7"/>
  <c r="S28" i="12" s="1"/>
  <c r="T28" i="7"/>
  <c r="T28" i="12" s="1"/>
  <c r="U28" i="7"/>
  <c r="U28" i="12" s="1"/>
  <c r="V28" i="7"/>
  <c r="V28" i="12" s="1"/>
  <c r="B29" i="7"/>
  <c r="B29" i="12" s="1"/>
  <c r="C29" i="7"/>
  <c r="C29" i="12" s="1"/>
  <c r="D29" i="7"/>
  <c r="D29" i="12" s="1"/>
  <c r="E29" i="7"/>
  <c r="E29" i="12" s="1"/>
  <c r="F29" i="7"/>
  <c r="F29" i="12" s="1"/>
  <c r="G29" i="7"/>
  <c r="G29" i="12" s="1"/>
  <c r="H29" i="7"/>
  <c r="H29" i="12" s="1"/>
  <c r="I29" i="7"/>
  <c r="I29" i="12" s="1"/>
  <c r="J29" i="7"/>
  <c r="J29" i="12" s="1"/>
  <c r="K29" i="7"/>
  <c r="K29" i="12" s="1"/>
  <c r="L29" i="7"/>
  <c r="L29" i="12" s="1"/>
  <c r="M29" i="7"/>
  <c r="M29" i="12" s="1"/>
  <c r="N29" i="7"/>
  <c r="N29" i="12" s="1"/>
  <c r="O29" i="7"/>
  <c r="O29" i="12" s="1"/>
  <c r="P29" i="7"/>
  <c r="P29" i="12" s="1"/>
  <c r="Q29" i="7"/>
  <c r="Q29" i="12" s="1"/>
  <c r="R29" i="7"/>
  <c r="R29" i="12" s="1"/>
  <c r="S29" i="7"/>
  <c r="S29" i="12" s="1"/>
  <c r="T29" i="7"/>
  <c r="T29" i="12" s="1"/>
  <c r="U29" i="7"/>
  <c r="U29" i="12" s="1"/>
  <c r="V29" i="7"/>
  <c r="V29" i="12" s="1"/>
  <c r="B30" i="7"/>
  <c r="B30" i="12" s="1"/>
  <c r="C30" i="7"/>
  <c r="C30" i="12" s="1"/>
  <c r="D30" i="7"/>
  <c r="D30" i="12" s="1"/>
  <c r="E30" i="7"/>
  <c r="E30" i="12" s="1"/>
  <c r="F30" i="7"/>
  <c r="F30" i="12" s="1"/>
  <c r="G30" i="7"/>
  <c r="G30" i="12" s="1"/>
  <c r="H30" i="7"/>
  <c r="H30" i="12" s="1"/>
  <c r="I30" i="7"/>
  <c r="I30" i="12" s="1"/>
  <c r="J30" i="7"/>
  <c r="J30" i="12" s="1"/>
  <c r="K30" i="7"/>
  <c r="K30" i="12" s="1"/>
  <c r="L30" i="7"/>
  <c r="L30" i="12" s="1"/>
  <c r="M30" i="7"/>
  <c r="M30" i="12" s="1"/>
  <c r="N30" i="7"/>
  <c r="N30" i="12" s="1"/>
  <c r="O30" i="7"/>
  <c r="O30" i="12" s="1"/>
  <c r="P30" i="7"/>
  <c r="P30" i="12" s="1"/>
  <c r="Q30" i="7"/>
  <c r="Q30" i="12" s="1"/>
  <c r="R30" i="7"/>
  <c r="R30" i="12" s="1"/>
  <c r="S30" i="7"/>
  <c r="S30" i="12" s="1"/>
  <c r="T30" i="7"/>
  <c r="T30" i="12" s="1"/>
  <c r="U30" i="7"/>
  <c r="U30" i="12" s="1"/>
  <c r="V30" i="7"/>
  <c r="V30" i="12" s="1"/>
  <c r="B31" i="7"/>
  <c r="B31" i="12" s="1"/>
  <c r="C31" i="7"/>
  <c r="C31" i="12" s="1"/>
  <c r="D31" i="7"/>
  <c r="D31" i="12" s="1"/>
  <c r="E31" i="7"/>
  <c r="E31" i="12" s="1"/>
  <c r="F31" i="7"/>
  <c r="F31" i="12" s="1"/>
  <c r="G31" i="7"/>
  <c r="G31" i="12" s="1"/>
  <c r="H31" i="7"/>
  <c r="H31" i="12" s="1"/>
  <c r="I31" i="7"/>
  <c r="I31" i="12" s="1"/>
  <c r="J31" i="7"/>
  <c r="J31" i="12" s="1"/>
  <c r="K31" i="7"/>
  <c r="K31" i="12" s="1"/>
  <c r="L31" i="7"/>
  <c r="L31" i="12" s="1"/>
  <c r="M31" i="7"/>
  <c r="M31" i="12" s="1"/>
  <c r="N31" i="7"/>
  <c r="N31" i="12" s="1"/>
  <c r="O31" i="7"/>
  <c r="O31" i="12" s="1"/>
  <c r="P31" i="7"/>
  <c r="Q31" i="7"/>
  <c r="Q31" i="12" s="1"/>
  <c r="R31" i="7"/>
  <c r="R31" i="12" s="1"/>
  <c r="S31" i="7"/>
  <c r="S31" i="12" s="1"/>
  <c r="T31" i="7"/>
  <c r="T31" i="12" s="1"/>
  <c r="U31" i="7"/>
  <c r="U31" i="12" s="1"/>
  <c r="V31" i="7"/>
  <c r="V31" i="12" s="1"/>
  <c r="B32" i="7"/>
  <c r="B32" i="12" s="1"/>
  <c r="C32" i="7"/>
  <c r="C32" i="12" s="1"/>
  <c r="D32" i="7"/>
  <c r="D32" i="12" s="1"/>
  <c r="E32" i="7"/>
  <c r="E32" i="12" s="1"/>
  <c r="F32" i="7"/>
  <c r="F32" i="12" s="1"/>
  <c r="G32" i="7"/>
  <c r="G32" i="12" s="1"/>
  <c r="H32" i="7"/>
  <c r="H32" i="12" s="1"/>
  <c r="I32" i="7"/>
  <c r="I32" i="12" s="1"/>
  <c r="J32" i="7"/>
  <c r="J32" i="12" s="1"/>
  <c r="K32" i="7"/>
  <c r="K32" i="12" s="1"/>
  <c r="L32" i="7"/>
  <c r="L32" i="12" s="1"/>
  <c r="M32" i="7"/>
  <c r="M32" i="12" s="1"/>
  <c r="N32" i="7"/>
  <c r="N32" i="12" s="1"/>
  <c r="O32" i="7"/>
  <c r="O32" i="12" s="1"/>
  <c r="P32" i="7"/>
  <c r="P32" i="12" s="1"/>
  <c r="Q32" i="7"/>
  <c r="Q32" i="12" s="1"/>
  <c r="R32" i="7"/>
  <c r="R32" i="12" s="1"/>
  <c r="S32" i="7"/>
  <c r="S32" i="12" s="1"/>
  <c r="T32" i="7"/>
  <c r="T32" i="12" s="1"/>
  <c r="U32" i="7"/>
  <c r="U32" i="12" s="1"/>
  <c r="V32" i="7"/>
  <c r="V32" i="12" s="1"/>
  <c r="B33" i="7"/>
  <c r="B33" i="12" s="1"/>
  <c r="C33" i="7"/>
  <c r="C33" i="12" s="1"/>
  <c r="D33" i="7"/>
  <c r="D33" i="12" s="1"/>
  <c r="E33" i="7"/>
  <c r="E33" i="12" s="1"/>
  <c r="F33" i="7"/>
  <c r="F33" i="12" s="1"/>
  <c r="G33" i="7"/>
  <c r="G33" i="12" s="1"/>
  <c r="H33" i="7"/>
  <c r="H33" i="12" s="1"/>
  <c r="I33" i="7"/>
  <c r="I33" i="12" s="1"/>
  <c r="J33" i="7"/>
  <c r="J33" i="12" s="1"/>
  <c r="K33" i="7"/>
  <c r="K33" i="12" s="1"/>
  <c r="L33" i="7"/>
  <c r="L33" i="12" s="1"/>
  <c r="M33" i="7"/>
  <c r="M33" i="12" s="1"/>
  <c r="N33" i="7"/>
  <c r="N33" i="12" s="1"/>
  <c r="O33" i="7"/>
  <c r="O33" i="12" s="1"/>
  <c r="P33" i="7"/>
  <c r="P33" i="12" s="1"/>
  <c r="Q33" i="7"/>
  <c r="Q33" i="12" s="1"/>
  <c r="R33" i="7"/>
  <c r="R33" i="12" s="1"/>
  <c r="S33" i="7"/>
  <c r="S33" i="12" s="1"/>
  <c r="T33" i="7"/>
  <c r="T33" i="12" s="1"/>
  <c r="U33" i="7"/>
  <c r="U33" i="12" s="1"/>
  <c r="V33" i="7"/>
  <c r="V33" i="12" s="1"/>
  <c r="B34" i="7"/>
  <c r="B34" i="12" s="1"/>
  <c r="C34" i="7"/>
  <c r="C34" i="12" s="1"/>
  <c r="D34" i="7"/>
  <c r="D34" i="12" s="1"/>
  <c r="E34" i="7"/>
  <c r="E34" i="12" s="1"/>
  <c r="F34" i="7"/>
  <c r="F34" i="12" s="1"/>
  <c r="G34" i="7"/>
  <c r="G34" i="12" s="1"/>
  <c r="H34" i="7"/>
  <c r="H34" i="12" s="1"/>
  <c r="I34" i="7"/>
  <c r="I34" i="12" s="1"/>
  <c r="J34" i="7"/>
  <c r="J34" i="12" s="1"/>
  <c r="K34" i="7"/>
  <c r="K34" i="12" s="1"/>
  <c r="L34" i="7"/>
  <c r="L34" i="12" s="1"/>
  <c r="M34" i="7"/>
  <c r="M34" i="12" s="1"/>
  <c r="N34" i="7"/>
  <c r="N34" i="12" s="1"/>
  <c r="O34" i="7"/>
  <c r="O34" i="12" s="1"/>
  <c r="P34" i="7"/>
  <c r="P34" i="12" s="1"/>
  <c r="Q34" i="7"/>
  <c r="Q34" i="12" s="1"/>
  <c r="R34" i="7"/>
  <c r="R34" i="12" s="1"/>
  <c r="S34" i="7"/>
  <c r="S34" i="12" s="1"/>
  <c r="T34" i="7"/>
  <c r="T34" i="12" s="1"/>
  <c r="U34" i="7"/>
  <c r="U34" i="12" s="1"/>
  <c r="V34" i="7"/>
  <c r="V34" i="12" s="1"/>
  <c r="B35" i="7"/>
  <c r="B35" i="12" s="1"/>
  <c r="C35" i="7"/>
  <c r="C35" i="12" s="1"/>
  <c r="D35" i="7"/>
  <c r="D35" i="12" s="1"/>
  <c r="E35" i="7"/>
  <c r="E35" i="12" s="1"/>
  <c r="F35" i="7"/>
  <c r="F35" i="12" s="1"/>
  <c r="G35" i="7"/>
  <c r="G35" i="12" s="1"/>
  <c r="H35" i="7"/>
  <c r="H35" i="12" s="1"/>
  <c r="I35" i="7"/>
  <c r="I35" i="12" s="1"/>
  <c r="J35" i="7"/>
  <c r="J35" i="12" s="1"/>
  <c r="K35" i="7"/>
  <c r="K35" i="12" s="1"/>
  <c r="L35" i="7"/>
  <c r="L35" i="12" s="1"/>
  <c r="M35" i="7"/>
  <c r="M35" i="12" s="1"/>
  <c r="N35" i="7"/>
  <c r="N35" i="12" s="1"/>
  <c r="O35" i="7"/>
  <c r="O35" i="12" s="1"/>
  <c r="P35" i="7"/>
  <c r="P35" i="12" s="1"/>
  <c r="Q35" i="7"/>
  <c r="Q35" i="12" s="1"/>
  <c r="R35" i="7"/>
  <c r="R35" i="12" s="1"/>
  <c r="S35" i="7"/>
  <c r="S35" i="12" s="1"/>
  <c r="T35" i="7"/>
  <c r="T35" i="12" s="1"/>
  <c r="U35" i="7"/>
  <c r="U35" i="12" s="1"/>
  <c r="V35" i="7"/>
  <c r="V35" i="12" s="1"/>
  <c r="B36" i="7"/>
  <c r="B36" i="12" s="1"/>
  <c r="C36" i="7"/>
  <c r="C36" i="12" s="1"/>
  <c r="D36" i="7"/>
  <c r="D36" i="12" s="1"/>
  <c r="E36" i="7"/>
  <c r="E36" i="12" s="1"/>
  <c r="F36" i="7"/>
  <c r="F36" i="12" s="1"/>
  <c r="G36" i="7"/>
  <c r="G36" i="12" s="1"/>
  <c r="H36" i="7"/>
  <c r="H36" i="12" s="1"/>
  <c r="I36" i="7"/>
  <c r="I36" i="12" s="1"/>
  <c r="J36" i="7"/>
  <c r="J36" i="12" s="1"/>
  <c r="K36" i="7"/>
  <c r="K36" i="12" s="1"/>
  <c r="L36" i="7"/>
  <c r="L36" i="12" s="1"/>
  <c r="M36" i="7"/>
  <c r="M36" i="12" s="1"/>
  <c r="N36" i="7"/>
  <c r="N36" i="12" s="1"/>
  <c r="O36" i="7"/>
  <c r="O36" i="12" s="1"/>
  <c r="P36" i="7"/>
  <c r="P36" i="12" s="1"/>
  <c r="Q36" i="7"/>
  <c r="Q36" i="12" s="1"/>
  <c r="R36" i="7"/>
  <c r="R36" i="12" s="1"/>
  <c r="S36" i="7"/>
  <c r="S36" i="12" s="1"/>
  <c r="T36" i="7"/>
  <c r="T36" i="12" s="1"/>
  <c r="U36" i="7"/>
  <c r="U36" i="12" s="1"/>
  <c r="V36" i="7"/>
  <c r="V36" i="12" s="1"/>
  <c r="B37" i="7"/>
  <c r="B37" i="12" s="1"/>
  <c r="C37" i="7"/>
  <c r="C37" i="12" s="1"/>
  <c r="D37" i="7"/>
  <c r="D37" i="12" s="1"/>
  <c r="E37" i="7"/>
  <c r="E37" i="12" s="1"/>
  <c r="F37" i="7"/>
  <c r="F37" i="12" s="1"/>
  <c r="G37" i="7"/>
  <c r="G37" i="12" s="1"/>
  <c r="H37" i="7"/>
  <c r="H37" i="12" s="1"/>
  <c r="I37" i="7"/>
  <c r="I37" i="12" s="1"/>
  <c r="J37" i="7"/>
  <c r="J37" i="12" s="1"/>
  <c r="K37" i="7"/>
  <c r="K37" i="12" s="1"/>
  <c r="L37" i="7"/>
  <c r="L37" i="12" s="1"/>
  <c r="M37" i="7"/>
  <c r="M37" i="12" s="1"/>
  <c r="N37" i="7"/>
  <c r="N37" i="12" s="1"/>
  <c r="O37" i="7"/>
  <c r="O37" i="12" s="1"/>
  <c r="P37" i="7"/>
  <c r="P37" i="12" s="1"/>
  <c r="Q37" i="7"/>
  <c r="Q37" i="12" s="1"/>
  <c r="R37" i="7"/>
  <c r="R37" i="12" s="1"/>
  <c r="S37" i="7"/>
  <c r="S37" i="12" s="1"/>
  <c r="T37" i="7"/>
  <c r="T37" i="12" s="1"/>
  <c r="U37" i="7"/>
  <c r="U37" i="12" s="1"/>
  <c r="V37" i="7"/>
  <c r="V37" i="12" s="1"/>
  <c r="B38" i="7"/>
  <c r="B38" i="12" s="1"/>
  <c r="C38" i="7"/>
  <c r="C38" i="12" s="1"/>
  <c r="D38" i="7"/>
  <c r="D38" i="12" s="1"/>
  <c r="E38" i="7"/>
  <c r="E38" i="12" s="1"/>
  <c r="F38" i="7"/>
  <c r="F38" i="12" s="1"/>
  <c r="G38" i="7"/>
  <c r="G38" i="12" s="1"/>
  <c r="H38" i="7"/>
  <c r="H38" i="12" s="1"/>
  <c r="I38" i="7"/>
  <c r="I38" i="12" s="1"/>
  <c r="J38" i="7"/>
  <c r="J38" i="12" s="1"/>
  <c r="K38" i="7"/>
  <c r="K38" i="12" s="1"/>
  <c r="L38" i="7"/>
  <c r="L38" i="12" s="1"/>
  <c r="M38" i="7"/>
  <c r="M38" i="12" s="1"/>
  <c r="N38" i="7"/>
  <c r="N38" i="12" s="1"/>
  <c r="O38" i="7"/>
  <c r="O38" i="12" s="1"/>
  <c r="P38" i="7"/>
  <c r="P38" i="12" s="1"/>
  <c r="Q38" i="7"/>
  <c r="Q38" i="12" s="1"/>
  <c r="R38" i="7"/>
  <c r="R38" i="12" s="1"/>
  <c r="S38" i="7"/>
  <c r="S38" i="12" s="1"/>
  <c r="T38" i="7"/>
  <c r="T38" i="12" s="1"/>
  <c r="U38" i="7"/>
  <c r="U38" i="12" s="1"/>
  <c r="V38" i="7"/>
  <c r="V38" i="12" s="1"/>
  <c r="B39" i="7"/>
  <c r="B39" i="12" s="1"/>
  <c r="C39" i="7"/>
  <c r="C39" i="12" s="1"/>
  <c r="D39" i="7"/>
  <c r="D39" i="12" s="1"/>
  <c r="E39" i="7"/>
  <c r="E39" i="12" s="1"/>
  <c r="F39" i="7"/>
  <c r="F39" i="12" s="1"/>
  <c r="G39" i="7"/>
  <c r="G39" i="12" s="1"/>
  <c r="H39" i="7"/>
  <c r="H39" i="12" s="1"/>
  <c r="I39" i="7"/>
  <c r="I39" i="12" s="1"/>
  <c r="J39" i="7"/>
  <c r="J39" i="12" s="1"/>
  <c r="K39" i="7"/>
  <c r="K39" i="12" s="1"/>
  <c r="L39" i="7"/>
  <c r="L39" i="12" s="1"/>
  <c r="M39" i="7"/>
  <c r="M39" i="12" s="1"/>
  <c r="N39" i="7"/>
  <c r="N39" i="12" s="1"/>
  <c r="O39" i="7"/>
  <c r="O39" i="12" s="1"/>
  <c r="P39" i="7"/>
  <c r="P39" i="12" s="1"/>
  <c r="Q39" i="7"/>
  <c r="Q39" i="12" s="1"/>
  <c r="R39" i="7"/>
  <c r="R39" i="12" s="1"/>
  <c r="S39" i="7"/>
  <c r="S39" i="12" s="1"/>
  <c r="T39" i="7"/>
  <c r="T39" i="12" s="1"/>
  <c r="U39" i="7"/>
  <c r="U39" i="12" s="1"/>
  <c r="V39" i="7"/>
  <c r="V39" i="12" s="1"/>
  <c r="B40" i="7"/>
  <c r="B40" i="12" s="1"/>
  <c r="C40" i="7"/>
  <c r="C40" i="12" s="1"/>
  <c r="D40" i="7"/>
  <c r="D40" i="12" s="1"/>
  <c r="E40" i="7"/>
  <c r="E40" i="12" s="1"/>
  <c r="F40" i="7"/>
  <c r="F40" i="12" s="1"/>
  <c r="G40" i="7"/>
  <c r="G40" i="12" s="1"/>
  <c r="H40" i="7"/>
  <c r="H40" i="12" s="1"/>
  <c r="I40" i="7"/>
  <c r="I40" i="12" s="1"/>
  <c r="J40" i="7"/>
  <c r="J40" i="12" s="1"/>
  <c r="K40" i="7"/>
  <c r="K40" i="12" s="1"/>
  <c r="L40" i="7"/>
  <c r="L40" i="12" s="1"/>
  <c r="M40" i="7"/>
  <c r="M40" i="12" s="1"/>
  <c r="N40" i="7"/>
  <c r="N40" i="12" s="1"/>
  <c r="O40" i="7"/>
  <c r="O40" i="12" s="1"/>
  <c r="P40" i="7"/>
  <c r="P40" i="12" s="1"/>
  <c r="Q40" i="7"/>
  <c r="Q40" i="12" s="1"/>
  <c r="R40" i="7"/>
  <c r="R40" i="12" s="1"/>
  <c r="S40" i="7"/>
  <c r="S40" i="12" s="1"/>
  <c r="T40" i="7"/>
  <c r="T40" i="12" s="1"/>
  <c r="U40" i="7"/>
  <c r="U40" i="12" s="1"/>
  <c r="V40" i="7"/>
  <c r="V40" i="12" s="1"/>
  <c r="B41" i="7"/>
  <c r="B41" i="12" s="1"/>
  <c r="C41" i="7"/>
  <c r="C41" i="12" s="1"/>
  <c r="D41" i="7"/>
  <c r="D41" i="12" s="1"/>
  <c r="E41" i="7"/>
  <c r="E41" i="12" s="1"/>
  <c r="F41" i="7"/>
  <c r="F41" i="12" s="1"/>
  <c r="G41" i="7"/>
  <c r="G41" i="12" s="1"/>
  <c r="H41" i="7"/>
  <c r="H41" i="12" s="1"/>
  <c r="I41" i="7"/>
  <c r="I41" i="12" s="1"/>
  <c r="J41" i="7"/>
  <c r="J41" i="12" s="1"/>
  <c r="K41" i="7"/>
  <c r="K41" i="12" s="1"/>
  <c r="L41" i="7"/>
  <c r="L41" i="12" s="1"/>
  <c r="M41" i="7"/>
  <c r="M41" i="12" s="1"/>
  <c r="N41" i="7"/>
  <c r="N41" i="12" s="1"/>
  <c r="O41" i="7"/>
  <c r="O41" i="12" s="1"/>
  <c r="P41" i="7"/>
  <c r="P41" i="12" s="1"/>
  <c r="Q41" i="7"/>
  <c r="Q41" i="12" s="1"/>
  <c r="R41" i="7"/>
  <c r="R41" i="12" s="1"/>
  <c r="S41" i="7"/>
  <c r="S41" i="12" s="1"/>
  <c r="T41" i="7"/>
  <c r="T41" i="12" s="1"/>
  <c r="U41" i="7"/>
  <c r="U41" i="12" s="1"/>
  <c r="V41" i="7"/>
  <c r="V41" i="12" s="1"/>
  <c r="B42" i="7"/>
  <c r="B42" i="12" s="1"/>
  <c r="C42" i="7"/>
  <c r="C42" i="12" s="1"/>
  <c r="D42" i="7"/>
  <c r="D42" i="12" s="1"/>
  <c r="E42" i="7"/>
  <c r="E42" i="12" s="1"/>
  <c r="F42" i="7"/>
  <c r="F42" i="12" s="1"/>
  <c r="G42" i="7"/>
  <c r="G42" i="12" s="1"/>
  <c r="H42" i="7"/>
  <c r="H42" i="12" s="1"/>
  <c r="I42" i="7"/>
  <c r="I42" i="12" s="1"/>
  <c r="J42" i="7"/>
  <c r="J42" i="12" s="1"/>
  <c r="K42" i="7"/>
  <c r="K42" i="12" s="1"/>
  <c r="L42" i="7"/>
  <c r="L42" i="12" s="1"/>
  <c r="M42" i="7"/>
  <c r="M42" i="12" s="1"/>
  <c r="N42" i="7"/>
  <c r="N42" i="12" s="1"/>
  <c r="O42" i="7"/>
  <c r="O42" i="12" s="1"/>
  <c r="P42" i="7"/>
  <c r="P42" i="12" s="1"/>
  <c r="Q42" i="7"/>
  <c r="Q42" i="12" s="1"/>
  <c r="R42" i="7"/>
  <c r="R42" i="12" s="1"/>
  <c r="S42" i="7"/>
  <c r="S42" i="12" s="1"/>
  <c r="T42" i="7"/>
  <c r="T42" i="12" s="1"/>
  <c r="U42" i="7"/>
  <c r="U42" i="12" s="1"/>
  <c r="V42" i="7"/>
  <c r="V42" i="12" s="1"/>
  <c r="B43" i="7"/>
  <c r="B43" i="12" s="1"/>
  <c r="C43" i="7"/>
  <c r="C43" i="12" s="1"/>
  <c r="D43" i="7"/>
  <c r="D43" i="12" s="1"/>
  <c r="E43" i="7"/>
  <c r="E43" i="12" s="1"/>
  <c r="F43" i="7"/>
  <c r="F43" i="12" s="1"/>
  <c r="G43" i="7"/>
  <c r="G43" i="12" s="1"/>
  <c r="H43" i="7"/>
  <c r="H43" i="12" s="1"/>
  <c r="I43" i="7"/>
  <c r="I43" i="12" s="1"/>
  <c r="J43" i="7"/>
  <c r="J43" i="12" s="1"/>
  <c r="K43" i="7"/>
  <c r="K43" i="12" s="1"/>
  <c r="L43" i="7"/>
  <c r="L43" i="12" s="1"/>
  <c r="M43" i="7"/>
  <c r="M43" i="12" s="1"/>
  <c r="N43" i="7"/>
  <c r="N43" i="12" s="1"/>
  <c r="O43" i="7"/>
  <c r="O43" i="12" s="1"/>
  <c r="P43" i="7"/>
  <c r="P43" i="12" s="1"/>
  <c r="Q43" i="7"/>
  <c r="Q43" i="12" s="1"/>
  <c r="R43" i="7"/>
  <c r="R43" i="12" s="1"/>
  <c r="S43" i="7"/>
  <c r="S43" i="12" s="1"/>
  <c r="T43" i="7"/>
  <c r="T43" i="12" s="1"/>
  <c r="U43" i="7"/>
  <c r="U43" i="12" s="1"/>
  <c r="V43" i="7"/>
  <c r="V43" i="12" s="1"/>
  <c r="C2" i="7"/>
  <c r="C2" i="12" s="1"/>
  <c r="D2" i="7"/>
  <c r="D2" i="12" s="1"/>
  <c r="E2" i="7"/>
  <c r="E2" i="12" s="1"/>
  <c r="F2" i="7"/>
  <c r="F2" i="12" s="1"/>
  <c r="G2" i="7"/>
  <c r="G2" i="12" s="1"/>
  <c r="H2" i="7"/>
  <c r="H2" i="12" s="1"/>
  <c r="I2" i="7"/>
  <c r="I2" i="12" s="1"/>
  <c r="J2" i="7"/>
  <c r="J2" i="12" s="1"/>
  <c r="K2" i="7"/>
  <c r="K2" i="12" s="1"/>
  <c r="L2" i="7"/>
  <c r="L2" i="12" s="1"/>
  <c r="M2" i="7"/>
  <c r="M2" i="12" s="1"/>
  <c r="N2" i="7"/>
  <c r="N2" i="12" s="1"/>
  <c r="O2" i="7"/>
  <c r="O2" i="12" s="1"/>
  <c r="P2" i="7"/>
  <c r="P2" i="12" s="1"/>
  <c r="Q2" i="7"/>
  <c r="Q2" i="12" s="1"/>
  <c r="R2" i="7"/>
  <c r="R2" i="12" s="1"/>
  <c r="S2" i="7"/>
  <c r="S2" i="12" s="1"/>
  <c r="T2" i="7"/>
  <c r="T2" i="12" s="1"/>
  <c r="U2" i="7"/>
  <c r="U2" i="12" s="1"/>
  <c r="V2" i="7"/>
  <c r="V2" i="12" s="1"/>
  <c r="B2" i="7"/>
  <c r="B2" i="12" s="1"/>
  <c r="E3" i="12"/>
  <c r="H5" i="12"/>
  <c r="N6" i="12"/>
  <c r="B10" i="12"/>
  <c r="T12" i="12"/>
  <c r="P15" i="12"/>
  <c r="E19" i="12"/>
  <c r="K19" i="12"/>
  <c r="P31" i="12"/>
  <c r="B3" i="6"/>
  <c r="B3" i="11" s="1"/>
  <c r="C3" i="6"/>
  <c r="C3" i="11" s="1"/>
  <c r="D3" i="6"/>
  <c r="D3" i="11" s="1"/>
  <c r="E3" i="6"/>
  <c r="E3" i="11" s="1"/>
  <c r="F3" i="6"/>
  <c r="F3" i="11" s="1"/>
  <c r="G3" i="6"/>
  <c r="G3" i="11" s="1"/>
  <c r="H3" i="6"/>
  <c r="I3" i="6"/>
  <c r="J3" i="6"/>
  <c r="K3" i="6"/>
  <c r="K3" i="11" s="1"/>
  <c r="L3" i="6"/>
  <c r="L3" i="11" s="1"/>
  <c r="M3" i="6"/>
  <c r="M3" i="11" s="1"/>
  <c r="N3" i="6"/>
  <c r="N3" i="11" s="1"/>
  <c r="O3" i="6"/>
  <c r="O3" i="11" s="1"/>
  <c r="P3" i="6"/>
  <c r="P3" i="11" s="1"/>
  <c r="Q3" i="6"/>
  <c r="Q3" i="11" s="1"/>
  <c r="R3" i="6"/>
  <c r="R3" i="11" s="1"/>
  <c r="S3" i="6"/>
  <c r="S3" i="11" s="1"/>
  <c r="T3" i="6"/>
  <c r="T3" i="11" s="1"/>
  <c r="U3" i="6"/>
  <c r="U3" i="11" s="1"/>
  <c r="V3" i="6"/>
  <c r="V3" i="11" s="1"/>
  <c r="W3" i="6"/>
  <c r="W3" i="11" s="1"/>
  <c r="X3" i="6"/>
  <c r="X3" i="11" s="1"/>
  <c r="B4" i="6"/>
  <c r="B4" i="11" s="1"/>
  <c r="C4" i="6"/>
  <c r="C4" i="11" s="1"/>
  <c r="D4" i="6"/>
  <c r="D4" i="11" s="1"/>
  <c r="E4" i="6"/>
  <c r="E4" i="11" s="1"/>
  <c r="F4" i="6"/>
  <c r="F4" i="11" s="1"/>
  <c r="G4" i="6"/>
  <c r="G4" i="11" s="1"/>
  <c r="H4" i="6"/>
  <c r="H4" i="11" s="1"/>
  <c r="I4" i="6"/>
  <c r="I4" i="11" s="1"/>
  <c r="J4" i="6"/>
  <c r="J4" i="11" s="1"/>
  <c r="K4" i="6"/>
  <c r="K4" i="11" s="1"/>
  <c r="L4" i="6"/>
  <c r="L4" i="11" s="1"/>
  <c r="M4" i="6"/>
  <c r="M4" i="11" s="1"/>
  <c r="N4" i="6"/>
  <c r="N4" i="11" s="1"/>
  <c r="O4" i="6"/>
  <c r="O4" i="11" s="1"/>
  <c r="P4" i="6"/>
  <c r="P4" i="11" s="1"/>
  <c r="Q4" i="6"/>
  <c r="Q4" i="11" s="1"/>
  <c r="R4" i="6"/>
  <c r="R4" i="11" s="1"/>
  <c r="S4" i="6"/>
  <c r="S4" i="11" s="1"/>
  <c r="T4" i="6"/>
  <c r="T4" i="11" s="1"/>
  <c r="U4" i="6"/>
  <c r="U4" i="11" s="1"/>
  <c r="V4" i="6"/>
  <c r="V4" i="11" s="1"/>
  <c r="W4" i="6"/>
  <c r="W4" i="11" s="1"/>
  <c r="X4" i="6"/>
  <c r="X4" i="11" s="1"/>
  <c r="B5" i="6"/>
  <c r="B5" i="11" s="1"/>
  <c r="C5" i="6"/>
  <c r="C5" i="11" s="1"/>
  <c r="D5" i="6"/>
  <c r="D5" i="11" s="1"/>
  <c r="E5" i="6"/>
  <c r="E5" i="11" s="1"/>
  <c r="F5" i="6"/>
  <c r="F5" i="11" s="1"/>
  <c r="G5" i="6"/>
  <c r="G5" i="11" s="1"/>
  <c r="H5" i="6"/>
  <c r="H5" i="11" s="1"/>
  <c r="I5" i="6"/>
  <c r="I5" i="11" s="1"/>
  <c r="J5" i="6"/>
  <c r="J5" i="11" s="1"/>
  <c r="K5" i="6"/>
  <c r="K5" i="11" s="1"/>
  <c r="L5" i="6"/>
  <c r="L5" i="11" s="1"/>
  <c r="M5" i="6"/>
  <c r="M5" i="11" s="1"/>
  <c r="N5" i="6"/>
  <c r="N5" i="11" s="1"/>
  <c r="O5" i="6"/>
  <c r="O5" i="11" s="1"/>
  <c r="P5" i="6"/>
  <c r="P5" i="11" s="1"/>
  <c r="Q5" i="6"/>
  <c r="Q5" i="11" s="1"/>
  <c r="R5" i="6"/>
  <c r="R5" i="11" s="1"/>
  <c r="S5" i="6"/>
  <c r="S5" i="11" s="1"/>
  <c r="T5" i="6"/>
  <c r="T5" i="11" s="1"/>
  <c r="U5" i="6"/>
  <c r="U5" i="11" s="1"/>
  <c r="V5" i="6"/>
  <c r="V5" i="11" s="1"/>
  <c r="W5" i="6"/>
  <c r="W5" i="11" s="1"/>
  <c r="X5" i="6"/>
  <c r="X5" i="11" s="1"/>
  <c r="B6" i="6"/>
  <c r="B6" i="11" s="1"/>
  <c r="C6" i="6"/>
  <c r="C6" i="11" s="1"/>
  <c r="D6" i="6"/>
  <c r="D6" i="11" s="1"/>
  <c r="E6" i="6"/>
  <c r="E6" i="11" s="1"/>
  <c r="F6" i="6"/>
  <c r="F6" i="11" s="1"/>
  <c r="G6" i="6"/>
  <c r="G6" i="11" s="1"/>
  <c r="H6" i="6"/>
  <c r="H6" i="11" s="1"/>
  <c r="I6" i="6"/>
  <c r="I6" i="11" s="1"/>
  <c r="J6" i="6"/>
  <c r="J6" i="11" s="1"/>
  <c r="K6" i="6"/>
  <c r="K6" i="11" s="1"/>
  <c r="L6" i="6"/>
  <c r="L6" i="11" s="1"/>
  <c r="M6" i="6"/>
  <c r="M6" i="11" s="1"/>
  <c r="N6" i="6"/>
  <c r="N6" i="11" s="1"/>
  <c r="O6" i="6"/>
  <c r="O6" i="11" s="1"/>
  <c r="P6" i="6"/>
  <c r="P6" i="11" s="1"/>
  <c r="Q6" i="6"/>
  <c r="Q6" i="11" s="1"/>
  <c r="R6" i="6"/>
  <c r="R6" i="11" s="1"/>
  <c r="S6" i="6"/>
  <c r="S6" i="11" s="1"/>
  <c r="T6" i="6"/>
  <c r="T6" i="11" s="1"/>
  <c r="U6" i="6"/>
  <c r="U6" i="11" s="1"/>
  <c r="V6" i="6"/>
  <c r="V6" i="11" s="1"/>
  <c r="W6" i="6"/>
  <c r="W6" i="11" s="1"/>
  <c r="X6" i="6"/>
  <c r="X6" i="11" s="1"/>
  <c r="B7" i="6"/>
  <c r="B7" i="11" s="1"/>
  <c r="C7" i="6"/>
  <c r="C7" i="11" s="1"/>
  <c r="D7" i="6"/>
  <c r="D7" i="11" s="1"/>
  <c r="E7" i="6"/>
  <c r="E7" i="11" s="1"/>
  <c r="F7" i="6"/>
  <c r="F7" i="11" s="1"/>
  <c r="G7" i="6"/>
  <c r="G7" i="11" s="1"/>
  <c r="H7" i="6"/>
  <c r="H7" i="11" s="1"/>
  <c r="I7" i="6"/>
  <c r="I7" i="11" s="1"/>
  <c r="J7" i="6"/>
  <c r="J7" i="11" s="1"/>
  <c r="K7" i="6"/>
  <c r="K7" i="11" s="1"/>
  <c r="L7" i="6"/>
  <c r="L7" i="11" s="1"/>
  <c r="M7" i="6"/>
  <c r="M7" i="11" s="1"/>
  <c r="N7" i="6"/>
  <c r="N7" i="11" s="1"/>
  <c r="O7" i="6"/>
  <c r="O7" i="11" s="1"/>
  <c r="P7" i="6"/>
  <c r="P7" i="11" s="1"/>
  <c r="Q7" i="6"/>
  <c r="Q7" i="11" s="1"/>
  <c r="R7" i="6"/>
  <c r="R7" i="11" s="1"/>
  <c r="S7" i="6"/>
  <c r="S7" i="11" s="1"/>
  <c r="T7" i="6"/>
  <c r="T7" i="11" s="1"/>
  <c r="U7" i="6"/>
  <c r="U7" i="11" s="1"/>
  <c r="V7" i="6"/>
  <c r="V7" i="11" s="1"/>
  <c r="W7" i="6"/>
  <c r="W7" i="11" s="1"/>
  <c r="X7" i="6"/>
  <c r="X7" i="11" s="1"/>
  <c r="B8" i="6"/>
  <c r="B8" i="11" s="1"/>
  <c r="C8" i="6"/>
  <c r="C8" i="11" s="1"/>
  <c r="D8" i="6"/>
  <c r="D8" i="11" s="1"/>
  <c r="E8" i="6"/>
  <c r="E8" i="11" s="1"/>
  <c r="F8" i="6"/>
  <c r="F8" i="11" s="1"/>
  <c r="G8" i="6"/>
  <c r="G8" i="11" s="1"/>
  <c r="H8" i="6"/>
  <c r="H8" i="11" s="1"/>
  <c r="I8" i="6"/>
  <c r="I8" i="11" s="1"/>
  <c r="J8" i="6"/>
  <c r="J8" i="11" s="1"/>
  <c r="K8" i="6"/>
  <c r="K8" i="11" s="1"/>
  <c r="L8" i="6"/>
  <c r="L8" i="11" s="1"/>
  <c r="M8" i="6"/>
  <c r="M8" i="11" s="1"/>
  <c r="N8" i="6"/>
  <c r="N8" i="11" s="1"/>
  <c r="O8" i="6"/>
  <c r="O8" i="11" s="1"/>
  <c r="P8" i="6"/>
  <c r="P8" i="11" s="1"/>
  <c r="Q8" i="6"/>
  <c r="Q8" i="11" s="1"/>
  <c r="R8" i="6"/>
  <c r="R8" i="11" s="1"/>
  <c r="S8" i="6"/>
  <c r="S8" i="11" s="1"/>
  <c r="T8" i="6"/>
  <c r="T8" i="11" s="1"/>
  <c r="U8" i="6"/>
  <c r="U8" i="11" s="1"/>
  <c r="V8" i="6"/>
  <c r="V8" i="11" s="1"/>
  <c r="W8" i="6"/>
  <c r="W8" i="11" s="1"/>
  <c r="X8" i="6"/>
  <c r="X8" i="11" s="1"/>
  <c r="B9" i="6"/>
  <c r="B9" i="11" s="1"/>
  <c r="C9" i="6"/>
  <c r="C9" i="11" s="1"/>
  <c r="D9" i="6"/>
  <c r="D9" i="11" s="1"/>
  <c r="E9" i="6"/>
  <c r="E9" i="11" s="1"/>
  <c r="F9" i="6"/>
  <c r="F9" i="11" s="1"/>
  <c r="G9" i="6"/>
  <c r="G9" i="11" s="1"/>
  <c r="H9" i="6"/>
  <c r="H9" i="11" s="1"/>
  <c r="I9" i="6"/>
  <c r="I9" i="11" s="1"/>
  <c r="J9" i="6"/>
  <c r="J9" i="11" s="1"/>
  <c r="K9" i="6"/>
  <c r="K9" i="11" s="1"/>
  <c r="L9" i="6"/>
  <c r="L9" i="11" s="1"/>
  <c r="M9" i="6"/>
  <c r="M9" i="11" s="1"/>
  <c r="N9" i="6"/>
  <c r="N9" i="11" s="1"/>
  <c r="O9" i="6"/>
  <c r="O9" i="11" s="1"/>
  <c r="P9" i="6"/>
  <c r="P9" i="11" s="1"/>
  <c r="Q9" i="6"/>
  <c r="Q9" i="11" s="1"/>
  <c r="R9" i="6"/>
  <c r="R9" i="11" s="1"/>
  <c r="S9" i="6"/>
  <c r="S9" i="11" s="1"/>
  <c r="T9" i="6"/>
  <c r="T9" i="11" s="1"/>
  <c r="U9" i="6"/>
  <c r="U9" i="11" s="1"/>
  <c r="V9" i="6"/>
  <c r="V9" i="11" s="1"/>
  <c r="W9" i="6"/>
  <c r="W9" i="11" s="1"/>
  <c r="X9" i="6"/>
  <c r="X9" i="11" s="1"/>
  <c r="B10" i="6"/>
  <c r="B10" i="11" s="1"/>
  <c r="C10" i="6"/>
  <c r="C10" i="11" s="1"/>
  <c r="D10" i="6"/>
  <c r="D10" i="11" s="1"/>
  <c r="E10" i="6"/>
  <c r="E10" i="11" s="1"/>
  <c r="F10" i="6"/>
  <c r="F10" i="11" s="1"/>
  <c r="G10" i="6"/>
  <c r="G10" i="11" s="1"/>
  <c r="H10" i="6"/>
  <c r="H10" i="11" s="1"/>
  <c r="I10" i="6"/>
  <c r="I10" i="11" s="1"/>
  <c r="J10" i="6"/>
  <c r="J10" i="11" s="1"/>
  <c r="K10" i="6"/>
  <c r="K10" i="11" s="1"/>
  <c r="L10" i="6"/>
  <c r="L10" i="11" s="1"/>
  <c r="M10" i="6"/>
  <c r="M10" i="11" s="1"/>
  <c r="N10" i="6"/>
  <c r="N10" i="11" s="1"/>
  <c r="O10" i="6"/>
  <c r="O10" i="11" s="1"/>
  <c r="P10" i="6"/>
  <c r="P10" i="11" s="1"/>
  <c r="Q10" i="6"/>
  <c r="Q10" i="11" s="1"/>
  <c r="R10" i="6"/>
  <c r="R10" i="11" s="1"/>
  <c r="S10" i="6"/>
  <c r="S10" i="11" s="1"/>
  <c r="T10" i="6"/>
  <c r="T10" i="11" s="1"/>
  <c r="U10" i="6"/>
  <c r="U10" i="11" s="1"/>
  <c r="V10" i="6"/>
  <c r="V10" i="11" s="1"/>
  <c r="W10" i="6"/>
  <c r="W10" i="11" s="1"/>
  <c r="X10" i="6"/>
  <c r="X10" i="11" s="1"/>
  <c r="B11" i="6"/>
  <c r="B11" i="11" s="1"/>
  <c r="C11" i="6"/>
  <c r="C11" i="11" s="1"/>
  <c r="D11" i="6"/>
  <c r="D11" i="11" s="1"/>
  <c r="E11" i="6"/>
  <c r="E11" i="11" s="1"/>
  <c r="F11" i="6"/>
  <c r="F11" i="11" s="1"/>
  <c r="G11" i="6"/>
  <c r="G11" i="11" s="1"/>
  <c r="H11" i="6"/>
  <c r="H11" i="11" s="1"/>
  <c r="I11" i="6"/>
  <c r="I11" i="11" s="1"/>
  <c r="J11" i="6"/>
  <c r="J11" i="11" s="1"/>
  <c r="K11" i="6"/>
  <c r="K11" i="11" s="1"/>
  <c r="L11" i="6"/>
  <c r="L11" i="11" s="1"/>
  <c r="M11" i="6"/>
  <c r="M11" i="11" s="1"/>
  <c r="N11" i="6"/>
  <c r="N11" i="11" s="1"/>
  <c r="O11" i="6"/>
  <c r="O11" i="11" s="1"/>
  <c r="P11" i="6"/>
  <c r="P11" i="11" s="1"/>
  <c r="Q11" i="6"/>
  <c r="Q11" i="11" s="1"/>
  <c r="R11" i="6"/>
  <c r="R11" i="11" s="1"/>
  <c r="S11" i="6"/>
  <c r="S11" i="11" s="1"/>
  <c r="T11" i="6"/>
  <c r="T11" i="11" s="1"/>
  <c r="U11" i="6"/>
  <c r="U11" i="11" s="1"/>
  <c r="V11" i="6"/>
  <c r="V11" i="11" s="1"/>
  <c r="W11" i="6"/>
  <c r="W11" i="11" s="1"/>
  <c r="X11" i="6"/>
  <c r="X11" i="11" s="1"/>
  <c r="B12" i="6"/>
  <c r="B12" i="11" s="1"/>
  <c r="C12" i="6"/>
  <c r="C12" i="11" s="1"/>
  <c r="D12" i="6"/>
  <c r="D12" i="11" s="1"/>
  <c r="E12" i="6"/>
  <c r="E12" i="11" s="1"/>
  <c r="F12" i="6"/>
  <c r="F12" i="11" s="1"/>
  <c r="G12" i="6"/>
  <c r="G12" i="11" s="1"/>
  <c r="H12" i="6"/>
  <c r="H12" i="11" s="1"/>
  <c r="I12" i="6"/>
  <c r="I12" i="11" s="1"/>
  <c r="J12" i="6"/>
  <c r="J12" i="11" s="1"/>
  <c r="K12" i="6"/>
  <c r="K12" i="11" s="1"/>
  <c r="L12" i="6"/>
  <c r="L12" i="11" s="1"/>
  <c r="M12" i="6"/>
  <c r="M12" i="11" s="1"/>
  <c r="N12" i="6"/>
  <c r="N12" i="11" s="1"/>
  <c r="O12" i="6"/>
  <c r="O12" i="11" s="1"/>
  <c r="P12" i="6"/>
  <c r="P12" i="11" s="1"/>
  <c r="Q12" i="6"/>
  <c r="Q12" i="11" s="1"/>
  <c r="R12" i="6"/>
  <c r="R12" i="11" s="1"/>
  <c r="S12" i="6"/>
  <c r="S12" i="11" s="1"/>
  <c r="T12" i="6"/>
  <c r="T12" i="11" s="1"/>
  <c r="U12" i="6"/>
  <c r="U12" i="11" s="1"/>
  <c r="V12" i="6"/>
  <c r="V12" i="11" s="1"/>
  <c r="W12" i="6"/>
  <c r="W12" i="11" s="1"/>
  <c r="X12" i="6"/>
  <c r="X12" i="11" s="1"/>
  <c r="B13" i="6"/>
  <c r="B13" i="11" s="1"/>
  <c r="C13" i="6"/>
  <c r="C13" i="11" s="1"/>
  <c r="D13" i="6"/>
  <c r="D13" i="11" s="1"/>
  <c r="E13" i="6"/>
  <c r="E13" i="11" s="1"/>
  <c r="F13" i="6"/>
  <c r="F13" i="11" s="1"/>
  <c r="G13" i="6"/>
  <c r="G13" i="11" s="1"/>
  <c r="H13" i="6"/>
  <c r="H13" i="11" s="1"/>
  <c r="I13" i="6"/>
  <c r="I13" i="11" s="1"/>
  <c r="J13" i="6"/>
  <c r="J13" i="11" s="1"/>
  <c r="K13" i="6"/>
  <c r="K13" i="11" s="1"/>
  <c r="L13" i="6"/>
  <c r="L13" i="11" s="1"/>
  <c r="M13" i="6"/>
  <c r="M13" i="11" s="1"/>
  <c r="N13" i="6"/>
  <c r="N13" i="11" s="1"/>
  <c r="O13" i="6"/>
  <c r="O13" i="11" s="1"/>
  <c r="P13" i="6"/>
  <c r="P13" i="11" s="1"/>
  <c r="Q13" i="6"/>
  <c r="Q13" i="11" s="1"/>
  <c r="R13" i="6"/>
  <c r="R13" i="11" s="1"/>
  <c r="S13" i="6"/>
  <c r="S13" i="11" s="1"/>
  <c r="T13" i="6"/>
  <c r="T13" i="11" s="1"/>
  <c r="U13" i="6"/>
  <c r="U13" i="11" s="1"/>
  <c r="V13" i="6"/>
  <c r="V13" i="11" s="1"/>
  <c r="W13" i="6"/>
  <c r="W13" i="11" s="1"/>
  <c r="X13" i="6"/>
  <c r="X13" i="11" s="1"/>
  <c r="B14" i="6"/>
  <c r="B14" i="11" s="1"/>
  <c r="C14" i="6"/>
  <c r="C14" i="11" s="1"/>
  <c r="D14" i="6"/>
  <c r="D14" i="11" s="1"/>
  <c r="E14" i="6"/>
  <c r="E14" i="11" s="1"/>
  <c r="F14" i="6"/>
  <c r="F14" i="11" s="1"/>
  <c r="G14" i="6"/>
  <c r="G14" i="11" s="1"/>
  <c r="H14" i="6"/>
  <c r="H14" i="11" s="1"/>
  <c r="I14" i="6"/>
  <c r="I14" i="11" s="1"/>
  <c r="J14" i="6"/>
  <c r="J14" i="11" s="1"/>
  <c r="K14" i="6"/>
  <c r="K14" i="11" s="1"/>
  <c r="L14" i="6"/>
  <c r="L14" i="11" s="1"/>
  <c r="M14" i="6"/>
  <c r="M14" i="11" s="1"/>
  <c r="N14" i="6"/>
  <c r="N14" i="11" s="1"/>
  <c r="O14" i="6"/>
  <c r="O14" i="11" s="1"/>
  <c r="P14" i="6"/>
  <c r="P14" i="11" s="1"/>
  <c r="Q14" i="6"/>
  <c r="Q14" i="11" s="1"/>
  <c r="R14" i="6"/>
  <c r="R14" i="11" s="1"/>
  <c r="S14" i="6"/>
  <c r="S14" i="11" s="1"/>
  <c r="T14" i="6"/>
  <c r="T14" i="11" s="1"/>
  <c r="U14" i="6"/>
  <c r="U14" i="11" s="1"/>
  <c r="V14" i="6"/>
  <c r="V14" i="11" s="1"/>
  <c r="W14" i="6"/>
  <c r="W14" i="11" s="1"/>
  <c r="X14" i="6"/>
  <c r="X14" i="11" s="1"/>
  <c r="B15" i="6"/>
  <c r="B15" i="11" s="1"/>
  <c r="C15" i="6"/>
  <c r="C15" i="11" s="1"/>
  <c r="D15" i="6"/>
  <c r="D15" i="11" s="1"/>
  <c r="E15" i="6"/>
  <c r="E15" i="11" s="1"/>
  <c r="F15" i="6"/>
  <c r="F15" i="11" s="1"/>
  <c r="G15" i="6"/>
  <c r="G15" i="11" s="1"/>
  <c r="H15" i="6"/>
  <c r="H15" i="11" s="1"/>
  <c r="I15" i="6"/>
  <c r="I15" i="11" s="1"/>
  <c r="J15" i="6"/>
  <c r="J15" i="11" s="1"/>
  <c r="K15" i="6"/>
  <c r="K15" i="11" s="1"/>
  <c r="L15" i="6"/>
  <c r="L15" i="11" s="1"/>
  <c r="M15" i="6"/>
  <c r="M15" i="11" s="1"/>
  <c r="N15" i="6"/>
  <c r="N15" i="11" s="1"/>
  <c r="O15" i="6"/>
  <c r="O15" i="11" s="1"/>
  <c r="P15" i="6"/>
  <c r="P15" i="11" s="1"/>
  <c r="Q15" i="6"/>
  <c r="Q15" i="11" s="1"/>
  <c r="R15" i="6"/>
  <c r="R15" i="11" s="1"/>
  <c r="S15" i="6"/>
  <c r="S15" i="11" s="1"/>
  <c r="T15" i="6"/>
  <c r="T15" i="11" s="1"/>
  <c r="U15" i="6"/>
  <c r="U15" i="11" s="1"/>
  <c r="V15" i="6"/>
  <c r="V15" i="11" s="1"/>
  <c r="W15" i="6"/>
  <c r="X15" i="6"/>
  <c r="X15" i="11" s="1"/>
  <c r="B16" i="6"/>
  <c r="B16" i="11" s="1"/>
  <c r="C16" i="6"/>
  <c r="C16" i="11" s="1"/>
  <c r="D16" i="6"/>
  <c r="D16" i="11" s="1"/>
  <c r="E16" i="6"/>
  <c r="E16" i="11" s="1"/>
  <c r="F16" i="6"/>
  <c r="F16" i="11" s="1"/>
  <c r="G16" i="6"/>
  <c r="G16" i="11" s="1"/>
  <c r="H16" i="6"/>
  <c r="H16" i="11" s="1"/>
  <c r="I16" i="6"/>
  <c r="I16" i="11" s="1"/>
  <c r="J16" i="6"/>
  <c r="J16" i="11" s="1"/>
  <c r="K16" i="6"/>
  <c r="K16" i="11" s="1"/>
  <c r="L16" i="6"/>
  <c r="L16" i="11" s="1"/>
  <c r="M16" i="6"/>
  <c r="M16" i="11" s="1"/>
  <c r="N16" i="6"/>
  <c r="N16" i="11" s="1"/>
  <c r="O16" i="6"/>
  <c r="O16" i="11" s="1"/>
  <c r="P16" i="6"/>
  <c r="P16" i="11" s="1"/>
  <c r="Q16" i="6"/>
  <c r="Q16" i="11" s="1"/>
  <c r="R16" i="6"/>
  <c r="R16" i="11" s="1"/>
  <c r="S16" i="6"/>
  <c r="S16" i="11" s="1"/>
  <c r="T16" i="6"/>
  <c r="T16" i="11" s="1"/>
  <c r="U16" i="6"/>
  <c r="U16" i="11" s="1"/>
  <c r="V16" i="6"/>
  <c r="V16" i="11" s="1"/>
  <c r="W16" i="6"/>
  <c r="W16" i="11" s="1"/>
  <c r="X16" i="6"/>
  <c r="X16" i="11" s="1"/>
  <c r="B17" i="6"/>
  <c r="B17" i="11" s="1"/>
  <c r="C17" i="6"/>
  <c r="C17" i="11" s="1"/>
  <c r="D17" i="6"/>
  <c r="D17" i="11" s="1"/>
  <c r="E17" i="6"/>
  <c r="E17" i="11" s="1"/>
  <c r="F17" i="6"/>
  <c r="F17" i="11" s="1"/>
  <c r="G17" i="6"/>
  <c r="G17" i="11" s="1"/>
  <c r="H17" i="6"/>
  <c r="H17" i="11" s="1"/>
  <c r="I17" i="6"/>
  <c r="I17" i="11" s="1"/>
  <c r="J17" i="6"/>
  <c r="J17" i="11" s="1"/>
  <c r="K17" i="6"/>
  <c r="K17" i="11" s="1"/>
  <c r="L17" i="6"/>
  <c r="L17" i="11" s="1"/>
  <c r="M17" i="6"/>
  <c r="M17" i="11" s="1"/>
  <c r="N17" i="6"/>
  <c r="N17" i="11" s="1"/>
  <c r="O17" i="6"/>
  <c r="O17" i="11" s="1"/>
  <c r="P17" i="6"/>
  <c r="P17" i="11" s="1"/>
  <c r="Q17" i="6"/>
  <c r="Q17" i="11" s="1"/>
  <c r="R17" i="6"/>
  <c r="R17" i="11" s="1"/>
  <c r="S17" i="6"/>
  <c r="S17" i="11" s="1"/>
  <c r="T17" i="6"/>
  <c r="T17" i="11" s="1"/>
  <c r="U17" i="6"/>
  <c r="U17" i="11" s="1"/>
  <c r="V17" i="6"/>
  <c r="V17" i="11" s="1"/>
  <c r="W17" i="6"/>
  <c r="W17" i="11" s="1"/>
  <c r="X17" i="6"/>
  <c r="X17" i="11" s="1"/>
  <c r="B18" i="6"/>
  <c r="B18" i="11" s="1"/>
  <c r="C18" i="6"/>
  <c r="C18" i="11" s="1"/>
  <c r="D18" i="6"/>
  <c r="D18" i="11" s="1"/>
  <c r="E18" i="6"/>
  <c r="E18" i="11" s="1"/>
  <c r="F18" i="6"/>
  <c r="F18" i="11" s="1"/>
  <c r="G18" i="6"/>
  <c r="G18" i="11" s="1"/>
  <c r="H18" i="6"/>
  <c r="H18" i="11" s="1"/>
  <c r="I18" i="6"/>
  <c r="I18" i="11" s="1"/>
  <c r="J18" i="6"/>
  <c r="J18" i="11" s="1"/>
  <c r="K18" i="6"/>
  <c r="K18" i="11" s="1"/>
  <c r="L18" i="6"/>
  <c r="L18" i="11" s="1"/>
  <c r="M18" i="6"/>
  <c r="M18" i="11" s="1"/>
  <c r="N18" i="6"/>
  <c r="N18" i="11" s="1"/>
  <c r="O18" i="6"/>
  <c r="O18" i="11" s="1"/>
  <c r="P18" i="6"/>
  <c r="P18" i="11" s="1"/>
  <c r="Q18" i="6"/>
  <c r="Q18" i="11" s="1"/>
  <c r="R18" i="6"/>
  <c r="R18" i="11" s="1"/>
  <c r="S18" i="6"/>
  <c r="S18" i="11" s="1"/>
  <c r="T18" i="6"/>
  <c r="T18" i="11" s="1"/>
  <c r="U18" i="6"/>
  <c r="U18" i="11" s="1"/>
  <c r="V18" i="6"/>
  <c r="V18" i="11" s="1"/>
  <c r="W18" i="6"/>
  <c r="W18" i="11" s="1"/>
  <c r="X18" i="6"/>
  <c r="X18" i="11" s="1"/>
  <c r="B19" i="6"/>
  <c r="B19" i="11" s="1"/>
  <c r="C19" i="6"/>
  <c r="C19" i="11" s="1"/>
  <c r="D19" i="6"/>
  <c r="D19" i="11" s="1"/>
  <c r="E19" i="6"/>
  <c r="E19" i="11" s="1"/>
  <c r="F19" i="6"/>
  <c r="F19" i="11" s="1"/>
  <c r="G19" i="6"/>
  <c r="G19" i="11" s="1"/>
  <c r="H19" i="6"/>
  <c r="H19" i="11" s="1"/>
  <c r="I19" i="6"/>
  <c r="I19" i="11" s="1"/>
  <c r="J19" i="6"/>
  <c r="J19" i="11" s="1"/>
  <c r="K19" i="6"/>
  <c r="K19" i="11" s="1"/>
  <c r="L19" i="6"/>
  <c r="L19" i="11" s="1"/>
  <c r="M19" i="6"/>
  <c r="M19" i="11" s="1"/>
  <c r="N19" i="6"/>
  <c r="N19" i="11" s="1"/>
  <c r="O19" i="6"/>
  <c r="O19" i="11" s="1"/>
  <c r="P19" i="6"/>
  <c r="P19" i="11" s="1"/>
  <c r="Q19" i="6"/>
  <c r="Q19" i="11" s="1"/>
  <c r="R19" i="6"/>
  <c r="R19" i="11" s="1"/>
  <c r="S19" i="6"/>
  <c r="S19" i="11" s="1"/>
  <c r="T19" i="6"/>
  <c r="T19" i="11" s="1"/>
  <c r="U19" i="6"/>
  <c r="U19" i="11" s="1"/>
  <c r="V19" i="6"/>
  <c r="V19" i="11" s="1"/>
  <c r="W19" i="6"/>
  <c r="W19" i="11" s="1"/>
  <c r="X19" i="6"/>
  <c r="X19" i="11" s="1"/>
  <c r="B20" i="6"/>
  <c r="B20" i="11" s="1"/>
  <c r="C20" i="6"/>
  <c r="C20" i="11" s="1"/>
  <c r="D20" i="6"/>
  <c r="D20" i="11" s="1"/>
  <c r="E20" i="6"/>
  <c r="E20" i="11" s="1"/>
  <c r="F20" i="6"/>
  <c r="F20" i="11" s="1"/>
  <c r="G20" i="6"/>
  <c r="G20" i="11" s="1"/>
  <c r="H20" i="6"/>
  <c r="H20" i="11" s="1"/>
  <c r="I20" i="6"/>
  <c r="I20" i="11" s="1"/>
  <c r="J20" i="6"/>
  <c r="J20" i="11" s="1"/>
  <c r="K20" i="6"/>
  <c r="K20" i="11" s="1"/>
  <c r="L20" i="6"/>
  <c r="L20" i="11" s="1"/>
  <c r="M20" i="6"/>
  <c r="M20" i="11" s="1"/>
  <c r="N20" i="6"/>
  <c r="N20" i="11" s="1"/>
  <c r="O20" i="6"/>
  <c r="O20" i="11" s="1"/>
  <c r="P20" i="6"/>
  <c r="P20" i="11" s="1"/>
  <c r="Q20" i="6"/>
  <c r="Q20" i="11" s="1"/>
  <c r="R20" i="6"/>
  <c r="R20" i="11" s="1"/>
  <c r="S20" i="6"/>
  <c r="S20" i="11" s="1"/>
  <c r="T20" i="6"/>
  <c r="T20" i="11" s="1"/>
  <c r="U20" i="6"/>
  <c r="U20" i="11" s="1"/>
  <c r="V20" i="6"/>
  <c r="V20" i="11" s="1"/>
  <c r="W20" i="6"/>
  <c r="W20" i="11" s="1"/>
  <c r="X20" i="6"/>
  <c r="X20" i="11" s="1"/>
  <c r="B21" i="6"/>
  <c r="B21" i="11" s="1"/>
  <c r="C21" i="6"/>
  <c r="C21" i="11" s="1"/>
  <c r="D21" i="6"/>
  <c r="D21" i="11" s="1"/>
  <c r="E21" i="6"/>
  <c r="E21" i="11" s="1"/>
  <c r="F21" i="6"/>
  <c r="F21" i="11" s="1"/>
  <c r="G21" i="6"/>
  <c r="G21" i="11" s="1"/>
  <c r="H21" i="6"/>
  <c r="H21" i="11" s="1"/>
  <c r="I21" i="6"/>
  <c r="I21" i="11" s="1"/>
  <c r="J21" i="6"/>
  <c r="J21" i="11" s="1"/>
  <c r="K21" i="6"/>
  <c r="K21" i="11" s="1"/>
  <c r="L21" i="6"/>
  <c r="L21" i="11" s="1"/>
  <c r="M21" i="6"/>
  <c r="M21" i="11" s="1"/>
  <c r="N21" i="6"/>
  <c r="N21" i="11" s="1"/>
  <c r="O21" i="6"/>
  <c r="O21" i="11" s="1"/>
  <c r="P21" i="6"/>
  <c r="P21" i="11" s="1"/>
  <c r="Q21" i="6"/>
  <c r="Q21" i="11" s="1"/>
  <c r="R21" i="6"/>
  <c r="R21" i="11" s="1"/>
  <c r="S21" i="6"/>
  <c r="S21" i="11" s="1"/>
  <c r="T21" i="6"/>
  <c r="T21" i="11" s="1"/>
  <c r="U21" i="6"/>
  <c r="U21" i="11" s="1"/>
  <c r="V21" i="6"/>
  <c r="V21" i="11" s="1"/>
  <c r="W21" i="6"/>
  <c r="W21" i="11" s="1"/>
  <c r="X21" i="6"/>
  <c r="X21" i="11" s="1"/>
  <c r="B22" i="6"/>
  <c r="B22" i="11" s="1"/>
  <c r="C22" i="6"/>
  <c r="C22" i="11" s="1"/>
  <c r="D22" i="6"/>
  <c r="D22" i="11" s="1"/>
  <c r="E22" i="6"/>
  <c r="E22" i="11" s="1"/>
  <c r="F22" i="6"/>
  <c r="F22" i="11" s="1"/>
  <c r="G22" i="6"/>
  <c r="G22" i="11" s="1"/>
  <c r="H22" i="6"/>
  <c r="H22" i="11" s="1"/>
  <c r="I22" i="6"/>
  <c r="I22" i="11" s="1"/>
  <c r="J22" i="6"/>
  <c r="J22" i="11" s="1"/>
  <c r="K22" i="6"/>
  <c r="K22" i="11" s="1"/>
  <c r="L22" i="6"/>
  <c r="L22" i="11" s="1"/>
  <c r="M22" i="6"/>
  <c r="M22" i="11" s="1"/>
  <c r="N22" i="6"/>
  <c r="N22" i="11" s="1"/>
  <c r="O22" i="6"/>
  <c r="O22" i="11" s="1"/>
  <c r="P22" i="6"/>
  <c r="P22" i="11" s="1"/>
  <c r="Q22" i="6"/>
  <c r="Q22" i="11" s="1"/>
  <c r="R22" i="6"/>
  <c r="R22" i="11" s="1"/>
  <c r="S22" i="6"/>
  <c r="S22" i="11" s="1"/>
  <c r="T22" i="6"/>
  <c r="T22" i="11" s="1"/>
  <c r="U22" i="6"/>
  <c r="U22" i="11" s="1"/>
  <c r="V22" i="6"/>
  <c r="V22" i="11" s="1"/>
  <c r="W22" i="6"/>
  <c r="W22" i="11" s="1"/>
  <c r="X22" i="6"/>
  <c r="X22" i="11" s="1"/>
  <c r="B23" i="6"/>
  <c r="B23" i="11" s="1"/>
  <c r="C23" i="6"/>
  <c r="C23" i="11" s="1"/>
  <c r="D23" i="6"/>
  <c r="D23" i="11" s="1"/>
  <c r="E23" i="6"/>
  <c r="E23" i="11" s="1"/>
  <c r="F23" i="6"/>
  <c r="F23" i="11" s="1"/>
  <c r="G23" i="6"/>
  <c r="G23" i="11" s="1"/>
  <c r="H23" i="6"/>
  <c r="H23" i="11" s="1"/>
  <c r="I23" i="6"/>
  <c r="I23" i="11" s="1"/>
  <c r="J23" i="6"/>
  <c r="J23" i="11" s="1"/>
  <c r="K23" i="6"/>
  <c r="K23" i="11" s="1"/>
  <c r="L23" i="6"/>
  <c r="L23" i="11" s="1"/>
  <c r="M23" i="6"/>
  <c r="M23" i="11" s="1"/>
  <c r="N23" i="6"/>
  <c r="N23" i="11" s="1"/>
  <c r="O23" i="6"/>
  <c r="O23" i="11" s="1"/>
  <c r="P23" i="6"/>
  <c r="P23" i="11" s="1"/>
  <c r="Q23" i="6"/>
  <c r="Q23" i="11" s="1"/>
  <c r="R23" i="6"/>
  <c r="R23" i="11" s="1"/>
  <c r="S23" i="6"/>
  <c r="S23" i="11" s="1"/>
  <c r="T23" i="6"/>
  <c r="T23" i="11" s="1"/>
  <c r="U23" i="6"/>
  <c r="U23" i="11" s="1"/>
  <c r="V23" i="6"/>
  <c r="V23" i="11" s="1"/>
  <c r="W23" i="6"/>
  <c r="W23" i="11" s="1"/>
  <c r="X23" i="6"/>
  <c r="X23" i="11" s="1"/>
  <c r="B24" i="6"/>
  <c r="B24" i="11" s="1"/>
  <c r="C24" i="6"/>
  <c r="C24" i="11" s="1"/>
  <c r="D24" i="6"/>
  <c r="D24" i="11" s="1"/>
  <c r="E24" i="6"/>
  <c r="E24" i="11" s="1"/>
  <c r="F24" i="6"/>
  <c r="F24" i="11" s="1"/>
  <c r="G24" i="6"/>
  <c r="G24" i="11" s="1"/>
  <c r="H24" i="6"/>
  <c r="H24" i="11" s="1"/>
  <c r="I24" i="6"/>
  <c r="I24" i="11" s="1"/>
  <c r="J24" i="6"/>
  <c r="J24" i="11" s="1"/>
  <c r="K24" i="6"/>
  <c r="K24" i="11" s="1"/>
  <c r="L24" i="6"/>
  <c r="L24" i="11" s="1"/>
  <c r="M24" i="6"/>
  <c r="M24" i="11" s="1"/>
  <c r="N24" i="6"/>
  <c r="N24" i="11" s="1"/>
  <c r="O24" i="6"/>
  <c r="O24" i="11" s="1"/>
  <c r="P24" i="6"/>
  <c r="P24" i="11" s="1"/>
  <c r="Q24" i="6"/>
  <c r="Q24" i="11" s="1"/>
  <c r="R24" i="6"/>
  <c r="R24" i="11" s="1"/>
  <c r="S24" i="6"/>
  <c r="S24" i="11" s="1"/>
  <c r="T24" i="6"/>
  <c r="T24" i="11" s="1"/>
  <c r="U24" i="6"/>
  <c r="U24" i="11" s="1"/>
  <c r="V24" i="6"/>
  <c r="V24" i="11" s="1"/>
  <c r="W24" i="6"/>
  <c r="W24" i="11" s="1"/>
  <c r="X24" i="6"/>
  <c r="X24" i="11" s="1"/>
  <c r="B25" i="6"/>
  <c r="B25" i="11" s="1"/>
  <c r="C25" i="6"/>
  <c r="C25" i="11" s="1"/>
  <c r="D25" i="6"/>
  <c r="D25" i="11" s="1"/>
  <c r="E25" i="6"/>
  <c r="E25" i="11" s="1"/>
  <c r="F25" i="6"/>
  <c r="F25" i="11" s="1"/>
  <c r="G25" i="6"/>
  <c r="G25" i="11" s="1"/>
  <c r="H25" i="6"/>
  <c r="H25" i="11" s="1"/>
  <c r="I25" i="6"/>
  <c r="I25" i="11" s="1"/>
  <c r="J25" i="6"/>
  <c r="J25" i="11" s="1"/>
  <c r="K25" i="6"/>
  <c r="K25" i="11" s="1"/>
  <c r="L25" i="6"/>
  <c r="L25" i="11" s="1"/>
  <c r="M25" i="6"/>
  <c r="M25" i="11" s="1"/>
  <c r="N25" i="6"/>
  <c r="N25" i="11" s="1"/>
  <c r="O25" i="6"/>
  <c r="O25" i="11" s="1"/>
  <c r="P25" i="6"/>
  <c r="P25" i="11" s="1"/>
  <c r="Q25" i="6"/>
  <c r="Q25" i="11" s="1"/>
  <c r="R25" i="6"/>
  <c r="R25" i="11" s="1"/>
  <c r="S25" i="6"/>
  <c r="S25" i="11" s="1"/>
  <c r="T25" i="6"/>
  <c r="T25" i="11" s="1"/>
  <c r="U25" i="6"/>
  <c r="U25" i="11" s="1"/>
  <c r="V25" i="6"/>
  <c r="V25" i="11" s="1"/>
  <c r="W25" i="6"/>
  <c r="W25" i="11" s="1"/>
  <c r="X25" i="6"/>
  <c r="X25" i="11" s="1"/>
  <c r="B26" i="6"/>
  <c r="B26" i="11" s="1"/>
  <c r="C26" i="6"/>
  <c r="C26" i="11" s="1"/>
  <c r="D26" i="6"/>
  <c r="D26" i="11" s="1"/>
  <c r="E26" i="6"/>
  <c r="E26" i="11" s="1"/>
  <c r="F26" i="6"/>
  <c r="F26" i="11" s="1"/>
  <c r="G26" i="6"/>
  <c r="G26" i="11" s="1"/>
  <c r="H26" i="6"/>
  <c r="H26" i="11" s="1"/>
  <c r="I26" i="6"/>
  <c r="I26" i="11" s="1"/>
  <c r="J26" i="6"/>
  <c r="J26" i="11" s="1"/>
  <c r="K26" i="6"/>
  <c r="K26" i="11" s="1"/>
  <c r="L26" i="6"/>
  <c r="L26" i="11" s="1"/>
  <c r="M26" i="6"/>
  <c r="M26" i="11" s="1"/>
  <c r="N26" i="6"/>
  <c r="N26" i="11" s="1"/>
  <c r="O26" i="6"/>
  <c r="O26" i="11" s="1"/>
  <c r="P26" i="6"/>
  <c r="P26" i="11" s="1"/>
  <c r="Q26" i="6"/>
  <c r="Q26" i="11" s="1"/>
  <c r="R26" i="6"/>
  <c r="R26" i="11" s="1"/>
  <c r="S26" i="6"/>
  <c r="S26" i="11" s="1"/>
  <c r="T26" i="6"/>
  <c r="T26" i="11" s="1"/>
  <c r="U26" i="6"/>
  <c r="U26" i="11" s="1"/>
  <c r="V26" i="6"/>
  <c r="V26" i="11" s="1"/>
  <c r="W26" i="6"/>
  <c r="W26" i="11" s="1"/>
  <c r="X26" i="6"/>
  <c r="X26" i="11" s="1"/>
  <c r="B27" i="6"/>
  <c r="B27" i="11" s="1"/>
  <c r="C27" i="6"/>
  <c r="C27" i="11" s="1"/>
  <c r="D27" i="6"/>
  <c r="D27" i="11" s="1"/>
  <c r="E27" i="6"/>
  <c r="E27" i="11" s="1"/>
  <c r="F27" i="6"/>
  <c r="F27" i="11" s="1"/>
  <c r="G27" i="6"/>
  <c r="G27" i="11" s="1"/>
  <c r="H27" i="6"/>
  <c r="H27" i="11" s="1"/>
  <c r="I27" i="6"/>
  <c r="I27" i="11" s="1"/>
  <c r="J27" i="6"/>
  <c r="J27" i="11" s="1"/>
  <c r="K27" i="6"/>
  <c r="K27" i="11" s="1"/>
  <c r="L27" i="6"/>
  <c r="L27" i="11" s="1"/>
  <c r="M27" i="6"/>
  <c r="M27" i="11" s="1"/>
  <c r="N27" i="6"/>
  <c r="N27" i="11" s="1"/>
  <c r="O27" i="6"/>
  <c r="O27" i="11" s="1"/>
  <c r="P27" i="6"/>
  <c r="P27" i="11" s="1"/>
  <c r="Q27" i="6"/>
  <c r="Q27" i="11" s="1"/>
  <c r="R27" i="6"/>
  <c r="R27" i="11" s="1"/>
  <c r="S27" i="6"/>
  <c r="S27" i="11" s="1"/>
  <c r="T27" i="6"/>
  <c r="T27" i="11" s="1"/>
  <c r="U27" i="6"/>
  <c r="U27" i="11" s="1"/>
  <c r="V27" i="6"/>
  <c r="V27" i="11" s="1"/>
  <c r="W27" i="6"/>
  <c r="W27" i="11" s="1"/>
  <c r="X27" i="6"/>
  <c r="X27" i="11" s="1"/>
  <c r="B28" i="6"/>
  <c r="B28" i="11" s="1"/>
  <c r="C28" i="6"/>
  <c r="C28" i="11" s="1"/>
  <c r="D28" i="6"/>
  <c r="D28" i="11" s="1"/>
  <c r="E28" i="6"/>
  <c r="E28" i="11" s="1"/>
  <c r="F28" i="6"/>
  <c r="F28" i="11" s="1"/>
  <c r="G28" i="6"/>
  <c r="G28" i="11" s="1"/>
  <c r="H28" i="6"/>
  <c r="H28" i="11" s="1"/>
  <c r="I28" i="6"/>
  <c r="I28" i="11" s="1"/>
  <c r="J28" i="6"/>
  <c r="J28" i="11" s="1"/>
  <c r="K28" i="6"/>
  <c r="K28" i="11" s="1"/>
  <c r="L28" i="6"/>
  <c r="L28" i="11" s="1"/>
  <c r="M28" i="6"/>
  <c r="M28" i="11" s="1"/>
  <c r="N28" i="6"/>
  <c r="N28" i="11" s="1"/>
  <c r="O28" i="6"/>
  <c r="O28" i="11" s="1"/>
  <c r="P28" i="6"/>
  <c r="P28" i="11" s="1"/>
  <c r="Q28" i="6"/>
  <c r="Q28" i="11" s="1"/>
  <c r="R28" i="6"/>
  <c r="R28" i="11" s="1"/>
  <c r="S28" i="6"/>
  <c r="S28" i="11" s="1"/>
  <c r="T28" i="6"/>
  <c r="T28" i="11" s="1"/>
  <c r="U28" i="6"/>
  <c r="U28" i="11" s="1"/>
  <c r="V28" i="6"/>
  <c r="V28" i="11" s="1"/>
  <c r="W28" i="6"/>
  <c r="W28" i="11" s="1"/>
  <c r="X28" i="6"/>
  <c r="X28" i="11" s="1"/>
  <c r="B29" i="6"/>
  <c r="B29" i="11" s="1"/>
  <c r="C29" i="6"/>
  <c r="C29" i="11" s="1"/>
  <c r="D29" i="6"/>
  <c r="D29" i="11" s="1"/>
  <c r="E29" i="6"/>
  <c r="E29" i="11" s="1"/>
  <c r="F29" i="6"/>
  <c r="F29" i="11" s="1"/>
  <c r="G29" i="6"/>
  <c r="G29" i="11" s="1"/>
  <c r="H29" i="6"/>
  <c r="H29" i="11" s="1"/>
  <c r="I29" i="6"/>
  <c r="I29" i="11" s="1"/>
  <c r="J29" i="6"/>
  <c r="J29" i="11" s="1"/>
  <c r="K29" i="6"/>
  <c r="K29" i="11" s="1"/>
  <c r="L29" i="6"/>
  <c r="L29" i="11" s="1"/>
  <c r="M29" i="6"/>
  <c r="M29" i="11" s="1"/>
  <c r="N29" i="6"/>
  <c r="N29" i="11" s="1"/>
  <c r="O29" i="6"/>
  <c r="O29" i="11" s="1"/>
  <c r="P29" i="6"/>
  <c r="P29" i="11" s="1"/>
  <c r="Q29" i="6"/>
  <c r="Q29" i="11" s="1"/>
  <c r="R29" i="6"/>
  <c r="R29" i="11" s="1"/>
  <c r="S29" i="6"/>
  <c r="S29" i="11" s="1"/>
  <c r="T29" i="6"/>
  <c r="T29" i="11" s="1"/>
  <c r="U29" i="6"/>
  <c r="U29" i="11" s="1"/>
  <c r="V29" i="6"/>
  <c r="V29" i="11" s="1"/>
  <c r="W29" i="6"/>
  <c r="W29" i="11" s="1"/>
  <c r="X29" i="6"/>
  <c r="X29" i="11" s="1"/>
  <c r="B30" i="6"/>
  <c r="B30" i="11" s="1"/>
  <c r="C30" i="6"/>
  <c r="C30" i="11" s="1"/>
  <c r="D30" i="6"/>
  <c r="D30" i="11" s="1"/>
  <c r="E30" i="6"/>
  <c r="E30" i="11" s="1"/>
  <c r="F30" i="6"/>
  <c r="F30" i="11" s="1"/>
  <c r="G30" i="6"/>
  <c r="G30" i="11" s="1"/>
  <c r="H30" i="6"/>
  <c r="H30" i="11" s="1"/>
  <c r="I30" i="6"/>
  <c r="I30" i="11" s="1"/>
  <c r="J30" i="6"/>
  <c r="J30" i="11" s="1"/>
  <c r="K30" i="6"/>
  <c r="K30" i="11" s="1"/>
  <c r="L30" i="6"/>
  <c r="L30" i="11" s="1"/>
  <c r="M30" i="6"/>
  <c r="M30" i="11" s="1"/>
  <c r="N30" i="6"/>
  <c r="N30" i="11" s="1"/>
  <c r="O30" i="6"/>
  <c r="O30" i="11" s="1"/>
  <c r="P30" i="6"/>
  <c r="P30" i="11" s="1"/>
  <c r="Q30" i="6"/>
  <c r="Q30" i="11" s="1"/>
  <c r="R30" i="6"/>
  <c r="R30" i="11" s="1"/>
  <c r="S30" i="6"/>
  <c r="S30" i="11" s="1"/>
  <c r="T30" i="6"/>
  <c r="T30" i="11" s="1"/>
  <c r="U30" i="6"/>
  <c r="U30" i="11" s="1"/>
  <c r="V30" i="6"/>
  <c r="V30" i="11" s="1"/>
  <c r="W30" i="6"/>
  <c r="W30" i="11" s="1"/>
  <c r="X30" i="6"/>
  <c r="X30" i="11" s="1"/>
  <c r="B31" i="6"/>
  <c r="B31" i="11" s="1"/>
  <c r="C31" i="6"/>
  <c r="C31" i="11" s="1"/>
  <c r="D31" i="6"/>
  <c r="D31" i="11" s="1"/>
  <c r="E31" i="6"/>
  <c r="E31" i="11" s="1"/>
  <c r="F31" i="6"/>
  <c r="F31" i="11" s="1"/>
  <c r="G31" i="6"/>
  <c r="G31" i="11" s="1"/>
  <c r="H31" i="6"/>
  <c r="H31" i="11" s="1"/>
  <c r="I31" i="6"/>
  <c r="I31" i="11" s="1"/>
  <c r="J31" i="6"/>
  <c r="J31" i="11" s="1"/>
  <c r="K31" i="6"/>
  <c r="K31" i="11" s="1"/>
  <c r="L31" i="6"/>
  <c r="L31" i="11" s="1"/>
  <c r="M31" i="6"/>
  <c r="M31" i="11" s="1"/>
  <c r="N31" i="6"/>
  <c r="N31" i="11" s="1"/>
  <c r="O31" i="6"/>
  <c r="O31" i="11" s="1"/>
  <c r="P31" i="6"/>
  <c r="P31" i="11" s="1"/>
  <c r="Q31" i="6"/>
  <c r="Q31" i="11" s="1"/>
  <c r="R31" i="6"/>
  <c r="R31" i="11" s="1"/>
  <c r="S31" i="6"/>
  <c r="S31" i="11" s="1"/>
  <c r="T31" i="6"/>
  <c r="T31" i="11" s="1"/>
  <c r="U31" i="6"/>
  <c r="U31" i="11" s="1"/>
  <c r="V31" i="6"/>
  <c r="V31" i="11" s="1"/>
  <c r="W31" i="6"/>
  <c r="W31" i="11" s="1"/>
  <c r="X31" i="6"/>
  <c r="X31" i="11" s="1"/>
  <c r="B32" i="6"/>
  <c r="B32" i="11" s="1"/>
  <c r="C32" i="6"/>
  <c r="C32" i="11" s="1"/>
  <c r="D32" i="6"/>
  <c r="D32" i="11" s="1"/>
  <c r="E32" i="6"/>
  <c r="E32" i="11" s="1"/>
  <c r="F32" i="6"/>
  <c r="F32" i="11" s="1"/>
  <c r="G32" i="6"/>
  <c r="G32" i="11" s="1"/>
  <c r="H32" i="6"/>
  <c r="H32" i="11" s="1"/>
  <c r="I32" i="6"/>
  <c r="I32" i="11" s="1"/>
  <c r="J32" i="6"/>
  <c r="J32" i="11" s="1"/>
  <c r="K32" i="6"/>
  <c r="K32" i="11" s="1"/>
  <c r="L32" i="6"/>
  <c r="L32" i="11" s="1"/>
  <c r="M32" i="6"/>
  <c r="M32" i="11" s="1"/>
  <c r="N32" i="6"/>
  <c r="N32" i="11" s="1"/>
  <c r="O32" i="6"/>
  <c r="O32" i="11" s="1"/>
  <c r="P32" i="6"/>
  <c r="P32" i="11" s="1"/>
  <c r="Q32" i="6"/>
  <c r="Q32" i="11" s="1"/>
  <c r="R32" i="6"/>
  <c r="R32" i="11" s="1"/>
  <c r="S32" i="6"/>
  <c r="S32" i="11" s="1"/>
  <c r="T32" i="6"/>
  <c r="T32" i="11" s="1"/>
  <c r="U32" i="6"/>
  <c r="U32" i="11" s="1"/>
  <c r="V32" i="6"/>
  <c r="V32" i="11" s="1"/>
  <c r="W32" i="6"/>
  <c r="W32" i="11" s="1"/>
  <c r="X32" i="6"/>
  <c r="X32" i="11" s="1"/>
  <c r="B33" i="6"/>
  <c r="B33" i="11" s="1"/>
  <c r="C33" i="6"/>
  <c r="C33" i="11" s="1"/>
  <c r="D33" i="6"/>
  <c r="D33" i="11" s="1"/>
  <c r="E33" i="6"/>
  <c r="E33" i="11" s="1"/>
  <c r="F33" i="6"/>
  <c r="F33" i="11" s="1"/>
  <c r="G33" i="6"/>
  <c r="G33" i="11" s="1"/>
  <c r="H33" i="6"/>
  <c r="H33" i="11" s="1"/>
  <c r="I33" i="6"/>
  <c r="I33" i="11" s="1"/>
  <c r="J33" i="6"/>
  <c r="J33" i="11" s="1"/>
  <c r="K33" i="6"/>
  <c r="K33" i="11" s="1"/>
  <c r="L33" i="6"/>
  <c r="L33" i="11" s="1"/>
  <c r="M33" i="6"/>
  <c r="M33" i="11" s="1"/>
  <c r="N33" i="6"/>
  <c r="N33" i="11" s="1"/>
  <c r="O33" i="6"/>
  <c r="O33" i="11" s="1"/>
  <c r="P33" i="6"/>
  <c r="P33" i="11" s="1"/>
  <c r="Q33" i="6"/>
  <c r="Q33" i="11" s="1"/>
  <c r="R33" i="6"/>
  <c r="R33" i="11" s="1"/>
  <c r="S33" i="6"/>
  <c r="S33" i="11" s="1"/>
  <c r="T33" i="6"/>
  <c r="T33" i="11" s="1"/>
  <c r="U33" i="6"/>
  <c r="U33" i="11" s="1"/>
  <c r="V33" i="6"/>
  <c r="V33" i="11" s="1"/>
  <c r="W33" i="6"/>
  <c r="W33" i="11" s="1"/>
  <c r="X33" i="6"/>
  <c r="X33" i="11" s="1"/>
  <c r="B34" i="6"/>
  <c r="B34" i="11" s="1"/>
  <c r="C34" i="6"/>
  <c r="C34" i="11" s="1"/>
  <c r="D34" i="6"/>
  <c r="D34" i="11" s="1"/>
  <c r="E34" i="6"/>
  <c r="E34" i="11" s="1"/>
  <c r="F34" i="6"/>
  <c r="F34" i="11" s="1"/>
  <c r="G34" i="6"/>
  <c r="G34" i="11" s="1"/>
  <c r="H34" i="6"/>
  <c r="H34" i="11" s="1"/>
  <c r="I34" i="6"/>
  <c r="I34" i="11" s="1"/>
  <c r="J34" i="6"/>
  <c r="J34" i="11" s="1"/>
  <c r="K34" i="6"/>
  <c r="K34" i="11" s="1"/>
  <c r="L34" i="6"/>
  <c r="L34" i="11" s="1"/>
  <c r="M34" i="6"/>
  <c r="M34" i="11" s="1"/>
  <c r="N34" i="6"/>
  <c r="N34" i="11" s="1"/>
  <c r="O34" i="6"/>
  <c r="O34" i="11" s="1"/>
  <c r="P34" i="6"/>
  <c r="P34" i="11" s="1"/>
  <c r="Q34" i="6"/>
  <c r="Q34" i="11" s="1"/>
  <c r="R34" i="6"/>
  <c r="R34" i="11" s="1"/>
  <c r="S34" i="6"/>
  <c r="S34" i="11" s="1"/>
  <c r="T34" i="6"/>
  <c r="T34" i="11" s="1"/>
  <c r="U34" i="6"/>
  <c r="U34" i="11" s="1"/>
  <c r="V34" i="6"/>
  <c r="V34" i="11" s="1"/>
  <c r="W34" i="6"/>
  <c r="W34" i="11" s="1"/>
  <c r="X34" i="6"/>
  <c r="X34" i="11" s="1"/>
  <c r="B35" i="6"/>
  <c r="B35" i="11" s="1"/>
  <c r="C35" i="6"/>
  <c r="C35" i="11" s="1"/>
  <c r="D35" i="6"/>
  <c r="D35" i="11" s="1"/>
  <c r="E35" i="6"/>
  <c r="E35" i="11" s="1"/>
  <c r="F35" i="6"/>
  <c r="F35" i="11" s="1"/>
  <c r="G35" i="6"/>
  <c r="G35" i="11" s="1"/>
  <c r="H35" i="6"/>
  <c r="H35" i="11" s="1"/>
  <c r="I35" i="6"/>
  <c r="I35" i="11" s="1"/>
  <c r="J35" i="6"/>
  <c r="J35" i="11" s="1"/>
  <c r="K35" i="6"/>
  <c r="K35" i="11" s="1"/>
  <c r="L35" i="6"/>
  <c r="L35" i="11" s="1"/>
  <c r="M35" i="6"/>
  <c r="M35" i="11" s="1"/>
  <c r="N35" i="6"/>
  <c r="N35" i="11" s="1"/>
  <c r="O35" i="6"/>
  <c r="O35" i="11" s="1"/>
  <c r="P35" i="6"/>
  <c r="P35" i="11" s="1"/>
  <c r="Q35" i="6"/>
  <c r="Q35" i="11" s="1"/>
  <c r="R35" i="6"/>
  <c r="R35" i="11" s="1"/>
  <c r="S35" i="6"/>
  <c r="S35" i="11" s="1"/>
  <c r="T35" i="6"/>
  <c r="T35" i="11" s="1"/>
  <c r="U35" i="6"/>
  <c r="U35" i="11" s="1"/>
  <c r="V35" i="6"/>
  <c r="V35" i="11" s="1"/>
  <c r="W35" i="6"/>
  <c r="W35" i="11" s="1"/>
  <c r="X35" i="6"/>
  <c r="X35" i="11" s="1"/>
  <c r="B36" i="6"/>
  <c r="B36" i="11" s="1"/>
  <c r="C36" i="6"/>
  <c r="C36" i="11" s="1"/>
  <c r="D36" i="6"/>
  <c r="D36" i="11" s="1"/>
  <c r="E36" i="6"/>
  <c r="E36" i="11" s="1"/>
  <c r="F36" i="6"/>
  <c r="F36" i="11" s="1"/>
  <c r="G36" i="6"/>
  <c r="G36" i="11" s="1"/>
  <c r="H36" i="6"/>
  <c r="H36" i="11" s="1"/>
  <c r="I36" i="6"/>
  <c r="I36" i="11" s="1"/>
  <c r="J36" i="6"/>
  <c r="J36" i="11" s="1"/>
  <c r="K36" i="6"/>
  <c r="K36" i="11" s="1"/>
  <c r="L36" i="6"/>
  <c r="L36" i="11" s="1"/>
  <c r="M36" i="6"/>
  <c r="M36" i="11" s="1"/>
  <c r="N36" i="6"/>
  <c r="N36" i="11" s="1"/>
  <c r="O36" i="6"/>
  <c r="O36" i="11" s="1"/>
  <c r="P36" i="6"/>
  <c r="P36" i="11" s="1"/>
  <c r="Q36" i="6"/>
  <c r="Q36" i="11" s="1"/>
  <c r="R36" i="6"/>
  <c r="R36" i="11" s="1"/>
  <c r="S36" i="6"/>
  <c r="S36" i="11" s="1"/>
  <c r="T36" i="6"/>
  <c r="T36" i="11" s="1"/>
  <c r="U36" i="6"/>
  <c r="U36" i="11" s="1"/>
  <c r="V36" i="6"/>
  <c r="V36" i="11" s="1"/>
  <c r="W36" i="6"/>
  <c r="W36" i="11" s="1"/>
  <c r="X36" i="6"/>
  <c r="X36" i="11" s="1"/>
  <c r="B37" i="6"/>
  <c r="B37" i="11" s="1"/>
  <c r="C37" i="6"/>
  <c r="C37" i="11" s="1"/>
  <c r="D37" i="6"/>
  <c r="D37" i="11" s="1"/>
  <c r="E37" i="6"/>
  <c r="E37" i="11" s="1"/>
  <c r="F37" i="6"/>
  <c r="F37" i="11" s="1"/>
  <c r="G37" i="6"/>
  <c r="G37" i="11" s="1"/>
  <c r="H37" i="6"/>
  <c r="H37" i="11" s="1"/>
  <c r="I37" i="6"/>
  <c r="I37" i="11" s="1"/>
  <c r="J37" i="6"/>
  <c r="J37" i="11" s="1"/>
  <c r="K37" i="6"/>
  <c r="K37" i="11" s="1"/>
  <c r="L37" i="6"/>
  <c r="L37" i="11" s="1"/>
  <c r="M37" i="6"/>
  <c r="M37" i="11" s="1"/>
  <c r="N37" i="6"/>
  <c r="N37" i="11" s="1"/>
  <c r="O37" i="6"/>
  <c r="O37" i="11" s="1"/>
  <c r="P37" i="6"/>
  <c r="P37" i="11" s="1"/>
  <c r="Q37" i="6"/>
  <c r="Q37" i="11" s="1"/>
  <c r="R37" i="6"/>
  <c r="R37" i="11" s="1"/>
  <c r="S37" i="6"/>
  <c r="S37" i="11" s="1"/>
  <c r="T37" i="6"/>
  <c r="T37" i="11" s="1"/>
  <c r="U37" i="6"/>
  <c r="U37" i="11" s="1"/>
  <c r="V37" i="6"/>
  <c r="V37" i="11" s="1"/>
  <c r="W37" i="6"/>
  <c r="W37" i="11" s="1"/>
  <c r="X37" i="6"/>
  <c r="X37" i="11" s="1"/>
  <c r="B38" i="6"/>
  <c r="B38" i="11" s="1"/>
  <c r="C38" i="6"/>
  <c r="C38" i="11" s="1"/>
  <c r="D38" i="6"/>
  <c r="D38" i="11" s="1"/>
  <c r="E38" i="6"/>
  <c r="E38" i="11" s="1"/>
  <c r="F38" i="6"/>
  <c r="F38" i="11" s="1"/>
  <c r="G38" i="6"/>
  <c r="G38" i="11" s="1"/>
  <c r="H38" i="6"/>
  <c r="H38" i="11" s="1"/>
  <c r="I38" i="6"/>
  <c r="I38" i="11" s="1"/>
  <c r="J38" i="6"/>
  <c r="J38" i="11" s="1"/>
  <c r="K38" i="6"/>
  <c r="K38" i="11" s="1"/>
  <c r="L38" i="6"/>
  <c r="L38" i="11" s="1"/>
  <c r="M38" i="6"/>
  <c r="M38" i="11" s="1"/>
  <c r="N38" i="6"/>
  <c r="N38" i="11" s="1"/>
  <c r="O38" i="6"/>
  <c r="O38" i="11" s="1"/>
  <c r="P38" i="6"/>
  <c r="P38" i="11" s="1"/>
  <c r="Q38" i="6"/>
  <c r="Q38" i="11" s="1"/>
  <c r="R38" i="6"/>
  <c r="R38" i="11" s="1"/>
  <c r="S38" i="6"/>
  <c r="S38" i="11" s="1"/>
  <c r="T38" i="6"/>
  <c r="T38" i="11" s="1"/>
  <c r="U38" i="6"/>
  <c r="U38" i="11" s="1"/>
  <c r="V38" i="6"/>
  <c r="V38" i="11" s="1"/>
  <c r="W38" i="6"/>
  <c r="W38" i="11" s="1"/>
  <c r="X38" i="6"/>
  <c r="X38" i="11" s="1"/>
  <c r="B39" i="6"/>
  <c r="B39" i="11" s="1"/>
  <c r="C39" i="6"/>
  <c r="C39" i="11" s="1"/>
  <c r="D39" i="6"/>
  <c r="D39" i="11" s="1"/>
  <c r="E39" i="6"/>
  <c r="E39" i="11" s="1"/>
  <c r="F39" i="6"/>
  <c r="F39" i="11" s="1"/>
  <c r="G39" i="6"/>
  <c r="G39" i="11" s="1"/>
  <c r="H39" i="6"/>
  <c r="H39" i="11" s="1"/>
  <c r="I39" i="6"/>
  <c r="I39" i="11" s="1"/>
  <c r="J39" i="6"/>
  <c r="J39" i="11" s="1"/>
  <c r="K39" i="6"/>
  <c r="K39" i="11" s="1"/>
  <c r="L39" i="6"/>
  <c r="L39" i="11" s="1"/>
  <c r="M39" i="6"/>
  <c r="M39" i="11" s="1"/>
  <c r="N39" i="6"/>
  <c r="N39" i="11" s="1"/>
  <c r="O39" i="6"/>
  <c r="O39" i="11" s="1"/>
  <c r="P39" i="6"/>
  <c r="P39" i="11" s="1"/>
  <c r="Q39" i="6"/>
  <c r="Q39" i="11" s="1"/>
  <c r="R39" i="6"/>
  <c r="R39" i="11" s="1"/>
  <c r="S39" i="6"/>
  <c r="S39" i="11" s="1"/>
  <c r="T39" i="6"/>
  <c r="T39" i="11" s="1"/>
  <c r="U39" i="6"/>
  <c r="U39" i="11" s="1"/>
  <c r="V39" i="6"/>
  <c r="V39" i="11" s="1"/>
  <c r="W39" i="6"/>
  <c r="W39" i="11" s="1"/>
  <c r="X39" i="6"/>
  <c r="X39" i="11" s="1"/>
  <c r="B40" i="6"/>
  <c r="B40" i="11" s="1"/>
  <c r="C40" i="6"/>
  <c r="C40" i="11" s="1"/>
  <c r="D40" i="6"/>
  <c r="D40" i="11" s="1"/>
  <c r="E40" i="6"/>
  <c r="E40" i="11" s="1"/>
  <c r="F40" i="6"/>
  <c r="F40" i="11" s="1"/>
  <c r="G40" i="6"/>
  <c r="G40" i="11" s="1"/>
  <c r="H40" i="6"/>
  <c r="H40" i="11" s="1"/>
  <c r="I40" i="6"/>
  <c r="I40" i="11" s="1"/>
  <c r="J40" i="6"/>
  <c r="J40" i="11" s="1"/>
  <c r="K40" i="6"/>
  <c r="K40" i="11" s="1"/>
  <c r="L40" i="6"/>
  <c r="L40" i="11" s="1"/>
  <c r="M40" i="6"/>
  <c r="M40" i="11" s="1"/>
  <c r="N40" i="6"/>
  <c r="N40" i="11" s="1"/>
  <c r="O40" i="6"/>
  <c r="O40" i="11" s="1"/>
  <c r="P40" i="6"/>
  <c r="P40" i="11" s="1"/>
  <c r="Q40" i="6"/>
  <c r="Q40" i="11" s="1"/>
  <c r="R40" i="6"/>
  <c r="R40" i="11" s="1"/>
  <c r="S40" i="6"/>
  <c r="S40" i="11" s="1"/>
  <c r="T40" i="6"/>
  <c r="T40" i="11" s="1"/>
  <c r="U40" i="6"/>
  <c r="U40" i="11" s="1"/>
  <c r="V40" i="6"/>
  <c r="V40" i="11" s="1"/>
  <c r="W40" i="6"/>
  <c r="W40" i="11" s="1"/>
  <c r="X40" i="6"/>
  <c r="X40" i="11" s="1"/>
  <c r="B41" i="6"/>
  <c r="B41" i="11" s="1"/>
  <c r="C41" i="6"/>
  <c r="C41" i="11" s="1"/>
  <c r="D41" i="6"/>
  <c r="D41" i="11" s="1"/>
  <c r="E41" i="6"/>
  <c r="E41" i="11" s="1"/>
  <c r="F41" i="6"/>
  <c r="F41" i="11" s="1"/>
  <c r="G41" i="6"/>
  <c r="G41" i="11" s="1"/>
  <c r="H41" i="6"/>
  <c r="H41" i="11" s="1"/>
  <c r="I41" i="6"/>
  <c r="I41" i="11" s="1"/>
  <c r="J41" i="6"/>
  <c r="J41" i="11" s="1"/>
  <c r="K41" i="6"/>
  <c r="K41" i="11" s="1"/>
  <c r="L41" i="6"/>
  <c r="L41" i="11" s="1"/>
  <c r="M41" i="6"/>
  <c r="M41" i="11" s="1"/>
  <c r="N41" i="6"/>
  <c r="N41" i="11" s="1"/>
  <c r="O41" i="6"/>
  <c r="O41" i="11" s="1"/>
  <c r="P41" i="6"/>
  <c r="P41" i="11" s="1"/>
  <c r="Q41" i="6"/>
  <c r="Q41" i="11" s="1"/>
  <c r="R41" i="6"/>
  <c r="R41" i="11" s="1"/>
  <c r="S41" i="6"/>
  <c r="S41" i="11" s="1"/>
  <c r="T41" i="6"/>
  <c r="T41" i="11" s="1"/>
  <c r="U41" i="6"/>
  <c r="U41" i="11" s="1"/>
  <c r="V41" i="6"/>
  <c r="V41" i="11" s="1"/>
  <c r="W41" i="6"/>
  <c r="W41" i="11" s="1"/>
  <c r="X41" i="6"/>
  <c r="X41" i="11" s="1"/>
  <c r="B42" i="6"/>
  <c r="B42" i="11" s="1"/>
  <c r="C42" i="6"/>
  <c r="C42" i="11" s="1"/>
  <c r="D42" i="6"/>
  <c r="D42" i="11" s="1"/>
  <c r="E42" i="6"/>
  <c r="E42" i="11" s="1"/>
  <c r="F42" i="6"/>
  <c r="F42" i="11" s="1"/>
  <c r="G42" i="6"/>
  <c r="G42" i="11" s="1"/>
  <c r="H42" i="6"/>
  <c r="H42" i="11" s="1"/>
  <c r="I42" i="6"/>
  <c r="I42" i="11" s="1"/>
  <c r="J42" i="6"/>
  <c r="J42" i="11" s="1"/>
  <c r="K42" i="6"/>
  <c r="K42" i="11" s="1"/>
  <c r="L42" i="6"/>
  <c r="L42" i="11" s="1"/>
  <c r="M42" i="6"/>
  <c r="M42" i="11" s="1"/>
  <c r="N42" i="6"/>
  <c r="N42" i="11" s="1"/>
  <c r="O42" i="6"/>
  <c r="O42" i="11" s="1"/>
  <c r="P42" i="6"/>
  <c r="P42" i="11" s="1"/>
  <c r="Q42" i="6"/>
  <c r="Q42" i="11" s="1"/>
  <c r="R42" i="6"/>
  <c r="R42" i="11" s="1"/>
  <c r="S42" i="6"/>
  <c r="S42" i="11" s="1"/>
  <c r="T42" i="6"/>
  <c r="T42" i="11" s="1"/>
  <c r="U42" i="6"/>
  <c r="U42" i="11" s="1"/>
  <c r="V42" i="6"/>
  <c r="V42" i="11" s="1"/>
  <c r="W42" i="6"/>
  <c r="W42" i="11" s="1"/>
  <c r="X42" i="6"/>
  <c r="X42" i="11" s="1"/>
  <c r="B43" i="6"/>
  <c r="B43" i="11" s="1"/>
  <c r="C43" i="6"/>
  <c r="C43" i="11" s="1"/>
  <c r="D43" i="6"/>
  <c r="D43" i="11" s="1"/>
  <c r="E43" i="6"/>
  <c r="E43" i="11" s="1"/>
  <c r="F43" i="6"/>
  <c r="F43" i="11" s="1"/>
  <c r="G43" i="6"/>
  <c r="G43" i="11" s="1"/>
  <c r="H43" i="6"/>
  <c r="H43" i="11" s="1"/>
  <c r="I43" i="6"/>
  <c r="I43" i="11" s="1"/>
  <c r="J43" i="6"/>
  <c r="J43" i="11" s="1"/>
  <c r="K43" i="6"/>
  <c r="K43" i="11" s="1"/>
  <c r="L43" i="6"/>
  <c r="L43" i="11" s="1"/>
  <c r="M43" i="6"/>
  <c r="M43" i="11" s="1"/>
  <c r="N43" i="6"/>
  <c r="N43" i="11" s="1"/>
  <c r="O43" i="6"/>
  <c r="O43" i="11" s="1"/>
  <c r="P43" i="6"/>
  <c r="P43" i="11" s="1"/>
  <c r="Q43" i="6"/>
  <c r="Q43" i="11" s="1"/>
  <c r="R43" i="6"/>
  <c r="R43" i="11" s="1"/>
  <c r="S43" i="6"/>
  <c r="S43" i="11" s="1"/>
  <c r="T43" i="6"/>
  <c r="T43" i="11" s="1"/>
  <c r="U43" i="6"/>
  <c r="U43" i="11" s="1"/>
  <c r="V43" i="6"/>
  <c r="V43" i="11" s="1"/>
  <c r="W43" i="6"/>
  <c r="W43" i="11" s="1"/>
  <c r="X43" i="6"/>
  <c r="X43" i="11" s="1"/>
  <c r="C2" i="6"/>
  <c r="C2" i="11" s="1"/>
  <c r="D2" i="6"/>
  <c r="D2" i="11" s="1"/>
  <c r="E2" i="6"/>
  <c r="E2" i="11" s="1"/>
  <c r="F2" i="6"/>
  <c r="F2" i="11" s="1"/>
  <c r="G2" i="6"/>
  <c r="G2" i="11" s="1"/>
  <c r="H2" i="6"/>
  <c r="H2" i="11" s="1"/>
  <c r="I2" i="6"/>
  <c r="I2" i="11" s="1"/>
  <c r="J2" i="6"/>
  <c r="J2" i="11" s="1"/>
  <c r="K2" i="6"/>
  <c r="K2" i="11" s="1"/>
  <c r="L2" i="6"/>
  <c r="L2" i="11" s="1"/>
  <c r="M2" i="6"/>
  <c r="M2" i="11" s="1"/>
  <c r="N2" i="6"/>
  <c r="N2" i="11" s="1"/>
  <c r="O2" i="6"/>
  <c r="O2" i="11" s="1"/>
  <c r="P2" i="6"/>
  <c r="P2" i="11" s="1"/>
  <c r="Q2" i="6"/>
  <c r="Q2" i="11" s="1"/>
  <c r="R2" i="6"/>
  <c r="R2" i="11" s="1"/>
  <c r="S2" i="6"/>
  <c r="S2" i="11" s="1"/>
  <c r="T2" i="6"/>
  <c r="T2" i="11" s="1"/>
  <c r="U2" i="6"/>
  <c r="U2" i="11" s="1"/>
  <c r="V2" i="6"/>
  <c r="V2" i="11" s="1"/>
  <c r="W2" i="6"/>
  <c r="W2" i="11" s="1"/>
  <c r="X2" i="6"/>
  <c r="X2" i="11" s="1"/>
  <c r="B2" i="6"/>
  <c r="B2" i="11" s="1"/>
  <c r="H3" i="11"/>
  <c r="I3" i="11"/>
  <c r="J3" i="11"/>
  <c r="W15" i="11"/>
</calcChain>
</file>

<file path=xl/sharedStrings.xml><?xml version="1.0" encoding="utf-8"?>
<sst xmlns="http://schemas.openxmlformats.org/spreadsheetml/2006/main" count="30" uniqueCount="22">
  <si>
    <t>TPS</t>
  </si>
  <si>
    <t>IAP</t>
  </si>
  <si>
    <t>A/F</t>
  </si>
  <si>
    <t>MAP</t>
  </si>
  <si>
    <t>Count</t>
  </si>
  <si>
    <t>CELL COUNTS</t>
  </si>
  <si>
    <t xml:space="preserve">Engine COM </t>
  </si>
  <si>
    <t>O2 COM</t>
  </si>
  <si>
    <t>IDLE/IAP TPS</t>
  </si>
  <si>
    <t>IAP/TPS TPS</t>
  </si>
  <si>
    <t>PORTS</t>
  </si>
  <si>
    <t>SETUP</t>
  </si>
  <si>
    <t>Frame Count</t>
  </si>
  <si>
    <t>Coolant Temp</t>
  </si>
  <si>
    <t>High Coolant</t>
  </si>
  <si>
    <t>SETPOINTS</t>
  </si>
  <si>
    <t>Engine Data</t>
  </si>
  <si>
    <t>Des Cell Count</t>
  </si>
  <si>
    <t>IDLE</t>
  </si>
  <si>
    <t>This is the TPS fuel map that was used to obtain the TPS data (Paste in your TPS fuel MAP).</t>
  </si>
  <si>
    <t>This is the IAP fuel map that was used to obtain the IAP data (Past in your IAP fuel MAP).</t>
  </si>
  <si>
    <t>INFO:
Import Log Data: Click and then select log file (.csv).  This imports a data log file that was created using "VooDoo Gen 1 Data Logger.  This is used to populate the TPS and IAP data sheets.
Import Tune Data: Click and then select tune file (.bin).  This imports a tune file that was created using ECU Editor.  This is used to populate the TPS and IAP Current sheets.  
The "Des TPS AFR" and "Des TPS AFR" sheets are user editable.  Using these sheets along with the "TPS Current", "IAP Current" and the "TPS data", IAP data" sheet, the Auto Correct sheets are populated by multiplying the ratio of the current to desired AFRs to the current fuel number in the TPS and IAP Current sheets.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</si>
</sst>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4" x14ac:knownFonts="1">
    <font>
      <sz val="10"/>
      <color rgb="FF000000"/>
      <name val="Arial"/>
      <scheme val="minor"/>
    </font>
    <font>
      <b/>
      <sz val="10"/>
      <color theme="1"/>
      <name val="Arial"/>
      <scheme val="minor"/>
    </font>
    <font>
      <sz val="10"/>
      <color theme="1"/>
      <name val="Arial"/>
      <scheme val="minor"/>
    </font>
    <font>
      <b/>
      <sz val="10"/>
      <color theme="0"/>
      <name val="Arial"/>
      <family val="2"/>
      <scheme val="minor"/>
    </font>
    <font>
      <b/>
      <sz val="10"/>
      <color rgb="FFFF0000"/>
      <name val="Arial"/>
      <family val="2"/>
      <scheme val="minor"/>
    </font>
    <font>
      <sz val="11"/>
      <color rgb="FF3F3F76"/>
      <name val="Arial"/>
      <family val="2"/>
      <scheme val="minor"/>
    </font>
    <font>
      <b/>
      <sz val="12"/>
      <color rgb="FFFF0000"/>
      <name val="Arial"/>
      <family val="2"/>
      <scheme val="minor"/>
    </font>
    <font>
      <b/>
      <sz val="10"/>
      <color rgb="FF000000"/>
      <name val="Arial"/>
      <family val="2"/>
      <scheme val="minor"/>
    </font>
    <font>
      <sz val="8"/>
      <color rgb="FF000000"/>
      <name val="Arial"/>
      <family val="2"/>
      <scheme val="minor"/>
    </font>
    <font>
      <b/>
      <sz val="11"/>
      <color rgb="FF3F3F76"/>
      <name val="Arial"/>
      <family val="2"/>
      <scheme val="minor"/>
    </font>
    <font>
      <sz val="11"/>
      <color rgb="FF9C5700"/>
      <name val="Arial"/>
      <family val="2"/>
      <scheme val="minor"/>
    </font>
    <font>
      <b/>
      <sz val="11"/>
      <color rgb="FF9C5700"/>
      <name val="Arial"/>
      <family val="2"/>
      <scheme val="minor"/>
    </font>
    <font>
      <b/>
      <sz val="8"/>
      <color theme="0"/>
      <name val="Arial"/>
      <family val="2"/>
      <scheme val="minor"/>
    </font>
    <font>
      <b/>
      <sz val="9"/>
      <color rgb="FF000000"/>
      <name val="Arial"/>
      <family val="2"/>
      <scheme val="minor"/>
    </font>
  </fonts>
  <fills count="5">
    <fill>
      <patternFill patternType="none"/>
    </fill>
    <fill>
      <patternFill patternType="gray125"/>
    </fill>
    <fill>
      <patternFill patternType="solid">
        <fgColor theme="1"/>
        <bgColor indexed="64"/>
      </patternFill>
    </fill>
    <fill>
      <patternFill patternType="solid">
        <fgColor rgb="FFFFCC99"/>
      </patternFill>
    </fill>
    <fill>
      <patternFill patternType="solid">
        <fgColor rgb="FFFFEB9C"/>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medium">
        <color indexed="64"/>
      </bottom>
      <diagonal/>
    </border>
  </borders>
  <cellStyleXfs count="3">
    <xf numFmtId="0" fontId="0" fillId="0" borderId="0"/>
    <xf numFmtId="0" fontId="5" fillId="3" borderId="21" applyNumberFormat="0" applyAlignment="0" applyProtection="0"/>
    <xf numFmtId="0" fontId="10" fillId="4" borderId="0" applyNumberFormat="0" applyBorder="0" applyAlignment="0" applyProtection="0"/>
  </cellStyleXfs>
  <cellXfs count="78">
    <xf numFmtId="0" fontId="0" fillId="0" borderId="0" xfId="0" applyFont="1" applyAlignment="1"/>
    <xf numFmtId="0" fontId="1" fillId="0" borderId="0" xfId="0" applyFont="1" applyAlignment="1">
      <alignment horizontal="center"/>
    </xf>
    <xf numFmtId="0" fontId="0" fillId="0" borderId="0" xfId="0" applyFont="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3" fillId="2" borderId="4" xfId="0" applyFont="1" applyFill="1" applyBorder="1" applyAlignment="1">
      <alignment horizontal="center"/>
    </xf>
    <xf numFmtId="0" fontId="3" fillId="2" borderId="5" xfId="0" applyFont="1" applyFill="1" applyBorder="1" applyAlignment="1">
      <alignment horizontal="center"/>
    </xf>
    <xf numFmtId="0" fontId="3" fillId="2" borderId="7" xfId="0" applyFont="1" applyFill="1" applyBorder="1" applyAlignment="1">
      <alignment horizontal="center"/>
    </xf>
    <xf numFmtId="0" fontId="2" fillId="0" borderId="1" xfId="0" applyFont="1" applyBorder="1" applyAlignment="1">
      <alignment horizontal="center"/>
    </xf>
    <xf numFmtId="0" fontId="2" fillId="0" borderId="6" xfId="0" applyFont="1" applyBorder="1" applyAlignment="1">
      <alignment horizontal="center"/>
    </xf>
    <xf numFmtId="0" fontId="2" fillId="0" borderId="8" xfId="0" applyFont="1" applyBorder="1" applyAlignment="1">
      <alignment horizontal="center"/>
    </xf>
    <xf numFmtId="0" fontId="2" fillId="0" borderId="9" xfId="0" applyFont="1" applyBorder="1" applyAlignment="1">
      <alignment horizontal="center"/>
    </xf>
    <xf numFmtId="0" fontId="4" fillId="2" borderId="2" xfId="0" applyFont="1" applyFill="1" applyBorder="1" applyAlignment="1">
      <alignment horizontal="center"/>
    </xf>
    <xf numFmtId="0" fontId="4" fillId="2" borderId="3" xfId="0" applyFont="1" applyFill="1" applyBorder="1" applyAlignment="1">
      <alignment horizontal="center"/>
    </xf>
    <xf numFmtId="0" fontId="4" fillId="2" borderId="4" xfId="0" applyFont="1" applyFill="1" applyBorder="1" applyAlignment="1">
      <alignment horizontal="center"/>
    </xf>
    <xf numFmtId="0" fontId="4" fillId="2" borderId="5" xfId="0" applyFont="1" applyFill="1" applyBorder="1" applyAlignment="1">
      <alignment horizontal="center"/>
    </xf>
    <xf numFmtId="0" fontId="4" fillId="2" borderId="7" xfId="0" applyFont="1" applyFill="1" applyBorder="1" applyAlignment="1">
      <alignment horizontal="center"/>
    </xf>
    <xf numFmtId="0" fontId="0" fillId="0" borderId="1" xfId="0" applyFont="1" applyBorder="1" applyAlignment="1">
      <alignment horizontal="center"/>
    </xf>
    <xf numFmtId="0" fontId="0" fillId="0" borderId="6" xfId="0" applyFont="1" applyBorder="1" applyAlignment="1">
      <alignment horizontal="center"/>
    </xf>
    <xf numFmtId="0" fontId="0" fillId="0" borderId="8" xfId="0" applyFont="1" applyBorder="1" applyAlignment="1">
      <alignment horizontal="center"/>
    </xf>
    <xf numFmtId="0" fontId="0" fillId="0" borderId="9" xfId="0" applyFont="1" applyBorder="1" applyAlignment="1">
      <alignment horizontal="center"/>
    </xf>
    <xf numFmtId="2" fontId="2" fillId="0" borderId="1" xfId="0" applyNumberFormat="1" applyFont="1" applyBorder="1" applyAlignment="1">
      <alignment horizontal="center"/>
    </xf>
    <xf numFmtId="0" fontId="1" fillId="0" borderId="0" xfId="0" applyFont="1" applyBorder="1" applyAlignment="1">
      <alignment vertical="top" wrapText="1"/>
    </xf>
    <xf numFmtId="164" fontId="0" fillId="0" borderId="1" xfId="0" applyNumberFormat="1" applyFont="1" applyBorder="1" applyAlignment="1"/>
    <xf numFmtId="164" fontId="0" fillId="0" borderId="6" xfId="0" applyNumberFormat="1" applyFont="1" applyBorder="1" applyAlignment="1"/>
    <xf numFmtId="164" fontId="0" fillId="0" borderId="8" xfId="0" applyNumberFormat="1" applyFont="1" applyBorder="1" applyAlignment="1"/>
    <xf numFmtId="164" fontId="0" fillId="0" borderId="9" xfId="0" applyNumberFormat="1" applyFont="1" applyBorder="1" applyAlignment="1"/>
    <xf numFmtId="164" fontId="2" fillId="0" borderId="1" xfId="0" applyNumberFormat="1" applyFont="1" applyBorder="1" applyAlignment="1">
      <alignment horizontal="center"/>
    </xf>
    <xf numFmtId="0" fontId="0" fillId="2" borderId="0" xfId="0" applyFont="1" applyFill="1" applyAlignment="1"/>
    <xf numFmtId="1" fontId="8" fillId="0" borderId="1" xfId="0" applyNumberFormat="1" applyFont="1" applyBorder="1" applyAlignment="1"/>
    <xf numFmtId="1" fontId="8" fillId="0" borderId="6" xfId="0" applyNumberFormat="1" applyFont="1" applyBorder="1" applyAlignment="1"/>
    <xf numFmtId="1" fontId="8" fillId="0" borderId="8" xfId="0" applyNumberFormat="1" applyFont="1" applyBorder="1" applyAlignment="1"/>
    <xf numFmtId="1" fontId="8" fillId="0" borderId="9" xfId="0" applyNumberFormat="1" applyFont="1" applyBorder="1" applyAlignment="1"/>
    <xf numFmtId="0" fontId="6" fillId="2" borderId="0" xfId="0" applyFont="1" applyFill="1" applyAlignment="1">
      <alignment horizontal="center" vertical="center"/>
    </xf>
    <xf numFmtId="0" fontId="12" fillId="2" borderId="18" xfId="0" applyFont="1" applyFill="1" applyBorder="1" applyAlignment="1">
      <alignment horizontal="center"/>
    </xf>
    <xf numFmtId="0" fontId="12" fillId="2" borderId="19" xfId="0" applyFont="1" applyFill="1" applyBorder="1" applyAlignment="1">
      <alignment horizontal="center"/>
    </xf>
    <xf numFmtId="0" fontId="12" fillId="2" borderId="20" xfId="0" applyFont="1" applyFill="1" applyBorder="1" applyAlignment="1">
      <alignment horizontal="center"/>
    </xf>
    <xf numFmtId="0" fontId="8" fillId="2" borderId="0" xfId="0" applyFont="1" applyFill="1" applyAlignment="1"/>
    <xf numFmtId="0" fontId="12" fillId="2" borderId="5" xfId="0" applyFont="1" applyFill="1" applyBorder="1" applyAlignment="1">
      <alignment horizontal="center"/>
    </xf>
    <xf numFmtId="0" fontId="12" fillId="2" borderId="7" xfId="0" applyFont="1" applyFill="1" applyBorder="1" applyAlignment="1">
      <alignment horizontal="center"/>
    </xf>
    <xf numFmtId="0" fontId="8" fillId="0" borderId="0" xfId="0" applyFont="1" applyAlignment="1"/>
    <xf numFmtId="0" fontId="7" fillId="0" borderId="25" xfId="0" applyFont="1" applyBorder="1" applyAlignment="1">
      <alignment horizontal="center" vertical="center"/>
    </xf>
    <xf numFmtId="0" fontId="7" fillId="0" borderId="26" xfId="0" applyFont="1" applyBorder="1" applyAlignment="1">
      <alignment horizontal="center" vertical="center"/>
    </xf>
    <xf numFmtId="0" fontId="9" fillId="3" borderId="25" xfId="1" applyFont="1" applyBorder="1" applyAlignment="1">
      <alignment horizontal="center" vertical="center"/>
    </xf>
    <xf numFmtId="0" fontId="9" fillId="3" borderId="26" xfId="1" applyFont="1" applyBorder="1" applyAlignment="1">
      <alignment horizontal="center" vertical="center"/>
    </xf>
    <xf numFmtId="1" fontId="9" fillId="3" borderId="25" xfId="1" applyNumberFormat="1" applyFont="1" applyBorder="1" applyAlignment="1">
      <alignment horizontal="center" vertical="center"/>
    </xf>
    <xf numFmtId="1" fontId="9" fillId="3" borderId="26" xfId="1" applyNumberFormat="1" applyFont="1" applyBorder="1" applyAlignment="1">
      <alignment horizontal="center" vertical="center"/>
    </xf>
    <xf numFmtId="0" fontId="6" fillId="2" borderId="22" xfId="0" applyFont="1" applyFill="1" applyBorder="1" applyAlignment="1">
      <alignment horizontal="center"/>
    </xf>
    <xf numFmtId="0" fontId="6" fillId="2" borderId="23" xfId="0" applyFont="1" applyFill="1" applyBorder="1" applyAlignment="1">
      <alignment horizontal="center"/>
    </xf>
    <xf numFmtId="0" fontId="6" fillId="2" borderId="24" xfId="0" applyFont="1" applyFill="1" applyBorder="1" applyAlignment="1">
      <alignment horizontal="center"/>
    </xf>
    <xf numFmtId="0" fontId="13" fillId="0" borderId="25" xfId="0" applyFont="1" applyBorder="1" applyAlignment="1">
      <alignment horizontal="center" vertical="center" wrapText="1"/>
    </xf>
    <xf numFmtId="0" fontId="13" fillId="0" borderId="26" xfId="0" applyFont="1" applyBorder="1" applyAlignment="1">
      <alignment horizontal="center" vertical="center" wrapText="1"/>
    </xf>
    <xf numFmtId="1" fontId="9" fillId="3" borderId="27" xfId="1" applyNumberFormat="1" applyFont="1" applyBorder="1" applyAlignment="1">
      <alignment horizontal="center" vertical="center"/>
    </xf>
    <xf numFmtId="1" fontId="9" fillId="3" borderId="28" xfId="1" applyNumberFormat="1" applyFont="1" applyBorder="1" applyAlignment="1">
      <alignment horizontal="center" vertical="center"/>
    </xf>
    <xf numFmtId="0" fontId="7" fillId="0" borderId="13" xfId="0" applyFont="1" applyBorder="1" applyAlignment="1">
      <alignment horizontal="center" vertical="center"/>
    </xf>
    <xf numFmtId="0" fontId="7" fillId="0" borderId="15" xfId="0" applyFont="1" applyBorder="1" applyAlignment="1">
      <alignment horizontal="center" vertical="center"/>
    </xf>
    <xf numFmtId="0" fontId="7" fillId="0" borderId="17" xfId="0" applyFont="1" applyBorder="1" applyAlignment="1">
      <alignment horizontal="center" vertical="center"/>
    </xf>
    <xf numFmtId="0" fontId="7" fillId="0" borderId="12" xfId="0" applyFont="1" applyBorder="1" applyAlignment="1">
      <alignment horizontal="center" vertical="center"/>
    </xf>
    <xf numFmtId="0" fontId="11" fillId="4" borderId="25" xfId="2" applyFont="1" applyBorder="1" applyAlignment="1">
      <alignment horizontal="center" vertical="center"/>
    </xf>
    <xf numFmtId="0" fontId="11" fillId="4" borderId="26" xfId="2" applyFont="1" applyBorder="1" applyAlignment="1">
      <alignment horizontal="center" vertical="center"/>
    </xf>
    <xf numFmtId="0" fontId="0" fillId="0" borderId="13" xfId="0" applyFont="1" applyBorder="1" applyAlignment="1">
      <alignment horizontal="left" vertical="top" wrapText="1"/>
    </xf>
    <xf numFmtId="0" fontId="0" fillId="0" borderId="14" xfId="0" applyFont="1" applyBorder="1" applyAlignment="1">
      <alignment horizontal="left" vertical="top" wrapText="1"/>
    </xf>
    <xf numFmtId="0" fontId="0" fillId="0" borderId="15" xfId="0" applyFont="1" applyBorder="1" applyAlignment="1">
      <alignment horizontal="left" vertical="top" wrapText="1"/>
    </xf>
    <xf numFmtId="0" fontId="0" fillId="0" borderId="16" xfId="0" applyFont="1" applyBorder="1" applyAlignment="1">
      <alignment horizontal="left" vertical="top" wrapText="1"/>
    </xf>
    <xf numFmtId="0" fontId="0" fillId="0" borderId="0" xfId="0" applyFont="1" applyBorder="1" applyAlignment="1">
      <alignment horizontal="left" vertical="top" wrapText="1"/>
    </xf>
    <xf numFmtId="0" fontId="0" fillId="0" borderId="10" xfId="0" applyFont="1" applyBorder="1" applyAlignment="1">
      <alignment horizontal="left" vertical="top" wrapText="1"/>
    </xf>
    <xf numFmtId="0" fontId="0" fillId="0" borderId="17" xfId="0" applyFont="1" applyBorder="1" applyAlignment="1">
      <alignment horizontal="left" vertical="top" wrapText="1"/>
    </xf>
    <xf numFmtId="0" fontId="0" fillId="0" borderId="11" xfId="0" applyFont="1" applyBorder="1" applyAlignment="1">
      <alignment horizontal="left" vertical="top" wrapText="1"/>
    </xf>
    <xf numFmtId="0" fontId="0" fillId="0" borderId="12" xfId="0" applyFont="1" applyBorder="1" applyAlignment="1">
      <alignment horizontal="left" vertical="top" wrapText="1"/>
    </xf>
    <xf numFmtId="0" fontId="1" fillId="0" borderId="13" xfId="0" applyFont="1" applyBorder="1" applyAlignment="1">
      <alignment horizontal="left" vertical="top" wrapText="1"/>
    </xf>
    <xf numFmtId="0" fontId="1" fillId="0" borderId="14" xfId="0" applyFont="1" applyBorder="1" applyAlignment="1">
      <alignment horizontal="left" vertical="top" wrapText="1"/>
    </xf>
    <xf numFmtId="0" fontId="1" fillId="0" borderId="15" xfId="0" applyFont="1" applyBorder="1" applyAlignment="1">
      <alignment horizontal="left" vertical="top" wrapText="1"/>
    </xf>
    <xf numFmtId="0" fontId="1" fillId="0" borderId="16" xfId="0" applyFont="1" applyBorder="1" applyAlignment="1">
      <alignment horizontal="left" vertical="top" wrapText="1"/>
    </xf>
    <xf numFmtId="0" fontId="1" fillId="0" borderId="0" xfId="0" applyFont="1" applyBorder="1" applyAlignment="1">
      <alignment horizontal="left" vertical="top" wrapText="1"/>
    </xf>
    <xf numFmtId="0" fontId="1" fillId="0" borderId="10" xfId="0" applyFont="1" applyBorder="1" applyAlignment="1">
      <alignment horizontal="left" vertical="top" wrapText="1"/>
    </xf>
    <xf numFmtId="0" fontId="1" fillId="0" borderId="17"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cellXfs>
  <cellStyles count="3">
    <cellStyle name="Input" xfId="1" builtinId="20"/>
    <cellStyle name="Neutral" xfId="2" builtinId="28"/>
    <cellStyle name="Normal" xfId="0" builtinId="0"/>
  </cellStyles>
  <dxfs count="5">
    <dxf>
      <font>
        <color rgb="FF00B050"/>
      </font>
      <numFmt numFmtId="1" formatCode="0"/>
      <fill>
        <patternFill>
          <bgColor rgb="FF00B050"/>
        </patternFill>
      </fill>
    </dxf>
    <dxf>
      <font>
        <color auto="1"/>
      </font>
      <numFmt numFmtId="1" formatCode="0"/>
      <fill>
        <patternFill>
          <bgColor rgb="FFFF0000"/>
        </patternFill>
      </fill>
    </dxf>
    <dxf>
      <font>
        <color auto="1"/>
      </font>
      <numFmt numFmtId="1" formatCode="0"/>
      <fill>
        <patternFill>
          <bgColor rgb="FF00B050"/>
        </patternFill>
      </fill>
    </dxf>
    <dxf>
      <font>
        <color rgb="FF9C0006"/>
      </font>
      <fill>
        <patternFill>
          <bgColor rgb="FFFFC7CE"/>
        </patternFill>
      </fill>
    </dxf>
    <dxf>
      <font>
        <color rgb="FF006100"/>
      </font>
      <fill>
        <patternFill>
          <bgColor rgb="FFC6EFCE"/>
        </patternFill>
      </fill>
    </dxf>
  </dxfs>
  <tableStyles count="1" defaultTableStyle="TableStyleMedium2" defaultPivotStyle="PivotStyleLight16">
    <tableStyle name="Invisible" pivot="0" table="0" count="0" xr9:uid="{D6F19474-D61A-4934-9557-D9D530C62AD6}"/>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TPS Fuel Map</a:t>
            </a:r>
          </a:p>
        </c:rich>
      </c:tx>
      <c:overlay val="0"/>
      <c:spPr>
        <a:noFill/>
        <a:ln>
          <a:noFill/>
        </a:ln>
        <a:effectLst/>
      </c:spPr>
    </c:title>
    <c:autoTitleDeleted val="0"/>
    <c:view3D>
      <c:rotX val="15"/>
      <c:rotY val="3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'TPS Current'!$B$1</c:f>
              <c:strCache>
                <c:ptCount val="1"/>
                <c:pt idx="0">
                  <c:v>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Current'!$B$2:$B$43</c:f>
              <c:numCache>
                <c:formatCode>General</c:formatCode>
                <c:ptCount val="42"/>
                <c:pt idx="0">
                  <c:v>46</c:v>
                </c:pt>
                <c:pt idx="1">
                  <c:v>46</c:v>
                </c:pt>
                <c:pt idx="2">
                  <c:v>42</c:v>
                </c:pt>
                <c:pt idx="3">
                  <c:v>41</c:v>
                </c:pt>
                <c:pt idx="4">
                  <c:v>41</c:v>
                </c:pt>
                <c:pt idx="5">
                  <c:v>40</c:v>
                </c:pt>
                <c:pt idx="6">
                  <c:v>36</c:v>
                </c:pt>
                <c:pt idx="7">
                  <c:v>34</c:v>
                </c:pt>
                <c:pt idx="8">
                  <c:v>32</c:v>
                </c:pt>
                <c:pt idx="9">
                  <c:v>32</c:v>
                </c:pt>
                <c:pt idx="10">
                  <c:v>32</c:v>
                </c:pt>
                <c:pt idx="11">
                  <c:v>30</c:v>
                </c:pt>
                <c:pt idx="12">
                  <c:v>30</c:v>
                </c:pt>
                <c:pt idx="13">
                  <c:v>30</c:v>
                </c:pt>
                <c:pt idx="14">
                  <c:v>30</c:v>
                </c:pt>
                <c:pt idx="15">
                  <c:v>30</c:v>
                </c:pt>
                <c:pt idx="16">
                  <c:v>30</c:v>
                </c:pt>
                <c:pt idx="17">
                  <c:v>30</c:v>
                </c:pt>
                <c:pt idx="18">
                  <c:v>30</c:v>
                </c:pt>
                <c:pt idx="19">
                  <c:v>30</c:v>
                </c:pt>
                <c:pt idx="20">
                  <c:v>28</c:v>
                </c:pt>
                <c:pt idx="21">
                  <c:v>28</c:v>
                </c:pt>
                <c:pt idx="22">
                  <c:v>28</c:v>
                </c:pt>
                <c:pt idx="23">
                  <c:v>28</c:v>
                </c:pt>
                <c:pt idx="24">
                  <c:v>28</c:v>
                </c:pt>
                <c:pt idx="25">
                  <c:v>28</c:v>
                </c:pt>
                <c:pt idx="26">
                  <c:v>27</c:v>
                </c:pt>
                <c:pt idx="27">
                  <c:v>26</c:v>
                </c:pt>
                <c:pt idx="28">
                  <c:v>26</c:v>
                </c:pt>
                <c:pt idx="29">
                  <c:v>24</c:v>
                </c:pt>
                <c:pt idx="30">
                  <c:v>23</c:v>
                </c:pt>
                <c:pt idx="31">
                  <c:v>23</c:v>
                </c:pt>
                <c:pt idx="32">
                  <c:v>20</c:v>
                </c:pt>
                <c:pt idx="33">
                  <c:v>20</c:v>
                </c:pt>
                <c:pt idx="34">
                  <c:v>20</c:v>
                </c:pt>
                <c:pt idx="35">
                  <c:v>19</c:v>
                </c:pt>
                <c:pt idx="36">
                  <c:v>19</c:v>
                </c:pt>
                <c:pt idx="37">
                  <c:v>19</c:v>
                </c:pt>
                <c:pt idx="38">
                  <c:v>19</c:v>
                </c:pt>
                <c:pt idx="39">
                  <c:v>19</c:v>
                </c:pt>
                <c:pt idx="40">
                  <c:v>19</c:v>
                </c:pt>
                <c:pt idx="41">
                  <c:v>19</c:v>
                </c:pt>
              </c:numCache>
            </c:numRef>
          </c:val>
          <c:extLst>
            <c:ext xmlns:c16="http://schemas.microsoft.com/office/drawing/2014/chart" uri="{C3380CC4-5D6E-409C-BE32-E72D297353CC}">
              <c16:uniqueId val="{00000000-9183-46C4-802A-136FB38CB52D}"/>
            </c:ext>
          </c:extLst>
        </c:ser>
        <c:ser>
          <c:idx val="1"/>
          <c:order val="1"/>
          <c:tx>
            <c:strRef>
              <c:f>'TPS Current'!$C$1</c:f>
              <c:strCache>
                <c:ptCount val="1"/>
                <c:pt idx="0">
                  <c:v>0.6</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Current'!$C$2:$C$43</c:f>
              <c:numCache>
                <c:formatCode>General</c:formatCode>
                <c:ptCount val="42"/>
                <c:pt idx="0">
                  <c:v>47</c:v>
                </c:pt>
                <c:pt idx="1">
                  <c:v>47</c:v>
                </c:pt>
                <c:pt idx="2">
                  <c:v>41</c:v>
                </c:pt>
                <c:pt idx="3">
                  <c:v>39</c:v>
                </c:pt>
                <c:pt idx="4">
                  <c:v>39</c:v>
                </c:pt>
                <c:pt idx="5">
                  <c:v>37</c:v>
                </c:pt>
                <c:pt idx="6">
                  <c:v>36</c:v>
                </c:pt>
                <c:pt idx="7">
                  <c:v>34</c:v>
                </c:pt>
                <c:pt idx="8">
                  <c:v>32</c:v>
                </c:pt>
                <c:pt idx="9">
                  <c:v>32</c:v>
                </c:pt>
                <c:pt idx="10">
                  <c:v>32</c:v>
                </c:pt>
                <c:pt idx="11">
                  <c:v>30</c:v>
                </c:pt>
                <c:pt idx="12">
                  <c:v>30</c:v>
                </c:pt>
                <c:pt idx="13">
                  <c:v>30</c:v>
                </c:pt>
                <c:pt idx="14">
                  <c:v>30</c:v>
                </c:pt>
                <c:pt idx="15">
                  <c:v>30</c:v>
                </c:pt>
                <c:pt idx="16">
                  <c:v>30</c:v>
                </c:pt>
                <c:pt idx="17">
                  <c:v>30</c:v>
                </c:pt>
                <c:pt idx="18">
                  <c:v>30</c:v>
                </c:pt>
                <c:pt idx="19">
                  <c:v>30</c:v>
                </c:pt>
                <c:pt idx="20">
                  <c:v>28</c:v>
                </c:pt>
                <c:pt idx="21">
                  <c:v>28</c:v>
                </c:pt>
                <c:pt idx="22">
                  <c:v>28</c:v>
                </c:pt>
                <c:pt idx="23">
                  <c:v>28</c:v>
                </c:pt>
                <c:pt idx="24">
                  <c:v>28</c:v>
                </c:pt>
                <c:pt idx="25">
                  <c:v>28</c:v>
                </c:pt>
                <c:pt idx="26">
                  <c:v>27</c:v>
                </c:pt>
                <c:pt idx="27">
                  <c:v>26</c:v>
                </c:pt>
                <c:pt idx="28">
                  <c:v>26</c:v>
                </c:pt>
                <c:pt idx="29">
                  <c:v>24</c:v>
                </c:pt>
                <c:pt idx="30">
                  <c:v>23</c:v>
                </c:pt>
                <c:pt idx="31">
                  <c:v>23</c:v>
                </c:pt>
                <c:pt idx="32">
                  <c:v>20</c:v>
                </c:pt>
                <c:pt idx="33">
                  <c:v>20</c:v>
                </c:pt>
                <c:pt idx="34">
                  <c:v>20</c:v>
                </c:pt>
                <c:pt idx="35">
                  <c:v>19</c:v>
                </c:pt>
                <c:pt idx="36">
                  <c:v>19</c:v>
                </c:pt>
                <c:pt idx="37">
                  <c:v>19</c:v>
                </c:pt>
                <c:pt idx="38">
                  <c:v>19</c:v>
                </c:pt>
                <c:pt idx="39">
                  <c:v>19</c:v>
                </c:pt>
                <c:pt idx="40">
                  <c:v>19</c:v>
                </c:pt>
                <c:pt idx="41">
                  <c:v>19</c:v>
                </c:pt>
              </c:numCache>
            </c:numRef>
          </c:val>
          <c:extLst>
            <c:ext xmlns:c16="http://schemas.microsoft.com/office/drawing/2014/chart" uri="{C3380CC4-5D6E-409C-BE32-E72D297353CC}">
              <c16:uniqueId val="{00000001-9183-46C4-802A-136FB38CB52D}"/>
            </c:ext>
          </c:extLst>
        </c:ser>
        <c:ser>
          <c:idx val="2"/>
          <c:order val="2"/>
          <c:tx>
            <c:strRef>
              <c:f>'TPS Current'!$D$1</c:f>
              <c:strCache>
                <c:ptCount val="1"/>
                <c:pt idx="0">
                  <c:v>1.2</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Current'!$D$2:$D$43</c:f>
              <c:numCache>
                <c:formatCode>General</c:formatCode>
                <c:ptCount val="42"/>
                <c:pt idx="0">
                  <c:v>71</c:v>
                </c:pt>
                <c:pt idx="1">
                  <c:v>71</c:v>
                </c:pt>
                <c:pt idx="2">
                  <c:v>64</c:v>
                </c:pt>
                <c:pt idx="3">
                  <c:v>51</c:v>
                </c:pt>
                <c:pt idx="4">
                  <c:v>49</c:v>
                </c:pt>
                <c:pt idx="5">
                  <c:v>44</c:v>
                </c:pt>
                <c:pt idx="6">
                  <c:v>41</c:v>
                </c:pt>
                <c:pt idx="7">
                  <c:v>41</c:v>
                </c:pt>
                <c:pt idx="8">
                  <c:v>40</c:v>
                </c:pt>
                <c:pt idx="9">
                  <c:v>37</c:v>
                </c:pt>
                <c:pt idx="10">
                  <c:v>32</c:v>
                </c:pt>
                <c:pt idx="11">
                  <c:v>30</c:v>
                </c:pt>
                <c:pt idx="12">
                  <c:v>30</c:v>
                </c:pt>
                <c:pt idx="13">
                  <c:v>30</c:v>
                </c:pt>
                <c:pt idx="14">
                  <c:v>30</c:v>
                </c:pt>
                <c:pt idx="15">
                  <c:v>30</c:v>
                </c:pt>
                <c:pt idx="16">
                  <c:v>30</c:v>
                </c:pt>
                <c:pt idx="17">
                  <c:v>30</c:v>
                </c:pt>
                <c:pt idx="18">
                  <c:v>30</c:v>
                </c:pt>
                <c:pt idx="19">
                  <c:v>30</c:v>
                </c:pt>
                <c:pt idx="20">
                  <c:v>28</c:v>
                </c:pt>
                <c:pt idx="21">
                  <c:v>28</c:v>
                </c:pt>
                <c:pt idx="22">
                  <c:v>28</c:v>
                </c:pt>
                <c:pt idx="23">
                  <c:v>28</c:v>
                </c:pt>
                <c:pt idx="24">
                  <c:v>28</c:v>
                </c:pt>
                <c:pt idx="25">
                  <c:v>28</c:v>
                </c:pt>
                <c:pt idx="26">
                  <c:v>27</c:v>
                </c:pt>
                <c:pt idx="27">
                  <c:v>26</c:v>
                </c:pt>
                <c:pt idx="28">
                  <c:v>26</c:v>
                </c:pt>
                <c:pt idx="29">
                  <c:v>24</c:v>
                </c:pt>
                <c:pt idx="30">
                  <c:v>23</c:v>
                </c:pt>
                <c:pt idx="31">
                  <c:v>23</c:v>
                </c:pt>
                <c:pt idx="32">
                  <c:v>20</c:v>
                </c:pt>
                <c:pt idx="33">
                  <c:v>20</c:v>
                </c:pt>
                <c:pt idx="34">
                  <c:v>20</c:v>
                </c:pt>
                <c:pt idx="35">
                  <c:v>19</c:v>
                </c:pt>
                <c:pt idx="36">
                  <c:v>19</c:v>
                </c:pt>
                <c:pt idx="37">
                  <c:v>19</c:v>
                </c:pt>
                <c:pt idx="38">
                  <c:v>19</c:v>
                </c:pt>
                <c:pt idx="39">
                  <c:v>19</c:v>
                </c:pt>
                <c:pt idx="40">
                  <c:v>19</c:v>
                </c:pt>
                <c:pt idx="41">
                  <c:v>19</c:v>
                </c:pt>
              </c:numCache>
            </c:numRef>
          </c:val>
          <c:extLst>
            <c:ext xmlns:c16="http://schemas.microsoft.com/office/drawing/2014/chart" uri="{C3380CC4-5D6E-409C-BE32-E72D297353CC}">
              <c16:uniqueId val="{00000002-9183-46C4-802A-136FB38CB52D}"/>
            </c:ext>
          </c:extLst>
        </c:ser>
        <c:ser>
          <c:idx val="3"/>
          <c:order val="3"/>
          <c:tx>
            <c:strRef>
              <c:f>'TPS Current'!$E$1</c:f>
              <c:strCache>
                <c:ptCount val="1"/>
                <c:pt idx="0">
                  <c:v>1.9</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Current'!$E$2:$E$43</c:f>
              <c:numCache>
                <c:formatCode>General</c:formatCode>
                <c:ptCount val="42"/>
                <c:pt idx="0">
                  <c:v>82</c:v>
                </c:pt>
                <c:pt idx="1">
                  <c:v>82</c:v>
                </c:pt>
                <c:pt idx="2">
                  <c:v>78</c:v>
                </c:pt>
                <c:pt idx="3">
                  <c:v>72</c:v>
                </c:pt>
                <c:pt idx="4">
                  <c:v>63</c:v>
                </c:pt>
                <c:pt idx="5">
                  <c:v>59</c:v>
                </c:pt>
                <c:pt idx="6">
                  <c:v>52</c:v>
                </c:pt>
                <c:pt idx="7">
                  <c:v>47</c:v>
                </c:pt>
                <c:pt idx="8">
                  <c:v>45</c:v>
                </c:pt>
                <c:pt idx="9">
                  <c:v>42</c:v>
                </c:pt>
                <c:pt idx="10">
                  <c:v>40</c:v>
                </c:pt>
                <c:pt idx="11">
                  <c:v>38</c:v>
                </c:pt>
                <c:pt idx="12">
                  <c:v>36</c:v>
                </c:pt>
                <c:pt idx="13">
                  <c:v>34</c:v>
                </c:pt>
                <c:pt idx="14">
                  <c:v>32</c:v>
                </c:pt>
                <c:pt idx="15">
                  <c:v>32</c:v>
                </c:pt>
                <c:pt idx="16">
                  <c:v>32</c:v>
                </c:pt>
                <c:pt idx="17">
                  <c:v>32</c:v>
                </c:pt>
                <c:pt idx="18">
                  <c:v>32</c:v>
                </c:pt>
                <c:pt idx="19">
                  <c:v>30</c:v>
                </c:pt>
                <c:pt idx="20">
                  <c:v>28</c:v>
                </c:pt>
                <c:pt idx="21">
                  <c:v>32</c:v>
                </c:pt>
                <c:pt idx="22">
                  <c:v>32</c:v>
                </c:pt>
                <c:pt idx="23">
                  <c:v>32</c:v>
                </c:pt>
                <c:pt idx="24">
                  <c:v>30</c:v>
                </c:pt>
                <c:pt idx="25">
                  <c:v>28</c:v>
                </c:pt>
                <c:pt idx="26">
                  <c:v>27</c:v>
                </c:pt>
                <c:pt idx="27">
                  <c:v>26</c:v>
                </c:pt>
                <c:pt idx="28">
                  <c:v>26</c:v>
                </c:pt>
                <c:pt idx="29">
                  <c:v>24</c:v>
                </c:pt>
                <c:pt idx="30">
                  <c:v>24</c:v>
                </c:pt>
                <c:pt idx="31">
                  <c:v>24</c:v>
                </c:pt>
                <c:pt idx="32">
                  <c:v>23</c:v>
                </c:pt>
                <c:pt idx="33">
                  <c:v>22</c:v>
                </c:pt>
                <c:pt idx="34">
                  <c:v>22</c:v>
                </c:pt>
                <c:pt idx="35">
                  <c:v>22</c:v>
                </c:pt>
                <c:pt idx="36">
                  <c:v>22</c:v>
                </c:pt>
                <c:pt idx="37">
                  <c:v>22</c:v>
                </c:pt>
                <c:pt idx="38">
                  <c:v>22</c:v>
                </c:pt>
                <c:pt idx="39">
                  <c:v>22</c:v>
                </c:pt>
                <c:pt idx="40">
                  <c:v>22</c:v>
                </c:pt>
                <c:pt idx="41">
                  <c:v>22</c:v>
                </c:pt>
              </c:numCache>
            </c:numRef>
          </c:val>
          <c:extLst>
            <c:ext xmlns:c16="http://schemas.microsoft.com/office/drawing/2014/chart" uri="{C3380CC4-5D6E-409C-BE32-E72D297353CC}">
              <c16:uniqueId val="{00000003-9183-46C4-802A-136FB38CB52D}"/>
            </c:ext>
          </c:extLst>
        </c:ser>
        <c:ser>
          <c:idx val="4"/>
          <c:order val="4"/>
          <c:tx>
            <c:strRef>
              <c:f>'TPS Current'!$F$1</c:f>
              <c:strCache>
                <c:ptCount val="1"/>
                <c:pt idx="0">
                  <c:v>2.5</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Current'!$F$2:$F$43</c:f>
              <c:numCache>
                <c:formatCode>General</c:formatCode>
                <c:ptCount val="42"/>
                <c:pt idx="0">
                  <c:v>92</c:v>
                </c:pt>
                <c:pt idx="1">
                  <c:v>92</c:v>
                </c:pt>
                <c:pt idx="2">
                  <c:v>84</c:v>
                </c:pt>
                <c:pt idx="3">
                  <c:v>79</c:v>
                </c:pt>
                <c:pt idx="4">
                  <c:v>71</c:v>
                </c:pt>
                <c:pt idx="5">
                  <c:v>68</c:v>
                </c:pt>
                <c:pt idx="6">
                  <c:v>64</c:v>
                </c:pt>
                <c:pt idx="7">
                  <c:v>61</c:v>
                </c:pt>
                <c:pt idx="8">
                  <c:v>58</c:v>
                </c:pt>
                <c:pt idx="9">
                  <c:v>54</c:v>
                </c:pt>
                <c:pt idx="10">
                  <c:v>51</c:v>
                </c:pt>
                <c:pt idx="11">
                  <c:v>47</c:v>
                </c:pt>
                <c:pt idx="12">
                  <c:v>43</c:v>
                </c:pt>
                <c:pt idx="13">
                  <c:v>41</c:v>
                </c:pt>
                <c:pt idx="14">
                  <c:v>39</c:v>
                </c:pt>
                <c:pt idx="15">
                  <c:v>38</c:v>
                </c:pt>
                <c:pt idx="16">
                  <c:v>38</c:v>
                </c:pt>
                <c:pt idx="17">
                  <c:v>37</c:v>
                </c:pt>
                <c:pt idx="18">
                  <c:v>35</c:v>
                </c:pt>
                <c:pt idx="19">
                  <c:v>34</c:v>
                </c:pt>
                <c:pt idx="20">
                  <c:v>32</c:v>
                </c:pt>
                <c:pt idx="21">
                  <c:v>32</c:v>
                </c:pt>
                <c:pt idx="22">
                  <c:v>32</c:v>
                </c:pt>
                <c:pt idx="23">
                  <c:v>32</c:v>
                </c:pt>
                <c:pt idx="24">
                  <c:v>30</c:v>
                </c:pt>
                <c:pt idx="25">
                  <c:v>28</c:v>
                </c:pt>
                <c:pt idx="26">
                  <c:v>27</c:v>
                </c:pt>
                <c:pt idx="27">
                  <c:v>26</c:v>
                </c:pt>
                <c:pt idx="28">
                  <c:v>26</c:v>
                </c:pt>
                <c:pt idx="29">
                  <c:v>24</c:v>
                </c:pt>
                <c:pt idx="30">
                  <c:v>24</c:v>
                </c:pt>
                <c:pt idx="31">
                  <c:v>24</c:v>
                </c:pt>
                <c:pt idx="32">
                  <c:v>24</c:v>
                </c:pt>
                <c:pt idx="33">
                  <c:v>24</c:v>
                </c:pt>
                <c:pt idx="34">
                  <c:v>24</c:v>
                </c:pt>
                <c:pt idx="35">
                  <c:v>24</c:v>
                </c:pt>
                <c:pt idx="36">
                  <c:v>24</c:v>
                </c:pt>
                <c:pt idx="37">
                  <c:v>24</c:v>
                </c:pt>
                <c:pt idx="38">
                  <c:v>24</c:v>
                </c:pt>
                <c:pt idx="39">
                  <c:v>24</c:v>
                </c:pt>
                <c:pt idx="40">
                  <c:v>24</c:v>
                </c:pt>
                <c:pt idx="41">
                  <c:v>24</c:v>
                </c:pt>
              </c:numCache>
            </c:numRef>
          </c:val>
          <c:extLst>
            <c:ext xmlns:c16="http://schemas.microsoft.com/office/drawing/2014/chart" uri="{C3380CC4-5D6E-409C-BE32-E72D297353CC}">
              <c16:uniqueId val="{00000004-9183-46C4-802A-136FB38CB52D}"/>
            </c:ext>
          </c:extLst>
        </c:ser>
        <c:ser>
          <c:idx val="5"/>
          <c:order val="5"/>
          <c:tx>
            <c:strRef>
              <c:f>'TPS Current'!$G$1</c:f>
              <c:strCache>
                <c:ptCount val="1"/>
                <c:pt idx="0">
                  <c:v>3.1</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Current'!$G$2:$G$43</c:f>
              <c:numCache>
                <c:formatCode>General</c:formatCode>
                <c:ptCount val="42"/>
                <c:pt idx="0">
                  <c:v>96</c:v>
                </c:pt>
                <c:pt idx="1">
                  <c:v>96</c:v>
                </c:pt>
                <c:pt idx="2">
                  <c:v>90</c:v>
                </c:pt>
                <c:pt idx="3">
                  <c:v>84</c:v>
                </c:pt>
                <c:pt idx="4">
                  <c:v>80</c:v>
                </c:pt>
                <c:pt idx="5">
                  <c:v>76</c:v>
                </c:pt>
                <c:pt idx="6">
                  <c:v>74</c:v>
                </c:pt>
                <c:pt idx="7">
                  <c:v>69</c:v>
                </c:pt>
                <c:pt idx="8">
                  <c:v>65</c:v>
                </c:pt>
                <c:pt idx="9">
                  <c:v>60</c:v>
                </c:pt>
                <c:pt idx="10">
                  <c:v>55</c:v>
                </c:pt>
                <c:pt idx="11">
                  <c:v>52</c:v>
                </c:pt>
                <c:pt idx="12">
                  <c:v>50</c:v>
                </c:pt>
                <c:pt idx="13">
                  <c:v>47</c:v>
                </c:pt>
                <c:pt idx="14">
                  <c:v>46</c:v>
                </c:pt>
                <c:pt idx="15">
                  <c:v>46</c:v>
                </c:pt>
                <c:pt idx="16">
                  <c:v>46</c:v>
                </c:pt>
                <c:pt idx="17">
                  <c:v>45</c:v>
                </c:pt>
                <c:pt idx="18">
                  <c:v>42</c:v>
                </c:pt>
                <c:pt idx="19">
                  <c:v>41</c:v>
                </c:pt>
                <c:pt idx="20">
                  <c:v>38</c:v>
                </c:pt>
                <c:pt idx="21">
                  <c:v>36</c:v>
                </c:pt>
                <c:pt idx="22">
                  <c:v>34</c:v>
                </c:pt>
                <c:pt idx="23">
                  <c:v>32</c:v>
                </c:pt>
                <c:pt idx="24">
                  <c:v>29</c:v>
                </c:pt>
                <c:pt idx="25">
                  <c:v>32</c:v>
                </c:pt>
                <c:pt idx="26">
                  <c:v>32</c:v>
                </c:pt>
                <c:pt idx="27">
                  <c:v>30</c:v>
                </c:pt>
                <c:pt idx="28">
                  <c:v>28</c:v>
                </c:pt>
                <c:pt idx="29">
                  <c:v>28</c:v>
                </c:pt>
                <c:pt idx="30">
                  <c:v>28</c:v>
                </c:pt>
                <c:pt idx="31">
                  <c:v>28</c:v>
                </c:pt>
                <c:pt idx="32">
                  <c:v>28</c:v>
                </c:pt>
                <c:pt idx="33">
                  <c:v>28</c:v>
                </c:pt>
                <c:pt idx="34">
                  <c:v>27</c:v>
                </c:pt>
                <c:pt idx="35">
                  <c:v>27</c:v>
                </c:pt>
                <c:pt idx="36">
                  <c:v>27</c:v>
                </c:pt>
                <c:pt idx="37">
                  <c:v>27</c:v>
                </c:pt>
                <c:pt idx="38">
                  <c:v>27</c:v>
                </c:pt>
                <c:pt idx="39">
                  <c:v>27</c:v>
                </c:pt>
                <c:pt idx="40">
                  <c:v>27</c:v>
                </c:pt>
                <c:pt idx="41">
                  <c:v>27</c:v>
                </c:pt>
              </c:numCache>
            </c:numRef>
          </c:val>
          <c:extLst>
            <c:ext xmlns:c16="http://schemas.microsoft.com/office/drawing/2014/chart" uri="{C3380CC4-5D6E-409C-BE32-E72D297353CC}">
              <c16:uniqueId val="{00000005-9183-46C4-802A-136FB38CB52D}"/>
            </c:ext>
          </c:extLst>
        </c:ser>
        <c:ser>
          <c:idx val="6"/>
          <c:order val="6"/>
          <c:tx>
            <c:strRef>
              <c:f>'TPS Current'!$H$1</c:f>
              <c:strCache>
                <c:ptCount val="1"/>
                <c:pt idx="0">
                  <c:v>3.7</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Current'!$H$2:$H$43</c:f>
              <c:numCache>
                <c:formatCode>General</c:formatCode>
                <c:ptCount val="42"/>
                <c:pt idx="0">
                  <c:v>104</c:v>
                </c:pt>
                <c:pt idx="1">
                  <c:v>104</c:v>
                </c:pt>
                <c:pt idx="2">
                  <c:v>94</c:v>
                </c:pt>
                <c:pt idx="3">
                  <c:v>87</c:v>
                </c:pt>
                <c:pt idx="4">
                  <c:v>84</c:v>
                </c:pt>
                <c:pt idx="5">
                  <c:v>82</c:v>
                </c:pt>
                <c:pt idx="6">
                  <c:v>81</c:v>
                </c:pt>
                <c:pt idx="7">
                  <c:v>75</c:v>
                </c:pt>
                <c:pt idx="8">
                  <c:v>70</c:v>
                </c:pt>
                <c:pt idx="9">
                  <c:v>66</c:v>
                </c:pt>
                <c:pt idx="10">
                  <c:v>63</c:v>
                </c:pt>
                <c:pt idx="11">
                  <c:v>61</c:v>
                </c:pt>
                <c:pt idx="12">
                  <c:v>60</c:v>
                </c:pt>
                <c:pt idx="13">
                  <c:v>58</c:v>
                </c:pt>
                <c:pt idx="14">
                  <c:v>54</c:v>
                </c:pt>
                <c:pt idx="15">
                  <c:v>54</c:v>
                </c:pt>
                <c:pt idx="16">
                  <c:v>54</c:v>
                </c:pt>
                <c:pt idx="17">
                  <c:v>52</c:v>
                </c:pt>
                <c:pt idx="18">
                  <c:v>52</c:v>
                </c:pt>
                <c:pt idx="19">
                  <c:v>49</c:v>
                </c:pt>
                <c:pt idx="20">
                  <c:v>47</c:v>
                </c:pt>
                <c:pt idx="21">
                  <c:v>43</c:v>
                </c:pt>
                <c:pt idx="22">
                  <c:v>39</c:v>
                </c:pt>
                <c:pt idx="23">
                  <c:v>37</c:v>
                </c:pt>
                <c:pt idx="24">
                  <c:v>35</c:v>
                </c:pt>
                <c:pt idx="25">
                  <c:v>34</c:v>
                </c:pt>
                <c:pt idx="26">
                  <c:v>32</c:v>
                </c:pt>
                <c:pt idx="27">
                  <c:v>32</c:v>
                </c:pt>
                <c:pt idx="28">
                  <c:v>30</c:v>
                </c:pt>
                <c:pt idx="29">
                  <c:v>30</c:v>
                </c:pt>
                <c:pt idx="30">
                  <c:v>30</c:v>
                </c:pt>
                <c:pt idx="31">
                  <c:v>30</c:v>
                </c:pt>
                <c:pt idx="32">
                  <c:v>30</c:v>
                </c:pt>
                <c:pt idx="33">
                  <c:v>30</c:v>
                </c:pt>
                <c:pt idx="34">
                  <c:v>28</c:v>
                </c:pt>
                <c:pt idx="35">
                  <c:v>28</c:v>
                </c:pt>
                <c:pt idx="36">
                  <c:v>27</c:v>
                </c:pt>
                <c:pt idx="37">
                  <c:v>27</c:v>
                </c:pt>
                <c:pt idx="38">
                  <c:v>27</c:v>
                </c:pt>
                <c:pt idx="39">
                  <c:v>27</c:v>
                </c:pt>
                <c:pt idx="40">
                  <c:v>27</c:v>
                </c:pt>
                <c:pt idx="41">
                  <c:v>27</c:v>
                </c:pt>
              </c:numCache>
            </c:numRef>
          </c:val>
          <c:extLst>
            <c:ext xmlns:c16="http://schemas.microsoft.com/office/drawing/2014/chart" uri="{C3380CC4-5D6E-409C-BE32-E72D297353CC}">
              <c16:uniqueId val="{00000006-9183-46C4-802A-136FB38CB52D}"/>
            </c:ext>
          </c:extLst>
        </c:ser>
        <c:ser>
          <c:idx val="7"/>
          <c:order val="7"/>
          <c:tx>
            <c:strRef>
              <c:f>'TPS Current'!$I$1</c:f>
              <c:strCache>
                <c:ptCount val="1"/>
                <c:pt idx="0">
                  <c:v>4.4</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Current'!$I$2:$I$43</c:f>
              <c:numCache>
                <c:formatCode>General</c:formatCode>
                <c:ptCount val="42"/>
                <c:pt idx="0">
                  <c:v>107</c:v>
                </c:pt>
                <c:pt idx="1">
                  <c:v>107</c:v>
                </c:pt>
                <c:pt idx="2">
                  <c:v>97</c:v>
                </c:pt>
                <c:pt idx="3">
                  <c:v>91</c:v>
                </c:pt>
                <c:pt idx="4">
                  <c:v>86</c:v>
                </c:pt>
                <c:pt idx="5">
                  <c:v>85</c:v>
                </c:pt>
                <c:pt idx="6">
                  <c:v>84</c:v>
                </c:pt>
                <c:pt idx="7">
                  <c:v>79</c:v>
                </c:pt>
                <c:pt idx="8">
                  <c:v>72</c:v>
                </c:pt>
                <c:pt idx="9">
                  <c:v>70</c:v>
                </c:pt>
                <c:pt idx="10">
                  <c:v>68</c:v>
                </c:pt>
                <c:pt idx="11">
                  <c:v>66</c:v>
                </c:pt>
                <c:pt idx="12">
                  <c:v>64</c:v>
                </c:pt>
                <c:pt idx="13">
                  <c:v>63</c:v>
                </c:pt>
                <c:pt idx="14">
                  <c:v>61</c:v>
                </c:pt>
                <c:pt idx="15">
                  <c:v>60</c:v>
                </c:pt>
                <c:pt idx="16">
                  <c:v>59</c:v>
                </c:pt>
                <c:pt idx="17">
                  <c:v>58</c:v>
                </c:pt>
                <c:pt idx="18">
                  <c:v>59</c:v>
                </c:pt>
                <c:pt idx="19">
                  <c:v>57</c:v>
                </c:pt>
                <c:pt idx="20">
                  <c:v>51</c:v>
                </c:pt>
                <c:pt idx="21">
                  <c:v>48</c:v>
                </c:pt>
                <c:pt idx="22">
                  <c:v>44</c:v>
                </c:pt>
                <c:pt idx="23">
                  <c:v>42</c:v>
                </c:pt>
                <c:pt idx="24">
                  <c:v>40</c:v>
                </c:pt>
                <c:pt idx="25">
                  <c:v>37</c:v>
                </c:pt>
                <c:pt idx="26">
                  <c:v>34</c:v>
                </c:pt>
                <c:pt idx="27">
                  <c:v>32</c:v>
                </c:pt>
                <c:pt idx="28">
                  <c:v>30</c:v>
                </c:pt>
                <c:pt idx="29">
                  <c:v>30</c:v>
                </c:pt>
                <c:pt idx="30">
                  <c:v>30</c:v>
                </c:pt>
                <c:pt idx="31">
                  <c:v>30</c:v>
                </c:pt>
                <c:pt idx="32">
                  <c:v>30</c:v>
                </c:pt>
                <c:pt idx="33">
                  <c:v>30</c:v>
                </c:pt>
                <c:pt idx="34">
                  <c:v>28</c:v>
                </c:pt>
                <c:pt idx="35">
                  <c:v>28</c:v>
                </c:pt>
                <c:pt idx="36">
                  <c:v>28</c:v>
                </c:pt>
                <c:pt idx="37">
                  <c:v>28</c:v>
                </c:pt>
                <c:pt idx="38">
                  <c:v>28</c:v>
                </c:pt>
                <c:pt idx="39">
                  <c:v>28</c:v>
                </c:pt>
                <c:pt idx="40">
                  <c:v>28</c:v>
                </c:pt>
                <c:pt idx="41">
                  <c:v>28</c:v>
                </c:pt>
              </c:numCache>
            </c:numRef>
          </c:val>
          <c:extLst>
            <c:ext xmlns:c16="http://schemas.microsoft.com/office/drawing/2014/chart" uri="{C3380CC4-5D6E-409C-BE32-E72D297353CC}">
              <c16:uniqueId val="{00000007-9183-46C4-802A-136FB38CB52D}"/>
            </c:ext>
          </c:extLst>
        </c:ser>
        <c:ser>
          <c:idx val="8"/>
          <c:order val="8"/>
          <c:tx>
            <c:strRef>
              <c:f>'TPS Current'!$J$1</c:f>
              <c:strCache>
                <c:ptCount val="1"/>
                <c:pt idx="0">
                  <c:v>5.6</c:v>
                </c:pt>
              </c:strCache>
            </c:strRef>
          </c:tx>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Current'!$J$2:$J$43</c:f>
              <c:numCache>
                <c:formatCode>General</c:formatCode>
                <c:ptCount val="42"/>
                <c:pt idx="0">
                  <c:v>117</c:v>
                </c:pt>
                <c:pt idx="1">
                  <c:v>117</c:v>
                </c:pt>
                <c:pt idx="2">
                  <c:v>107</c:v>
                </c:pt>
                <c:pt idx="3">
                  <c:v>98</c:v>
                </c:pt>
                <c:pt idx="4">
                  <c:v>92</c:v>
                </c:pt>
                <c:pt idx="5">
                  <c:v>91</c:v>
                </c:pt>
                <c:pt idx="6">
                  <c:v>91</c:v>
                </c:pt>
                <c:pt idx="7">
                  <c:v>87</c:v>
                </c:pt>
                <c:pt idx="8">
                  <c:v>82</c:v>
                </c:pt>
                <c:pt idx="9">
                  <c:v>78</c:v>
                </c:pt>
                <c:pt idx="10">
                  <c:v>75</c:v>
                </c:pt>
                <c:pt idx="11">
                  <c:v>74</c:v>
                </c:pt>
                <c:pt idx="12">
                  <c:v>74</c:v>
                </c:pt>
                <c:pt idx="13">
                  <c:v>72</c:v>
                </c:pt>
                <c:pt idx="14">
                  <c:v>71</c:v>
                </c:pt>
                <c:pt idx="15">
                  <c:v>71</c:v>
                </c:pt>
                <c:pt idx="16">
                  <c:v>74</c:v>
                </c:pt>
                <c:pt idx="17">
                  <c:v>72</c:v>
                </c:pt>
                <c:pt idx="18">
                  <c:v>72</c:v>
                </c:pt>
                <c:pt idx="19">
                  <c:v>68</c:v>
                </c:pt>
                <c:pt idx="20">
                  <c:v>63</c:v>
                </c:pt>
                <c:pt idx="21">
                  <c:v>59</c:v>
                </c:pt>
                <c:pt idx="22">
                  <c:v>57</c:v>
                </c:pt>
                <c:pt idx="23">
                  <c:v>51</c:v>
                </c:pt>
                <c:pt idx="24">
                  <c:v>48</c:v>
                </c:pt>
                <c:pt idx="25">
                  <c:v>41</c:v>
                </c:pt>
                <c:pt idx="26">
                  <c:v>37</c:v>
                </c:pt>
                <c:pt idx="27">
                  <c:v>34</c:v>
                </c:pt>
                <c:pt idx="28">
                  <c:v>34</c:v>
                </c:pt>
                <c:pt idx="29">
                  <c:v>32</c:v>
                </c:pt>
                <c:pt idx="30">
                  <c:v>32</c:v>
                </c:pt>
                <c:pt idx="31">
                  <c:v>32</c:v>
                </c:pt>
                <c:pt idx="32">
                  <c:v>32</c:v>
                </c:pt>
                <c:pt idx="33">
                  <c:v>30</c:v>
                </c:pt>
                <c:pt idx="34">
                  <c:v>30</c:v>
                </c:pt>
                <c:pt idx="35">
                  <c:v>30</c:v>
                </c:pt>
                <c:pt idx="36">
                  <c:v>28</c:v>
                </c:pt>
                <c:pt idx="37">
                  <c:v>28</c:v>
                </c:pt>
                <c:pt idx="38">
                  <c:v>28</c:v>
                </c:pt>
                <c:pt idx="39">
                  <c:v>28</c:v>
                </c:pt>
                <c:pt idx="40">
                  <c:v>28</c:v>
                </c:pt>
                <c:pt idx="41">
                  <c:v>28</c:v>
                </c:pt>
              </c:numCache>
            </c:numRef>
          </c:val>
          <c:extLst>
            <c:ext xmlns:c16="http://schemas.microsoft.com/office/drawing/2014/chart" uri="{C3380CC4-5D6E-409C-BE32-E72D297353CC}">
              <c16:uniqueId val="{00000008-9183-46C4-802A-136FB38CB52D}"/>
            </c:ext>
          </c:extLst>
        </c:ser>
        <c:ser>
          <c:idx val="9"/>
          <c:order val="9"/>
          <c:tx>
            <c:strRef>
              <c:f>'TPS Current'!$K$1</c:f>
              <c:strCache>
                <c:ptCount val="1"/>
                <c:pt idx="0">
                  <c:v>6.8</c:v>
                </c:pt>
              </c:strCache>
            </c:strRef>
          </c:tx>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Current'!$K$2:$K$43</c:f>
              <c:numCache>
                <c:formatCode>General</c:formatCode>
                <c:ptCount val="42"/>
                <c:pt idx="0">
                  <c:v>126</c:v>
                </c:pt>
                <c:pt idx="1">
                  <c:v>126</c:v>
                </c:pt>
                <c:pt idx="2">
                  <c:v>112</c:v>
                </c:pt>
                <c:pt idx="3">
                  <c:v>104</c:v>
                </c:pt>
                <c:pt idx="4">
                  <c:v>99</c:v>
                </c:pt>
                <c:pt idx="5">
                  <c:v>97</c:v>
                </c:pt>
                <c:pt idx="6">
                  <c:v>96</c:v>
                </c:pt>
                <c:pt idx="7">
                  <c:v>91</c:v>
                </c:pt>
                <c:pt idx="8">
                  <c:v>87</c:v>
                </c:pt>
                <c:pt idx="9">
                  <c:v>82</c:v>
                </c:pt>
                <c:pt idx="10">
                  <c:v>80</c:v>
                </c:pt>
                <c:pt idx="11">
                  <c:v>80</c:v>
                </c:pt>
                <c:pt idx="12">
                  <c:v>80</c:v>
                </c:pt>
                <c:pt idx="13">
                  <c:v>80</c:v>
                </c:pt>
                <c:pt idx="14">
                  <c:v>81</c:v>
                </c:pt>
                <c:pt idx="15">
                  <c:v>82</c:v>
                </c:pt>
                <c:pt idx="16">
                  <c:v>84</c:v>
                </c:pt>
                <c:pt idx="17">
                  <c:v>84</c:v>
                </c:pt>
                <c:pt idx="18">
                  <c:v>83</c:v>
                </c:pt>
                <c:pt idx="19">
                  <c:v>79</c:v>
                </c:pt>
                <c:pt idx="20">
                  <c:v>72</c:v>
                </c:pt>
                <c:pt idx="21">
                  <c:v>68</c:v>
                </c:pt>
                <c:pt idx="22">
                  <c:v>65</c:v>
                </c:pt>
                <c:pt idx="23">
                  <c:v>62</c:v>
                </c:pt>
                <c:pt idx="24">
                  <c:v>58</c:v>
                </c:pt>
                <c:pt idx="25">
                  <c:v>46</c:v>
                </c:pt>
                <c:pt idx="26">
                  <c:v>43</c:v>
                </c:pt>
                <c:pt idx="27">
                  <c:v>40</c:v>
                </c:pt>
                <c:pt idx="28">
                  <c:v>38</c:v>
                </c:pt>
                <c:pt idx="29">
                  <c:v>37</c:v>
                </c:pt>
                <c:pt idx="30">
                  <c:v>37</c:v>
                </c:pt>
                <c:pt idx="31">
                  <c:v>36</c:v>
                </c:pt>
                <c:pt idx="32">
                  <c:v>36</c:v>
                </c:pt>
                <c:pt idx="33">
                  <c:v>34</c:v>
                </c:pt>
                <c:pt idx="34">
                  <c:v>34</c:v>
                </c:pt>
                <c:pt idx="35">
                  <c:v>32</c:v>
                </c:pt>
                <c:pt idx="36">
                  <c:v>30</c:v>
                </c:pt>
                <c:pt idx="37">
                  <c:v>30</c:v>
                </c:pt>
                <c:pt idx="38">
                  <c:v>28</c:v>
                </c:pt>
                <c:pt idx="39">
                  <c:v>28</c:v>
                </c:pt>
                <c:pt idx="40">
                  <c:v>28</c:v>
                </c:pt>
                <c:pt idx="41">
                  <c:v>28</c:v>
                </c:pt>
              </c:numCache>
            </c:numRef>
          </c:val>
          <c:extLst>
            <c:ext xmlns:c16="http://schemas.microsoft.com/office/drawing/2014/chart" uri="{C3380CC4-5D6E-409C-BE32-E72D297353CC}">
              <c16:uniqueId val="{00000009-9183-46C4-802A-136FB38CB52D}"/>
            </c:ext>
          </c:extLst>
        </c:ser>
        <c:ser>
          <c:idx val="10"/>
          <c:order val="10"/>
          <c:tx>
            <c:strRef>
              <c:f>'TPS Current'!$L$1</c:f>
              <c:strCache>
                <c:ptCount val="1"/>
                <c:pt idx="0">
                  <c:v>8.1</c:v>
                </c:pt>
              </c:strCache>
            </c:strRef>
          </c:tx>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Current'!$L$2:$L$43</c:f>
              <c:numCache>
                <c:formatCode>General</c:formatCode>
                <c:ptCount val="42"/>
                <c:pt idx="0">
                  <c:v>129</c:v>
                </c:pt>
                <c:pt idx="1">
                  <c:v>129</c:v>
                </c:pt>
                <c:pt idx="2">
                  <c:v>119</c:v>
                </c:pt>
                <c:pt idx="3">
                  <c:v>112</c:v>
                </c:pt>
                <c:pt idx="4">
                  <c:v>104</c:v>
                </c:pt>
                <c:pt idx="5">
                  <c:v>103</c:v>
                </c:pt>
                <c:pt idx="6">
                  <c:v>102</c:v>
                </c:pt>
                <c:pt idx="7">
                  <c:v>97</c:v>
                </c:pt>
                <c:pt idx="8">
                  <c:v>91</c:v>
                </c:pt>
                <c:pt idx="9">
                  <c:v>88</c:v>
                </c:pt>
                <c:pt idx="10">
                  <c:v>86</c:v>
                </c:pt>
                <c:pt idx="11">
                  <c:v>86</c:v>
                </c:pt>
                <c:pt idx="12">
                  <c:v>85</c:v>
                </c:pt>
                <c:pt idx="13">
                  <c:v>85</c:v>
                </c:pt>
                <c:pt idx="14">
                  <c:v>86</c:v>
                </c:pt>
                <c:pt idx="15">
                  <c:v>87</c:v>
                </c:pt>
                <c:pt idx="16">
                  <c:v>89</c:v>
                </c:pt>
                <c:pt idx="17">
                  <c:v>89</c:v>
                </c:pt>
                <c:pt idx="18">
                  <c:v>89</c:v>
                </c:pt>
                <c:pt idx="19">
                  <c:v>85</c:v>
                </c:pt>
                <c:pt idx="20">
                  <c:v>81</c:v>
                </c:pt>
                <c:pt idx="21">
                  <c:v>75</c:v>
                </c:pt>
                <c:pt idx="22">
                  <c:v>71</c:v>
                </c:pt>
                <c:pt idx="23">
                  <c:v>68</c:v>
                </c:pt>
                <c:pt idx="24">
                  <c:v>65</c:v>
                </c:pt>
                <c:pt idx="25">
                  <c:v>57</c:v>
                </c:pt>
                <c:pt idx="26">
                  <c:v>50</c:v>
                </c:pt>
                <c:pt idx="27">
                  <c:v>46</c:v>
                </c:pt>
                <c:pt idx="28">
                  <c:v>45</c:v>
                </c:pt>
                <c:pt idx="29">
                  <c:v>44</c:v>
                </c:pt>
                <c:pt idx="30">
                  <c:v>44</c:v>
                </c:pt>
                <c:pt idx="31">
                  <c:v>42</c:v>
                </c:pt>
                <c:pt idx="32">
                  <c:v>41</c:v>
                </c:pt>
                <c:pt idx="33">
                  <c:v>40</c:v>
                </c:pt>
                <c:pt idx="34">
                  <c:v>40</c:v>
                </c:pt>
                <c:pt idx="35">
                  <c:v>38</c:v>
                </c:pt>
                <c:pt idx="36">
                  <c:v>37</c:v>
                </c:pt>
                <c:pt idx="37">
                  <c:v>36</c:v>
                </c:pt>
                <c:pt idx="38">
                  <c:v>34</c:v>
                </c:pt>
                <c:pt idx="39">
                  <c:v>34</c:v>
                </c:pt>
                <c:pt idx="40">
                  <c:v>34</c:v>
                </c:pt>
                <c:pt idx="41">
                  <c:v>34</c:v>
                </c:pt>
              </c:numCache>
            </c:numRef>
          </c:val>
          <c:extLst>
            <c:ext xmlns:c16="http://schemas.microsoft.com/office/drawing/2014/chart" uri="{C3380CC4-5D6E-409C-BE32-E72D297353CC}">
              <c16:uniqueId val="{0000000A-9183-46C4-802A-136FB38CB52D}"/>
            </c:ext>
          </c:extLst>
        </c:ser>
        <c:ser>
          <c:idx val="11"/>
          <c:order val="11"/>
          <c:tx>
            <c:strRef>
              <c:f>'TPS Current'!$M$1</c:f>
              <c:strCache>
                <c:ptCount val="1"/>
                <c:pt idx="0">
                  <c:v>9.3</c:v>
                </c:pt>
              </c:strCache>
            </c:strRef>
          </c:tx>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Current'!$M$2:$M$43</c:f>
              <c:numCache>
                <c:formatCode>General</c:formatCode>
                <c:ptCount val="42"/>
                <c:pt idx="0">
                  <c:v>135</c:v>
                </c:pt>
                <c:pt idx="1">
                  <c:v>135</c:v>
                </c:pt>
                <c:pt idx="2">
                  <c:v>126</c:v>
                </c:pt>
                <c:pt idx="3">
                  <c:v>116</c:v>
                </c:pt>
                <c:pt idx="4">
                  <c:v>109</c:v>
                </c:pt>
                <c:pt idx="5">
                  <c:v>108</c:v>
                </c:pt>
                <c:pt idx="6">
                  <c:v>107</c:v>
                </c:pt>
                <c:pt idx="7">
                  <c:v>102</c:v>
                </c:pt>
                <c:pt idx="8">
                  <c:v>96</c:v>
                </c:pt>
                <c:pt idx="9">
                  <c:v>92</c:v>
                </c:pt>
                <c:pt idx="10">
                  <c:v>91</c:v>
                </c:pt>
                <c:pt idx="11">
                  <c:v>91</c:v>
                </c:pt>
                <c:pt idx="12">
                  <c:v>90</c:v>
                </c:pt>
                <c:pt idx="13">
                  <c:v>91</c:v>
                </c:pt>
                <c:pt idx="14">
                  <c:v>91</c:v>
                </c:pt>
                <c:pt idx="15">
                  <c:v>92</c:v>
                </c:pt>
                <c:pt idx="16">
                  <c:v>92</c:v>
                </c:pt>
                <c:pt idx="17">
                  <c:v>93</c:v>
                </c:pt>
                <c:pt idx="18">
                  <c:v>93</c:v>
                </c:pt>
                <c:pt idx="19">
                  <c:v>89</c:v>
                </c:pt>
                <c:pt idx="20">
                  <c:v>84</c:v>
                </c:pt>
                <c:pt idx="21">
                  <c:v>80</c:v>
                </c:pt>
                <c:pt idx="22">
                  <c:v>78</c:v>
                </c:pt>
                <c:pt idx="23">
                  <c:v>75</c:v>
                </c:pt>
                <c:pt idx="24">
                  <c:v>72</c:v>
                </c:pt>
                <c:pt idx="25">
                  <c:v>64</c:v>
                </c:pt>
                <c:pt idx="26">
                  <c:v>60</c:v>
                </c:pt>
                <c:pt idx="27">
                  <c:v>58</c:v>
                </c:pt>
                <c:pt idx="28">
                  <c:v>54</c:v>
                </c:pt>
                <c:pt idx="29">
                  <c:v>52</c:v>
                </c:pt>
                <c:pt idx="30">
                  <c:v>52</c:v>
                </c:pt>
                <c:pt idx="31">
                  <c:v>49</c:v>
                </c:pt>
                <c:pt idx="32">
                  <c:v>49</c:v>
                </c:pt>
                <c:pt idx="33">
                  <c:v>48</c:v>
                </c:pt>
                <c:pt idx="34">
                  <c:v>46</c:v>
                </c:pt>
                <c:pt idx="35">
                  <c:v>45</c:v>
                </c:pt>
                <c:pt idx="36">
                  <c:v>44</c:v>
                </c:pt>
                <c:pt idx="37">
                  <c:v>42</c:v>
                </c:pt>
                <c:pt idx="38">
                  <c:v>41</c:v>
                </c:pt>
                <c:pt idx="39">
                  <c:v>40</c:v>
                </c:pt>
                <c:pt idx="40">
                  <c:v>40</c:v>
                </c:pt>
                <c:pt idx="41">
                  <c:v>40</c:v>
                </c:pt>
              </c:numCache>
            </c:numRef>
          </c:val>
          <c:extLst>
            <c:ext xmlns:c16="http://schemas.microsoft.com/office/drawing/2014/chart" uri="{C3380CC4-5D6E-409C-BE32-E72D297353CC}">
              <c16:uniqueId val="{0000000B-9183-46C4-802A-136FB38CB52D}"/>
            </c:ext>
          </c:extLst>
        </c:ser>
        <c:ser>
          <c:idx val="12"/>
          <c:order val="12"/>
          <c:tx>
            <c:strRef>
              <c:f>'TPS Current'!$N$1</c:f>
              <c:strCache>
                <c:ptCount val="1"/>
                <c:pt idx="0">
                  <c:v>10.6</c:v>
                </c:pt>
              </c:strCache>
            </c:strRef>
          </c:tx>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Current'!$N$2:$N$43</c:f>
              <c:numCache>
                <c:formatCode>General</c:formatCode>
                <c:ptCount val="42"/>
                <c:pt idx="0">
                  <c:v>135</c:v>
                </c:pt>
                <c:pt idx="1">
                  <c:v>135</c:v>
                </c:pt>
                <c:pt idx="2">
                  <c:v>131</c:v>
                </c:pt>
                <c:pt idx="3">
                  <c:v>122</c:v>
                </c:pt>
                <c:pt idx="4">
                  <c:v>116</c:v>
                </c:pt>
                <c:pt idx="5">
                  <c:v>114</c:v>
                </c:pt>
                <c:pt idx="6">
                  <c:v>113</c:v>
                </c:pt>
                <c:pt idx="7">
                  <c:v>108</c:v>
                </c:pt>
                <c:pt idx="8">
                  <c:v>99</c:v>
                </c:pt>
                <c:pt idx="9">
                  <c:v>97</c:v>
                </c:pt>
                <c:pt idx="10">
                  <c:v>94</c:v>
                </c:pt>
                <c:pt idx="11">
                  <c:v>96</c:v>
                </c:pt>
                <c:pt idx="12">
                  <c:v>97</c:v>
                </c:pt>
                <c:pt idx="13">
                  <c:v>97</c:v>
                </c:pt>
                <c:pt idx="14">
                  <c:v>98</c:v>
                </c:pt>
                <c:pt idx="15">
                  <c:v>97</c:v>
                </c:pt>
                <c:pt idx="16">
                  <c:v>97</c:v>
                </c:pt>
                <c:pt idx="17">
                  <c:v>98</c:v>
                </c:pt>
                <c:pt idx="18">
                  <c:v>97</c:v>
                </c:pt>
                <c:pt idx="19">
                  <c:v>93</c:v>
                </c:pt>
                <c:pt idx="20">
                  <c:v>88</c:v>
                </c:pt>
                <c:pt idx="21">
                  <c:v>83</c:v>
                </c:pt>
                <c:pt idx="22">
                  <c:v>81</c:v>
                </c:pt>
                <c:pt idx="23">
                  <c:v>79</c:v>
                </c:pt>
                <c:pt idx="24">
                  <c:v>75</c:v>
                </c:pt>
                <c:pt idx="25">
                  <c:v>70</c:v>
                </c:pt>
                <c:pt idx="26">
                  <c:v>68</c:v>
                </c:pt>
                <c:pt idx="27">
                  <c:v>67</c:v>
                </c:pt>
                <c:pt idx="28">
                  <c:v>66</c:v>
                </c:pt>
                <c:pt idx="29">
                  <c:v>63</c:v>
                </c:pt>
                <c:pt idx="30">
                  <c:v>62</c:v>
                </c:pt>
                <c:pt idx="31">
                  <c:v>60</c:v>
                </c:pt>
                <c:pt idx="32">
                  <c:v>59</c:v>
                </c:pt>
                <c:pt idx="33">
                  <c:v>59</c:v>
                </c:pt>
                <c:pt idx="34">
                  <c:v>58</c:v>
                </c:pt>
                <c:pt idx="35">
                  <c:v>58</c:v>
                </c:pt>
                <c:pt idx="36">
                  <c:v>54</c:v>
                </c:pt>
                <c:pt idx="37">
                  <c:v>50</c:v>
                </c:pt>
                <c:pt idx="38">
                  <c:v>48</c:v>
                </c:pt>
                <c:pt idx="39">
                  <c:v>46</c:v>
                </c:pt>
                <c:pt idx="40">
                  <c:v>46</c:v>
                </c:pt>
                <c:pt idx="41">
                  <c:v>46</c:v>
                </c:pt>
              </c:numCache>
            </c:numRef>
          </c:val>
          <c:extLst>
            <c:ext xmlns:c16="http://schemas.microsoft.com/office/drawing/2014/chart" uri="{C3380CC4-5D6E-409C-BE32-E72D297353CC}">
              <c16:uniqueId val="{0000000C-9183-46C4-802A-136FB38CB52D}"/>
            </c:ext>
          </c:extLst>
        </c:ser>
        <c:ser>
          <c:idx val="13"/>
          <c:order val="13"/>
          <c:tx>
            <c:strRef>
              <c:f>'TPS Current'!$O$1</c:f>
              <c:strCache>
                <c:ptCount val="1"/>
                <c:pt idx="0">
                  <c:v>15.5</c:v>
                </c:pt>
              </c:strCache>
            </c:strRef>
          </c:tx>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Current'!$O$2:$O$43</c:f>
              <c:numCache>
                <c:formatCode>General</c:formatCode>
                <c:ptCount val="42"/>
                <c:pt idx="0">
                  <c:v>138</c:v>
                </c:pt>
                <c:pt idx="1">
                  <c:v>138</c:v>
                </c:pt>
                <c:pt idx="2">
                  <c:v>140</c:v>
                </c:pt>
                <c:pt idx="3">
                  <c:v>134</c:v>
                </c:pt>
                <c:pt idx="4">
                  <c:v>134</c:v>
                </c:pt>
                <c:pt idx="5">
                  <c:v>133</c:v>
                </c:pt>
                <c:pt idx="6">
                  <c:v>133</c:v>
                </c:pt>
                <c:pt idx="7">
                  <c:v>123</c:v>
                </c:pt>
                <c:pt idx="8">
                  <c:v>113</c:v>
                </c:pt>
                <c:pt idx="9">
                  <c:v>109</c:v>
                </c:pt>
                <c:pt idx="10">
                  <c:v>108</c:v>
                </c:pt>
                <c:pt idx="11">
                  <c:v>112</c:v>
                </c:pt>
                <c:pt idx="12">
                  <c:v>117</c:v>
                </c:pt>
                <c:pt idx="13">
                  <c:v>116</c:v>
                </c:pt>
                <c:pt idx="14">
                  <c:v>114</c:v>
                </c:pt>
                <c:pt idx="15">
                  <c:v>112</c:v>
                </c:pt>
                <c:pt idx="16">
                  <c:v>111</c:v>
                </c:pt>
                <c:pt idx="17">
                  <c:v>110</c:v>
                </c:pt>
                <c:pt idx="18">
                  <c:v>109</c:v>
                </c:pt>
                <c:pt idx="19">
                  <c:v>105</c:v>
                </c:pt>
                <c:pt idx="20">
                  <c:v>99</c:v>
                </c:pt>
                <c:pt idx="21">
                  <c:v>93</c:v>
                </c:pt>
                <c:pt idx="22">
                  <c:v>89</c:v>
                </c:pt>
                <c:pt idx="23">
                  <c:v>88</c:v>
                </c:pt>
                <c:pt idx="24">
                  <c:v>87</c:v>
                </c:pt>
                <c:pt idx="25">
                  <c:v>84</c:v>
                </c:pt>
                <c:pt idx="26">
                  <c:v>82</c:v>
                </c:pt>
                <c:pt idx="27">
                  <c:v>80</c:v>
                </c:pt>
                <c:pt idx="28">
                  <c:v>76</c:v>
                </c:pt>
                <c:pt idx="29">
                  <c:v>75</c:v>
                </c:pt>
                <c:pt idx="30">
                  <c:v>75</c:v>
                </c:pt>
                <c:pt idx="31">
                  <c:v>75</c:v>
                </c:pt>
                <c:pt idx="32">
                  <c:v>72</c:v>
                </c:pt>
                <c:pt idx="33">
                  <c:v>71</c:v>
                </c:pt>
                <c:pt idx="34">
                  <c:v>71</c:v>
                </c:pt>
                <c:pt idx="35">
                  <c:v>71</c:v>
                </c:pt>
                <c:pt idx="36">
                  <c:v>68</c:v>
                </c:pt>
                <c:pt idx="37">
                  <c:v>64</c:v>
                </c:pt>
                <c:pt idx="38">
                  <c:v>62</c:v>
                </c:pt>
                <c:pt idx="39">
                  <c:v>60</c:v>
                </c:pt>
                <c:pt idx="40">
                  <c:v>60</c:v>
                </c:pt>
                <c:pt idx="41">
                  <c:v>60</c:v>
                </c:pt>
              </c:numCache>
            </c:numRef>
          </c:val>
          <c:extLst>
            <c:ext xmlns:c16="http://schemas.microsoft.com/office/drawing/2014/chart" uri="{C3380CC4-5D6E-409C-BE32-E72D297353CC}">
              <c16:uniqueId val="{0000000D-9183-46C4-802A-136FB38CB52D}"/>
            </c:ext>
          </c:extLst>
        </c:ser>
        <c:ser>
          <c:idx val="14"/>
          <c:order val="14"/>
          <c:tx>
            <c:strRef>
              <c:f>'TPS Current'!$P$1</c:f>
              <c:strCache>
                <c:ptCount val="1"/>
                <c:pt idx="0">
                  <c:v>20.5</c:v>
                </c:pt>
              </c:strCache>
            </c:strRef>
          </c:tx>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Current'!$P$2:$P$43</c:f>
              <c:numCache>
                <c:formatCode>General</c:formatCode>
                <c:ptCount val="42"/>
                <c:pt idx="0">
                  <c:v>142</c:v>
                </c:pt>
                <c:pt idx="1">
                  <c:v>142</c:v>
                </c:pt>
                <c:pt idx="2">
                  <c:v>140</c:v>
                </c:pt>
                <c:pt idx="3">
                  <c:v>139</c:v>
                </c:pt>
                <c:pt idx="4">
                  <c:v>138</c:v>
                </c:pt>
                <c:pt idx="5">
                  <c:v>142</c:v>
                </c:pt>
                <c:pt idx="6">
                  <c:v>143</c:v>
                </c:pt>
                <c:pt idx="7">
                  <c:v>133</c:v>
                </c:pt>
                <c:pt idx="8">
                  <c:v>124</c:v>
                </c:pt>
                <c:pt idx="9">
                  <c:v>122</c:v>
                </c:pt>
                <c:pt idx="10">
                  <c:v>120</c:v>
                </c:pt>
                <c:pt idx="11">
                  <c:v>127</c:v>
                </c:pt>
                <c:pt idx="12">
                  <c:v>132</c:v>
                </c:pt>
                <c:pt idx="13">
                  <c:v>132</c:v>
                </c:pt>
                <c:pt idx="14">
                  <c:v>128</c:v>
                </c:pt>
                <c:pt idx="15">
                  <c:v>128</c:v>
                </c:pt>
                <c:pt idx="16">
                  <c:v>126</c:v>
                </c:pt>
                <c:pt idx="17">
                  <c:v>124</c:v>
                </c:pt>
                <c:pt idx="18">
                  <c:v>122</c:v>
                </c:pt>
                <c:pt idx="19">
                  <c:v>116</c:v>
                </c:pt>
                <c:pt idx="20">
                  <c:v>111</c:v>
                </c:pt>
                <c:pt idx="21">
                  <c:v>105</c:v>
                </c:pt>
                <c:pt idx="22">
                  <c:v>101</c:v>
                </c:pt>
                <c:pt idx="23">
                  <c:v>99</c:v>
                </c:pt>
                <c:pt idx="24">
                  <c:v>98</c:v>
                </c:pt>
                <c:pt idx="25">
                  <c:v>94</c:v>
                </c:pt>
                <c:pt idx="26">
                  <c:v>92</c:v>
                </c:pt>
                <c:pt idx="27">
                  <c:v>90</c:v>
                </c:pt>
                <c:pt idx="28">
                  <c:v>89</c:v>
                </c:pt>
                <c:pt idx="29">
                  <c:v>88</c:v>
                </c:pt>
                <c:pt idx="30">
                  <c:v>88</c:v>
                </c:pt>
                <c:pt idx="31">
                  <c:v>85</c:v>
                </c:pt>
                <c:pt idx="32">
                  <c:v>84</c:v>
                </c:pt>
                <c:pt idx="33">
                  <c:v>82</c:v>
                </c:pt>
                <c:pt idx="34">
                  <c:v>81</c:v>
                </c:pt>
                <c:pt idx="35">
                  <c:v>81</c:v>
                </c:pt>
                <c:pt idx="36">
                  <c:v>80</c:v>
                </c:pt>
                <c:pt idx="37">
                  <c:v>75</c:v>
                </c:pt>
                <c:pt idx="38">
                  <c:v>72</c:v>
                </c:pt>
                <c:pt idx="39">
                  <c:v>70</c:v>
                </c:pt>
                <c:pt idx="40">
                  <c:v>70</c:v>
                </c:pt>
                <c:pt idx="41">
                  <c:v>70</c:v>
                </c:pt>
              </c:numCache>
            </c:numRef>
          </c:val>
          <c:extLst>
            <c:ext xmlns:c16="http://schemas.microsoft.com/office/drawing/2014/chart" uri="{C3380CC4-5D6E-409C-BE32-E72D297353CC}">
              <c16:uniqueId val="{0000000E-9183-46C4-802A-136FB38CB52D}"/>
            </c:ext>
          </c:extLst>
        </c:ser>
        <c:ser>
          <c:idx val="15"/>
          <c:order val="15"/>
          <c:tx>
            <c:strRef>
              <c:f>'TPS Current'!$Q$1</c:f>
              <c:strCache>
                <c:ptCount val="1"/>
                <c:pt idx="0">
                  <c:v>25.5</c:v>
                </c:pt>
              </c:strCache>
            </c:strRef>
          </c:tx>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Current'!$Q$2:$Q$43</c:f>
              <c:numCache>
                <c:formatCode>General</c:formatCode>
                <c:ptCount val="42"/>
                <c:pt idx="0">
                  <c:v>147</c:v>
                </c:pt>
                <c:pt idx="1">
                  <c:v>147</c:v>
                </c:pt>
                <c:pt idx="2">
                  <c:v>140</c:v>
                </c:pt>
                <c:pt idx="3">
                  <c:v>139</c:v>
                </c:pt>
                <c:pt idx="4">
                  <c:v>140</c:v>
                </c:pt>
                <c:pt idx="5">
                  <c:v>145</c:v>
                </c:pt>
                <c:pt idx="6">
                  <c:v>150</c:v>
                </c:pt>
                <c:pt idx="7">
                  <c:v>141</c:v>
                </c:pt>
                <c:pt idx="8">
                  <c:v>134</c:v>
                </c:pt>
                <c:pt idx="9">
                  <c:v>132</c:v>
                </c:pt>
                <c:pt idx="10">
                  <c:v>130</c:v>
                </c:pt>
                <c:pt idx="11">
                  <c:v>135</c:v>
                </c:pt>
                <c:pt idx="12">
                  <c:v>141</c:v>
                </c:pt>
                <c:pt idx="13">
                  <c:v>143</c:v>
                </c:pt>
                <c:pt idx="14">
                  <c:v>143</c:v>
                </c:pt>
                <c:pt idx="15">
                  <c:v>141</c:v>
                </c:pt>
                <c:pt idx="16">
                  <c:v>139</c:v>
                </c:pt>
                <c:pt idx="17">
                  <c:v>135</c:v>
                </c:pt>
                <c:pt idx="18">
                  <c:v>132</c:v>
                </c:pt>
                <c:pt idx="19">
                  <c:v>126</c:v>
                </c:pt>
                <c:pt idx="20">
                  <c:v>120</c:v>
                </c:pt>
                <c:pt idx="21">
                  <c:v>114</c:v>
                </c:pt>
                <c:pt idx="22">
                  <c:v>111</c:v>
                </c:pt>
                <c:pt idx="23">
                  <c:v>111</c:v>
                </c:pt>
                <c:pt idx="24">
                  <c:v>109</c:v>
                </c:pt>
                <c:pt idx="25">
                  <c:v>107</c:v>
                </c:pt>
                <c:pt idx="26">
                  <c:v>106</c:v>
                </c:pt>
                <c:pt idx="27">
                  <c:v>104</c:v>
                </c:pt>
                <c:pt idx="28">
                  <c:v>103</c:v>
                </c:pt>
                <c:pt idx="29">
                  <c:v>102</c:v>
                </c:pt>
                <c:pt idx="30">
                  <c:v>98</c:v>
                </c:pt>
                <c:pt idx="31">
                  <c:v>93</c:v>
                </c:pt>
                <c:pt idx="32">
                  <c:v>92</c:v>
                </c:pt>
                <c:pt idx="33">
                  <c:v>90</c:v>
                </c:pt>
                <c:pt idx="34">
                  <c:v>89</c:v>
                </c:pt>
                <c:pt idx="35">
                  <c:v>88</c:v>
                </c:pt>
                <c:pt idx="36">
                  <c:v>86</c:v>
                </c:pt>
                <c:pt idx="37">
                  <c:v>85</c:v>
                </c:pt>
                <c:pt idx="38">
                  <c:v>82</c:v>
                </c:pt>
                <c:pt idx="39">
                  <c:v>80</c:v>
                </c:pt>
                <c:pt idx="40">
                  <c:v>80</c:v>
                </c:pt>
                <c:pt idx="41">
                  <c:v>80</c:v>
                </c:pt>
              </c:numCache>
            </c:numRef>
          </c:val>
          <c:extLst>
            <c:ext xmlns:c16="http://schemas.microsoft.com/office/drawing/2014/chart" uri="{C3380CC4-5D6E-409C-BE32-E72D297353CC}">
              <c16:uniqueId val="{0000000F-9183-46C4-802A-136FB38CB52D}"/>
            </c:ext>
          </c:extLst>
        </c:ser>
        <c:ser>
          <c:idx val="16"/>
          <c:order val="16"/>
          <c:tx>
            <c:strRef>
              <c:f>'TPS Current'!$R$1</c:f>
              <c:strCache>
                <c:ptCount val="1"/>
                <c:pt idx="0">
                  <c:v>30.5</c:v>
                </c:pt>
              </c:strCache>
            </c:strRef>
          </c:tx>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Current'!$R$2:$R$43</c:f>
              <c:numCache>
                <c:formatCode>General</c:formatCode>
                <c:ptCount val="42"/>
                <c:pt idx="0">
                  <c:v>148</c:v>
                </c:pt>
                <c:pt idx="1">
                  <c:v>148</c:v>
                </c:pt>
                <c:pt idx="2">
                  <c:v>135</c:v>
                </c:pt>
                <c:pt idx="3">
                  <c:v>139</c:v>
                </c:pt>
                <c:pt idx="4">
                  <c:v>140</c:v>
                </c:pt>
                <c:pt idx="5">
                  <c:v>146</c:v>
                </c:pt>
                <c:pt idx="6">
                  <c:v>152</c:v>
                </c:pt>
                <c:pt idx="7">
                  <c:v>145</c:v>
                </c:pt>
                <c:pt idx="8">
                  <c:v>139</c:v>
                </c:pt>
                <c:pt idx="9">
                  <c:v>138</c:v>
                </c:pt>
                <c:pt idx="10">
                  <c:v>138</c:v>
                </c:pt>
                <c:pt idx="11">
                  <c:v>146</c:v>
                </c:pt>
                <c:pt idx="12">
                  <c:v>152</c:v>
                </c:pt>
                <c:pt idx="13">
                  <c:v>155</c:v>
                </c:pt>
                <c:pt idx="14">
                  <c:v>158</c:v>
                </c:pt>
                <c:pt idx="15">
                  <c:v>155</c:v>
                </c:pt>
                <c:pt idx="16">
                  <c:v>152</c:v>
                </c:pt>
                <c:pt idx="17">
                  <c:v>148</c:v>
                </c:pt>
                <c:pt idx="18">
                  <c:v>143</c:v>
                </c:pt>
                <c:pt idx="19">
                  <c:v>140</c:v>
                </c:pt>
                <c:pt idx="20">
                  <c:v>133</c:v>
                </c:pt>
                <c:pt idx="21">
                  <c:v>128</c:v>
                </c:pt>
                <c:pt idx="22">
                  <c:v>123</c:v>
                </c:pt>
                <c:pt idx="23">
                  <c:v>123</c:v>
                </c:pt>
                <c:pt idx="24">
                  <c:v>125</c:v>
                </c:pt>
                <c:pt idx="25">
                  <c:v>125</c:v>
                </c:pt>
                <c:pt idx="26">
                  <c:v>124</c:v>
                </c:pt>
                <c:pt idx="27">
                  <c:v>120</c:v>
                </c:pt>
                <c:pt idx="28">
                  <c:v>117</c:v>
                </c:pt>
                <c:pt idx="29">
                  <c:v>116</c:v>
                </c:pt>
                <c:pt idx="30">
                  <c:v>112</c:v>
                </c:pt>
                <c:pt idx="31">
                  <c:v>111</c:v>
                </c:pt>
                <c:pt idx="32">
                  <c:v>108</c:v>
                </c:pt>
                <c:pt idx="33">
                  <c:v>106</c:v>
                </c:pt>
                <c:pt idx="34">
                  <c:v>104</c:v>
                </c:pt>
                <c:pt idx="35">
                  <c:v>103</c:v>
                </c:pt>
                <c:pt idx="36">
                  <c:v>98</c:v>
                </c:pt>
                <c:pt idx="37">
                  <c:v>94</c:v>
                </c:pt>
                <c:pt idx="38">
                  <c:v>92</c:v>
                </c:pt>
                <c:pt idx="39">
                  <c:v>90</c:v>
                </c:pt>
                <c:pt idx="40">
                  <c:v>90</c:v>
                </c:pt>
                <c:pt idx="41">
                  <c:v>90</c:v>
                </c:pt>
              </c:numCache>
            </c:numRef>
          </c:val>
          <c:extLst>
            <c:ext xmlns:c16="http://schemas.microsoft.com/office/drawing/2014/chart" uri="{C3380CC4-5D6E-409C-BE32-E72D297353CC}">
              <c16:uniqueId val="{00000010-9183-46C4-802A-136FB38CB52D}"/>
            </c:ext>
          </c:extLst>
        </c:ser>
        <c:ser>
          <c:idx val="17"/>
          <c:order val="17"/>
          <c:tx>
            <c:strRef>
              <c:f>'TPS Current'!$S$1</c:f>
              <c:strCache>
                <c:ptCount val="1"/>
                <c:pt idx="0">
                  <c:v>40.4</c:v>
                </c:pt>
              </c:strCache>
            </c:strRef>
          </c:tx>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Current'!$S$2:$S$43</c:f>
              <c:numCache>
                <c:formatCode>General</c:formatCode>
                <c:ptCount val="42"/>
                <c:pt idx="0">
                  <c:v>151</c:v>
                </c:pt>
                <c:pt idx="1">
                  <c:v>151</c:v>
                </c:pt>
                <c:pt idx="2">
                  <c:v>134</c:v>
                </c:pt>
                <c:pt idx="3">
                  <c:v>139</c:v>
                </c:pt>
                <c:pt idx="4">
                  <c:v>140</c:v>
                </c:pt>
                <c:pt idx="5">
                  <c:v>146</c:v>
                </c:pt>
                <c:pt idx="6">
                  <c:v>152</c:v>
                </c:pt>
                <c:pt idx="7">
                  <c:v>146</c:v>
                </c:pt>
                <c:pt idx="8">
                  <c:v>140</c:v>
                </c:pt>
                <c:pt idx="9">
                  <c:v>142</c:v>
                </c:pt>
                <c:pt idx="10">
                  <c:v>145</c:v>
                </c:pt>
                <c:pt idx="11">
                  <c:v>153</c:v>
                </c:pt>
                <c:pt idx="12">
                  <c:v>161</c:v>
                </c:pt>
                <c:pt idx="13">
                  <c:v>166</c:v>
                </c:pt>
                <c:pt idx="14">
                  <c:v>172</c:v>
                </c:pt>
                <c:pt idx="15">
                  <c:v>172</c:v>
                </c:pt>
                <c:pt idx="16">
                  <c:v>172</c:v>
                </c:pt>
                <c:pt idx="17">
                  <c:v>171</c:v>
                </c:pt>
                <c:pt idx="18">
                  <c:v>170</c:v>
                </c:pt>
                <c:pt idx="19">
                  <c:v>166</c:v>
                </c:pt>
                <c:pt idx="20">
                  <c:v>161</c:v>
                </c:pt>
                <c:pt idx="21">
                  <c:v>154</c:v>
                </c:pt>
                <c:pt idx="22">
                  <c:v>151</c:v>
                </c:pt>
                <c:pt idx="23">
                  <c:v>151</c:v>
                </c:pt>
                <c:pt idx="24">
                  <c:v>152</c:v>
                </c:pt>
                <c:pt idx="25">
                  <c:v>151</c:v>
                </c:pt>
                <c:pt idx="26">
                  <c:v>149</c:v>
                </c:pt>
                <c:pt idx="27">
                  <c:v>147</c:v>
                </c:pt>
                <c:pt idx="28">
                  <c:v>143</c:v>
                </c:pt>
                <c:pt idx="29">
                  <c:v>142</c:v>
                </c:pt>
                <c:pt idx="30">
                  <c:v>139</c:v>
                </c:pt>
                <c:pt idx="31">
                  <c:v>136</c:v>
                </c:pt>
                <c:pt idx="32">
                  <c:v>133</c:v>
                </c:pt>
                <c:pt idx="33">
                  <c:v>130</c:v>
                </c:pt>
                <c:pt idx="34">
                  <c:v>124</c:v>
                </c:pt>
                <c:pt idx="35">
                  <c:v>120</c:v>
                </c:pt>
                <c:pt idx="36">
                  <c:v>117</c:v>
                </c:pt>
                <c:pt idx="37">
                  <c:v>114</c:v>
                </c:pt>
                <c:pt idx="38">
                  <c:v>111</c:v>
                </c:pt>
                <c:pt idx="39">
                  <c:v>107</c:v>
                </c:pt>
                <c:pt idx="40">
                  <c:v>107</c:v>
                </c:pt>
                <c:pt idx="41">
                  <c:v>107</c:v>
                </c:pt>
              </c:numCache>
            </c:numRef>
          </c:val>
          <c:extLst>
            <c:ext xmlns:c16="http://schemas.microsoft.com/office/drawing/2014/chart" uri="{C3380CC4-5D6E-409C-BE32-E72D297353CC}">
              <c16:uniqueId val="{00000011-9183-46C4-802A-136FB38CB52D}"/>
            </c:ext>
          </c:extLst>
        </c:ser>
        <c:ser>
          <c:idx val="18"/>
          <c:order val="18"/>
          <c:tx>
            <c:strRef>
              <c:f>'TPS Current'!$T$1</c:f>
              <c:strCache>
                <c:ptCount val="1"/>
                <c:pt idx="0">
                  <c:v>50.4</c:v>
                </c:pt>
              </c:strCache>
            </c:strRef>
          </c:tx>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Current'!$T$2:$T$43</c:f>
              <c:numCache>
                <c:formatCode>General</c:formatCode>
                <c:ptCount val="42"/>
                <c:pt idx="0">
                  <c:v>151</c:v>
                </c:pt>
                <c:pt idx="1">
                  <c:v>151</c:v>
                </c:pt>
                <c:pt idx="2">
                  <c:v>135</c:v>
                </c:pt>
                <c:pt idx="3">
                  <c:v>139</c:v>
                </c:pt>
                <c:pt idx="4">
                  <c:v>140</c:v>
                </c:pt>
                <c:pt idx="5">
                  <c:v>146</c:v>
                </c:pt>
                <c:pt idx="6">
                  <c:v>153</c:v>
                </c:pt>
                <c:pt idx="7">
                  <c:v>146</c:v>
                </c:pt>
                <c:pt idx="8">
                  <c:v>141</c:v>
                </c:pt>
                <c:pt idx="9">
                  <c:v>143</c:v>
                </c:pt>
                <c:pt idx="10">
                  <c:v>145</c:v>
                </c:pt>
                <c:pt idx="11">
                  <c:v>153</c:v>
                </c:pt>
                <c:pt idx="12">
                  <c:v>161</c:v>
                </c:pt>
                <c:pt idx="13">
                  <c:v>169</c:v>
                </c:pt>
                <c:pt idx="14">
                  <c:v>174</c:v>
                </c:pt>
                <c:pt idx="15">
                  <c:v>176</c:v>
                </c:pt>
                <c:pt idx="16">
                  <c:v>181</c:v>
                </c:pt>
                <c:pt idx="17">
                  <c:v>181</c:v>
                </c:pt>
                <c:pt idx="18">
                  <c:v>183</c:v>
                </c:pt>
                <c:pt idx="19">
                  <c:v>181</c:v>
                </c:pt>
                <c:pt idx="20">
                  <c:v>178</c:v>
                </c:pt>
                <c:pt idx="21">
                  <c:v>175</c:v>
                </c:pt>
                <c:pt idx="22">
                  <c:v>172</c:v>
                </c:pt>
                <c:pt idx="23">
                  <c:v>174</c:v>
                </c:pt>
                <c:pt idx="24">
                  <c:v>177</c:v>
                </c:pt>
                <c:pt idx="25">
                  <c:v>176</c:v>
                </c:pt>
                <c:pt idx="26">
                  <c:v>174</c:v>
                </c:pt>
                <c:pt idx="27">
                  <c:v>173</c:v>
                </c:pt>
                <c:pt idx="28">
                  <c:v>172</c:v>
                </c:pt>
                <c:pt idx="29">
                  <c:v>170</c:v>
                </c:pt>
                <c:pt idx="30">
                  <c:v>169</c:v>
                </c:pt>
                <c:pt idx="31">
                  <c:v>166</c:v>
                </c:pt>
                <c:pt idx="32">
                  <c:v>163</c:v>
                </c:pt>
                <c:pt idx="33">
                  <c:v>159</c:v>
                </c:pt>
                <c:pt idx="34">
                  <c:v>152</c:v>
                </c:pt>
                <c:pt idx="35">
                  <c:v>148</c:v>
                </c:pt>
                <c:pt idx="36">
                  <c:v>147</c:v>
                </c:pt>
                <c:pt idx="37">
                  <c:v>142</c:v>
                </c:pt>
                <c:pt idx="38">
                  <c:v>136</c:v>
                </c:pt>
                <c:pt idx="39">
                  <c:v>130</c:v>
                </c:pt>
                <c:pt idx="40">
                  <c:v>130</c:v>
                </c:pt>
                <c:pt idx="41">
                  <c:v>130</c:v>
                </c:pt>
              </c:numCache>
            </c:numRef>
          </c:val>
          <c:extLst>
            <c:ext xmlns:c16="http://schemas.microsoft.com/office/drawing/2014/chart" uri="{C3380CC4-5D6E-409C-BE32-E72D297353CC}">
              <c16:uniqueId val="{00000012-9183-46C4-802A-136FB38CB52D}"/>
            </c:ext>
          </c:extLst>
        </c:ser>
        <c:ser>
          <c:idx val="19"/>
          <c:order val="19"/>
          <c:tx>
            <c:strRef>
              <c:f>'TPS Current'!$U$1</c:f>
              <c:strCache>
                <c:ptCount val="1"/>
                <c:pt idx="0">
                  <c:v>60.3</c:v>
                </c:pt>
              </c:strCache>
            </c:strRef>
          </c:tx>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Current'!$U$2:$U$43</c:f>
              <c:numCache>
                <c:formatCode>General</c:formatCode>
                <c:ptCount val="42"/>
                <c:pt idx="0">
                  <c:v>152</c:v>
                </c:pt>
                <c:pt idx="1">
                  <c:v>152</c:v>
                </c:pt>
                <c:pt idx="2">
                  <c:v>136</c:v>
                </c:pt>
                <c:pt idx="3">
                  <c:v>140</c:v>
                </c:pt>
                <c:pt idx="4">
                  <c:v>140</c:v>
                </c:pt>
                <c:pt idx="5">
                  <c:v>148</c:v>
                </c:pt>
                <c:pt idx="6">
                  <c:v>153</c:v>
                </c:pt>
                <c:pt idx="7">
                  <c:v>147</c:v>
                </c:pt>
                <c:pt idx="8">
                  <c:v>142</c:v>
                </c:pt>
                <c:pt idx="9">
                  <c:v>143</c:v>
                </c:pt>
                <c:pt idx="10">
                  <c:v>147</c:v>
                </c:pt>
                <c:pt idx="11">
                  <c:v>154</c:v>
                </c:pt>
                <c:pt idx="12">
                  <c:v>162</c:v>
                </c:pt>
                <c:pt idx="13">
                  <c:v>170</c:v>
                </c:pt>
                <c:pt idx="14">
                  <c:v>174</c:v>
                </c:pt>
                <c:pt idx="15">
                  <c:v>177</c:v>
                </c:pt>
                <c:pt idx="16">
                  <c:v>178</c:v>
                </c:pt>
                <c:pt idx="17">
                  <c:v>181</c:v>
                </c:pt>
                <c:pt idx="18">
                  <c:v>184</c:v>
                </c:pt>
                <c:pt idx="19">
                  <c:v>185</c:v>
                </c:pt>
                <c:pt idx="20">
                  <c:v>186</c:v>
                </c:pt>
                <c:pt idx="21">
                  <c:v>185</c:v>
                </c:pt>
                <c:pt idx="22">
                  <c:v>183</c:v>
                </c:pt>
                <c:pt idx="23">
                  <c:v>186</c:v>
                </c:pt>
                <c:pt idx="24">
                  <c:v>193</c:v>
                </c:pt>
                <c:pt idx="25">
                  <c:v>194</c:v>
                </c:pt>
                <c:pt idx="26">
                  <c:v>195</c:v>
                </c:pt>
                <c:pt idx="27">
                  <c:v>196</c:v>
                </c:pt>
                <c:pt idx="28">
                  <c:v>196</c:v>
                </c:pt>
                <c:pt idx="29">
                  <c:v>194</c:v>
                </c:pt>
                <c:pt idx="30">
                  <c:v>191</c:v>
                </c:pt>
                <c:pt idx="31">
                  <c:v>190</c:v>
                </c:pt>
                <c:pt idx="32">
                  <c:v>185</c:v>
                </c:pt>
                <c:pt idx="33">
                  <c:v>182</c:v>
                </c:pt>
                <c:pt idx="34">
                  <c:v>176</c:v>
                </c:pt>
                <c:pt idx="35">
                  <c:v>172</c:v>
                </c:pt>
                <c:pt idx="36">
                  <c:v>169</c:v>
                </c:pt>
                <c:pt idx="37">
                  <c:v>163</c:v>
                </c:pt>
                <c:pt idx="38">
                  <c:v>155</c:v>
                </c:pt>
                <c:pt idx="39">
                  <c:v>147</c:v>
                </c:pt>
                <c:pt idx="40">
                  <c:v>147</c:v>
                </c:pt>
                <c:pt idx="41">
                  <c:v>147</c:v>
                </c:pt>
              </c:numCache>
            </c:numRef>
          </c:val>
          <c:extLst>
            <c:ext xmlns:c16="http://schemas.microsoft.com/office/drawing/2014/chart" uri="{C3380CC4-5D6E-409C-BE32-E72D297353CC}">
              <c16:uniqueId val="{00000013-9183-46C4-802A-136FB38CB52D}"/>
            </c:ext>
          </c:extLst>
        </c:ser>
        <c:ser>
          <c:idx val="20"/>
          <c:order val="20"/>
          <c:tx>
            <c:strRef>
              <c:f>'TPS Current'!$V$1</c:f>
              <c:strCache>
                <c:ptCount val="1"/>
                <c:pt idx="0">
                  <c:v>70.3</c:v>
                </c:pt>
              </c:strCache>
            </c:strRef>
          </c:tx>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Current'!$V$2:$V$43</c:f>
              <c:numCache>
                <c:formatCode>General</c:formatCode>
                <c:ptCount val="42"/>
                <c:pt idx="0">
                  <c:v>156</c:v>
                </c:pt>
                <c:pt idx="1">
                  <c:v>156</c:v>
                </c:pt>
                <c:pt idx="2">
                  <c:v>141</c:v>
                </c:pt>
                <c:pt idx="3">
                  <c:v>140</c:v>
                </c:pt>
                <c:pt idx="4">
                  <c:v>140</c:v>
                </c:pt>
                <c:pt idx="5">
                  <c:v>148</c:v>
                </c:pt>
                <c:pt idx="6">
                  <c:v>153</c:v>
                </c:pt>
                <c:pt idx="7">
                  <c:v>148</c:v>
                </c:pt>
                <c:pt idx="8">
                  <c:v>143</c:v>
                </c:pt>
                <c:pt idx="9">
                  <c:v>147</c:v>
                </c:pt>
                <c:pt idx="10">
                  <c:v>150</c:v>
                </c:pt>
                <c:pt idx="11">
                  <c:v>159</c:v>
                </c:pt>
                <c:pt idx="12">
                  <c:v>166</c:v>
                </c:pt>
                <c:pt idx="13">
                  <c:v>173</c:v>
                </c:pt>
                <c:pt idx="14">
                  <c:v>178</c:v>
                </c:pt>
                <c:pt idx="15">
                  <c:v>182</c:v>
                </c:pt>
                <c:pt idx="16">
                  <c:v>183</c:v>
                </c:pt>
                <c:pt idx="17">
                  <c:v>183</c:v>
                </c:pt>
                <c:pt idx="18">
                  <c:v>183</c:v>
                </c:pt>
                <c:pt idx="19">
                  <c:v>187</c:v>
                </c:pt>
                <c:pt idx="20">
                  <c:v>190</c:v>
                </c:pt>
                <c:pt idx="21">
                  <c:v>189</c:v>
                </c:pt>
                <c:pt idx="22">
                  <c:v>186</c:v>
                </c:pt>
                <c:pt idx="23">
                  <c:v>191</c:v>
                </c:pt>
                <c:pt idx="24">
                  <c:v>202</c:v>
                </c:pt>
                <c:pt idx="25">
                  <c:v>202</c:v>
                </c:pt>
                <c:pt idx="26">
                  <c:v>205</c:v>
                </c:pt>
                <c:pt idx="27">
                  <c:v>210</c:v>
                </c:pt>
                <c:pt idx="28">
                  <c:v>212</c:v>
                </c:pt>
                <c:pt idx="29">
                  <c:v>210</c:v>
                </c:pt>
                <c:pt idx="30">
                  <c:v>207</c:v>
                </c:pt>
                <c:pt idx="31">
                  <c:v>207</c:v>
                </c:pt>
                <c:pt idx="32">
                  <c:v>204</c:v>
                </c:pt>
                <c:pt idx="33">
                  <c:v>201</c:v>
                </c:pt>
                <c:pt idx="34">
                  <c:v>194</c:v>
                </c:pt>
                <c:pt idx="35">
                  <c:v>192</c:v>
                </c:pt>
                <c:pt idx="36">
                  <c:v>187</c:v>
                </c:pt>
                <c:pt idx="37">
                  <c:v>181</c:v>
                </c:pt>
                <c:pt idx="38">
                  <c:v>173</c:v>
                </c:pt>
                <c:pt idx="39">
                  <c:v>166</c:v>
                </c:pt>
                <c:pt idx="40">
                  <c:v>166</c:v>
                </c:pt>
                <c:pt idx="41">
                  <c:v>166</c:v>
                </c:pt>
              </c:numCache>
            </c:numRef>
          </c:val>
          <c:extLst>
            <c:ext xmlns:c16="http://schemas.microsoft.com/office/drawing/2014/chart" uri="{C3380CC4-5D6E-409C-BE32-E72D297353CC}">
              <c16:uniqueId val="{00000014-9183-46C4-802A-136FB38CB52D}"/>
            </c:ext>
          </c:extLst>
        </c:ser>
        <c:ser>
          <c:idx val="21"/>
          <c:order val="21"/>
          <c:tx>
            <c:strRef>
              <c:f>'TPS Current'!$W$1</c:f>
              <c:strCache>
                <c:ptCount val="1"/>
                <c:pt idx="0">
                  <c:v>90.2</c:v>
                </c:pt>
              </c:strCache>
            </c:strRef>
          </c:tx>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Current'!$W$2:$W$43</c:f>
              <c:numCache>
                <c:formatCode>General</c:formatCode>
                <c:ptCount val="42"/>
                <c:pt idx="0">
                  <c:v>159</c:v>
                </c:pt>
                <c:pt idx="1">
                  <c:v>159</c:v>
                </c:pt>
                <c:pt idx="2">
                  <c:v>142</c:v>
                </c:pt>
                <c:pt idx="3">
                  <c:v>140</c:v>
                </c:pt>
                <c:pt idx="4">
                  <c:v>142</c:v>
                </c:pt>
                <c:pt idx="5">
                  <c:v>151</c:v>
                </c:pt>
                <c:pt idx="6">
                  <c:v>154</c:v>
                </c:pt>
                <c:pt idx="7">
                  <c:v>150</c:v>
                </c:pt>
                <c:pt idx="8">
                  <c:v>146</c:v>
                </c:pt>
                <c:pt idx="9">
                  <c:v>150</c:v>
                </c:pt>
                <c:pt idx="10">
                  <c:v>154</c:v>
                </c:pt>
                <c:pt idx="11">
                  <c:v>163</c:v>
                </c:pt>
                <c:pt idx="12">
                  <c:v>171</c:v>
                </c:pt>
                <c:pt idx="13">
                  <c:v>178</c:v>
                </c:pt>
                <c:pt idx="14">
                  <c:v>185</c:v>
                </c:pt>
                <c:pt idx="15">
                  <c:v>184</c:v>
                </c:pt>
                <c:pt idx="16">
                  <c:v>184</c:v>
                </c:pt>
                <c:pt idx="17">
                  <c:v>184</c:v>
                </c:pt>
                <c:pt idx="18">
                  <c:v>186</c:v>
                </c:pt>
                <c:pt idx="19">
                  <c:v>191</c:v>
                </c:pt>
                <c:pt idx="20">
                  <c:v>195</c:v>
                </c:pt>
                <c:pt idx="21">
                  <c:v>193</c:v>
                </c:pt>
                <c:pt idx="22">
                  <c:v>190</c:v>
                </c:pt>
                <c:pt idx="23">
                  <c:v>194</c:v>
                </c:pt>
                <c:pt idx="24">
                  <c:v>206</c:v>
                </c:pt>
                <c:pt idx="25">
                  <c:v>206</c:v>
                </c:pt>
                <c:pt idx="26">
                  <c:v>257</c:v>
                </c:pt>
                <c:pt idx="27">
                  <c:v>262</c:v>
                </c:pt>
                <c:pt idx="28">
                  <c:v>268</c:v>
                </c:pt>
                <c:pt idx="29">
                  <c:v>255</c:v>
                </c:pt>
                <c:pt idx="30">
                  <c:v>252</c:v>
                </c:pt>
                <c:pt idx="31">
                  <c:v>243</c:v>
                </c:pt>
                <c:pt idx="32">
                  <c:v>240</c:v>
                </c:pt>
                <c:pt idx="33">
                  <c:v>238</c:v>
                </c:pt>
                <c:pt idx="34">
                  <c:v>231</c:v>
                </c:pt>
                <c:pt idx="35">
                  <c:v>225</c:v>
                </c:pt>
                <c:pt idx="36">
                  <c:v>220</c:v>
                </c:pt>
                <c:pt idx="37">
                  <c:v>214</c:v>
                </c:pt>
                <c:pt idx="38">
                  <c:v>204</c:v>
                </c:pt>
                <c:pt idx="39">
                  <c:v>195</c:v>
                </c:pt>
                <c:pt idx="40">
                  <c:v>195</c:v>
                </c:pt>
                <c:pt idx="41">
                  <c:v>195</c:v>
                </c:pt>
              </c:numCache>
            </c:numRef>
          </c:val>
          <c:extLst>
            <c:ext xmlns:c16="http://schemas.microsoft.com/office/drawing/2014/chart" uri="{C3380CC4-5D6E-409C-BE32-E72D297353CC}">
              <c16:uniqueId val="{00000015-9183-46C4-802A-136FB38CB52D}"/>
            </c:ext>
          </c:extLst>
        </c:ser>
        <c:ser>
          <c:idx val="22"/>
          <c:order val="22"/>
          <c:tx>
            <c:strRef>
              <c:f>'TPS Current'!$X$1</c:f>
              <c:strCache>
                <c:ptCount val="1"/>
                <c:pt idx="0">
                  <c:v>100</c:v>
                </c:pt>
              </c:strCache>
            </c:strRef>
          </c:tx>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Current'!$X$2:$X$43</c:f>
              <c:numCache>
                <c:formatCode>General</c:formatCode>
                <c:ptCount val="42"/>
                <c:pt idx="0">
                  <c:v>159</c:v>
                </c:pt>
                <c:pt idx="1">
                  <c:v>159</c:v>
                </c:pt>
                <c:pt idx="2">
                  <c:v>147</c:v>
                </c:pt>
                <c:pt idx="3">
                  <c:v>140</c:v>
                </c:pt>
                <c:pt idx="4">
                  <c:v>142</c:v>
                </c:pt>
                <c:pt idx="5">
                  <c:v>159</c:v>
                </c:pt>
                <c:pt idx="6">
                  <c:v>168</c:v>
                </c:pt>
                <c:pt idx="7">
                  <c:v>159</c:v>
                </c:pt>
                <c:pt idx="8">
                  <c:v>155</c:v>
                </c:pt>
                <c:pt idx="9">
                  <c:v>158</c:v>
                </c:pt>
                <c:pt idx="10">
                  <c:v>160</c:v>
                </c:pt>
                <c:pt idx="11">
                  <c:v>167</c:v>
                </c:pt>
                <c:pt idx="12">
                  <c:v>172</c:v>
                </c:pt>
                <c:pt idx="13">
                  <c:v>186</c:v>
                </c:pt>
                <c:pt idx="14">
                  <c:v>195</c:v>
                </c:pt>
                <c:pt idx="15">
                  <c:v>198</c:v>
                </c:pt>
                <c:pt idx="16">
                  <c:v>201</c:v>
                </c:pt>
                <c:pt idx="17">
                  <c:v>200</c:v>
                </c:pt>
                <c:pt idx="18">
                  <c:v>198</c:v>
                </c:pt>
                <c:pt idx="19">
                  <c:v>201</c:v>
                </c:pt>
                <c:pt idx="20">
                  <c:v>206</c:v>
                </c:pt>
                <c:pt idx="21">
                  <c:v>203</c:v>
                </c:pt>
                <c:pt idx="22">
                  <c:v>198</c:v>
                </c:pt>
                <c:pt idx="23">
                  <c:v>202</c:v>
                </c:pt>
                <c:pt idx="24">
                  <c:v>213</c:v>
                </c:pt>
                <c:pt idx="25">
                  <c:v>212</c:v>
                </c:pt>
                <c:pt idx="26">
                  <c:v>261</c:v>
                </c:pt>
                <c:pt idx="27">
                  <c:v>268</c:v>
                </c:pt>
                <c:pt idx="28">
                  <c:v>273</c:v>
                </c:pt>
                <c:pt idx="29">
                  <c:v>260</c:v>
                </c:pt>
                <c:pt idx="30">
                  <c:v>258</c:v>
                </c:pt>
                <c:pt idx="31">
                  <c:v>249</c:v>
                </c:pt>
                <c:pt idx="32">
                  <c:v>248</c:v>
                </c:pt>
                <c:pt idx="33">
                  <c:v>248</c:v>
                </c:pt>
                <c:pt idx="34">
                  <c:v>236</c:v>
                </c:pt>
                <c:pt idx="35">
                  <c:v>229</c:v>
                </c:pt>
                <c:pt idx="36">
                  <c:v>224</c:v>
                </c:pt>
                <c:pt idx="37">
                  <c:v>215</c:v>
                </c:pt>
                <c:pt idx="38">
                  <c:v>206</c:v>
                </c:pt>
                <c:pt idx="39">
                  <c:v>200</c:v>
                </c:pt>
                <c:pt idx="40">
                  <c:v>200</c:v>
                </c:pt>
                <c:pt idx="41">
                  <c:v>200</c:v>
                </c:pt>
              </c:numCache>
            </c:numRef>
          </c:val>
          <c:extLst>
            <c:ext xmlns:c16="http://schemas.microsoft.com/office/drawing/2014/chart" uri="{C3380CC4-5D6E-409C-BE32-E72D297353CC}">
              <c16:uniqueId val="{00000016-9183-46C4-802A-136FB38CB52D}"/>
            </c:ext>
          </c:extLst>
        </c:ser>
        <c:bandFmts>
          <c:band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3"/>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4"/>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5"/>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7"/>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8"/>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9"/>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1"/>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2"/>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3"/>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4"/>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s>
        <c:axId val="346304624"/>
        <c:axId val="346317936"/>
        <c:axId val="238526608"/>
      </c:surface3DChart>
      <c:catAx>
        <c:axId val="346304624"/>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6317936"/>
        <c:crosses val="autoZero"/>
        <c:auto val="1"/>
        <c:lblAlgn val="ctr"/>
        <c:lblOffset val="100"/>
        <c:noMultiLvlLbl val="0"/>
      </c:catAx>
      <c:valAx>
        <c:axId val="346317936"/>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6304624"/>
        <c:crosses val="autoZero"/>
        <c:crossBetween val="midCat"/>
      </c:valAx>
      <c:serAx>
        <c:axId val="238526608"/>
        <c:scaling>
          <c:orientation val="minMax"/>
        </c:scaling>
        <c:delete val="0"/>
        <c:axPos val="b"/>
        <c:majorGridlines>
          <c:spPr>
            <a:ln w="9525" cap="flat" cmpd="sng" algn="ctr">
              <a:solidFill>
                <a:schemeClr val="dk1">
                  <a:lumMod val="50000"/>
                  <a:lumOff val="50000"/>
                </a:schemeClr>
              </a:solidFill>
              <a:round/>
            </a:ln>
            <a:effectLst/>
          </c:spPr>
        </c:majorGridlines>
        <c:majorTickMark val="none"/>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6317936"/>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IAP Fuel Map</a:t>
            </a:r>
          </a:p>
        </c:rich>
      </c:tx>
      <c:overlay val="0"/>
      <c:spPr>
        <a:noFill/>
        <a:ln>
          <a:noFill/>
        </a:ln>
        <a:effectLst/>
      </c:spPr>
    </c:title>
    <c:autoTitleDeleted val="0"/>
    <c:view3D>
      <c:rotX val="15"/>
      <c:rotY val="3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'IAP Current'!$B$1</c:f>
              <c:strCache>
                <c:ptCount val="1"/>
                <c:pt idx="0">
                  <c:v>120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Current'!$B$2:$B$43</c:f>
              <c:numCache>
                <c:formatCode>General</c:formatCode>
                <c:ptCount val="42"/>
                <c:pt idx="0">
                  <c:v>28</c:v>
                </c:pt>
                <c:pt idx="1">
                  <c:v>28</c:v>
                </c:pt>
                <c:pt idx="2">
                  <c:v>28</c:v>
                </c:pt>
                <c:pt idx="3">
                  <c:v>28</c:v>
                </c:pt>
                <c:pt idx="4">
                  <c:v>28</c:v>
                </c:pt>
                <c:pt idx="5">
                  <c:v>28</c:v>
                </c:pt>
                <c:pt idx="6">
                  <c:v>28</c:v>
                </c:pt>
                <c:pt idx="7">
                  <c:v>34</c:v>
                </c:pt>
                <c:pt idx="8">
                  <c:v>34</c:v>
                </c:pt>
                <c:pt idx="9">
                  <c:v>34</c:v>
                </c:pt>
                <c:pt idx="10">
                  <c:v>34</c:v>
                </c:pt>
                <c:pt idx="11">
                  <c:v>34</c:v>
                </c:pt>
                <c:pt idx="12">
                  <c:v>34</c:v>
                </c:pt>
                <c:pt idx="13">
                  <c:v>34</c:v>
                </c:pt>
                <c:pt idx="14">
                  <c:v>34</c:v>
                </c:pt>
                <c:pt idx="15">
                  <c:v>34</c:v>
                </c:pt>
                <c:pt idx="16">
                  <c:v>34</c:v>
                </c:pt>
                <c:pt idx="17">
                  <c:v>34</c:v>
                </c:pt>
                <c:pt idx="18">
                  <c:v>34</c:v>
                </c:pt>
                <c:pt idx="19">
                  <c:v>34</c:v>
                </c:pt>
                <c:pt idx="20">
                  <c:v>34</c:v>
                </c:pt>
                <c:pt idx="21">
                  <c:v>32</c:v>
                </c:pt>
                <c:pt idx="22">
                  <c:v>32</c:v>
                </c:pt>
                <c:pt idx="23">
                  <c:v>32</c:v>
                </c:pt>
                <c:pt idx="24">
                  <c:v>32</c:v>
                </c:pt>
                <c:pt idx="25">
                  <c:v>32</c:v>
                </c:pt>
                <c:pt idx="26">
                  <c:v>32</c:v>
                </c:pt>
                <c:pt idx="27">
                  <c:v>32</c:v>
                </c:pt>
                <c:pt idx="28">
                  <c:v>32</c:v>
                </c:pt>
                <c:pt idx="29">
                  <c:v>32</c:v>
                </c:pt>
                <c:pt idx="30">
                  <c:v>32</c:v>
                </c:pt>
                <c:pt idx="31">
                  <c:v>32</c:v>
                </c:pt>
                <c:pt idx="32">
                  <c:v>32</c:v>
                </c:pt>
                <c:pt idx="33">
                  <c:v>32</c:v>
                </c:pt>
                <c:pt idx="34">
                  <c:v>32</c:v>
                </c:pt>
                <c:pt idx="35">
                  <c:v>32</c:v>
                </c:pt>
                <c:pt idx="36">
                  <c:v>32</c:v>
                </c:pt>
                <c:pt idx="37">
                  <c:v>32</c:v>
                </c:pt>
                <c:pt idx="38">
                  <c:v>32</c:v>
                </c:pt>
                <c:pt idx="39">
                  <c:v>32</c:v>
                </c:pt>
                <c:pt idx="40">
                  <c:v>32</c:v>
                </c:pt>
                <c:pt idx="41">
                  <c:v>32</c:v>
                </c:pt>
              </c:numCache>
            </c:numRef>
          </c:val>
          <c:extLst>
            <c:ext xmlns:c16="http://schemas.microsoft.com/office/drawing/2014/chart" uri="{C3380CC4-5D6E-409C-BE32-E72D297353CC}">
              <c16:uniqueId val="{00000000-57DA-47AC-9E0D-08130A7033CE}"/>
            </c:ext>
          </c:extLst>
        </c:ser>
        <c:ser>
          <c:idx val="1"/>
          <c:order val="1"/>
          <c:tx>
            <c:strRef>
              <c:f>'IAP Current'!$C$1</c:f>
              <c:strCache>
                <c:ptCount val="1"/>
                <c:pt idx="0">
                  <c:v>104</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Current'!$C$2:$C$43</c:f>
              <c:numCache>
                <c:formatCode>General</c:formatCode>
                <c:ptCount val="42"/>
                <c:pt idx="0">
                  <c:v>30</c:v>
                </c:pt>
                <c:pt idx="1">
                  <c:v>30</c:v>
                </c:pt>
                <c:pt idx="2">
                  <c:v>30</c:v>
                </c:pt>
                <c:pt idx="3">
                  <c:v>30</c:v>
                </c:pt>
                <c:pt idx="4">
                  <c:v>30</c:v>
                </c:pt>
                <c:pt idx="5">
                  <c:v>30</c:v>
                </c:pt>
                <c:pt idx="6">
                  <c:v>30</c:v>
                </c:pt>
                <c:pt idx="7">
                  <c:v>38</c:v>
                </c:pt>
                <c:pt idx="8">
                  <c:v>36</c:v>
                </c:pt>
                <c:pt idx="9">
                  <c:v>36</c:v>
                </c:pt>
                <c:pt idx="10">
                  <c:v>36</c:v>
                </c:pt>
                <c:pt idx="11">
                  <c:v>36</c:v>
                </c:pt>
                <c:pt idx="12">
                  <c:v>36</c:v>
                </c:pt>
                <c:pt idx="13">
                  <c:v>36</c:v>
                </c:pt>
                <c:pt idx="14">
                  <c:v>36</c:v>
                </c:pt>
                <c:pt idx="15">
                  <c:v>38</c:v>
                </c:pt>
                <c:pt idx="16">
                  <c:v>38</c:v>
                </c:pt>
                <c:pt idx="17">
                  <c:v>38</c:v>
                </c:pt>
                <c:pt idx="18">
                  <c:v>36</c:v>
                </c:pt>
                <c:pt idx="19">
                  <c:v>36</c:v>
                </c:pt>
                <c:pt idx="20">
                  <c:v>39</c:v>
                </c:pt>
                <c:pt idx="21">
                  <c:v>34</c:v>
                </c:pt>
                <c:pt idx="22">
                  <c:v>34</c:v>
                </c:pt>
                <c:pt idx="23">
                  <c:v>34</c:v>
                </c:pt>
                <c:pt idx="24">
                  <c:v>36</c:v>
                </c:pt>
                <c:pt idx="25">
                  <c:v>36</c:v>
                </c:pt>
                <c:pt idx="26">
                  <c:v>36</c:v>
                </c:pt>
                <c:pt idx="27">
                  <c:v>36</c:v>
                </c:pt>
                <c:pt idx="28">
                  <c:v>36</c:v>
                </c:pt>
                <c:pt idx="29">
                  <c:v>36</c:v>
                </c:pt>
                <c:pt idx="30">
                  <c:v>36</c:v>
                </c:pt>
                <c:pt idx="31">
                  <c:v>36</c:v>
                </c:pt>
                <c:pt idx="32">
                  <c:v>36</c:v>
                </c:pt>
                <c:pt idx="33">
                  <c:v>36</c:v>
                </c:pt>
                <c:pt idx="34">
                  <c:v>36</c:v>
                </c:pt>
                <c:pt idx="35">
                  <c:v>36</c:v>
                </c:pt>
                <c:pt idx="36">
                  <c:v>36</c:v>
                </c:pt>
                <c:pt idx="37">
                  <c:v>36</c:v>
                </c:pt>
                <c:pt idx="38">
                  <c:v>36</c:v>
                </c:pt>
                <c:pt idx="39">
                  <c:v>36</c:v>
                </c:pt>
                <c:pt idx="40">
                  <c:v>36</c:v>
                </c:pt>
                <c:pt idx="41">
                  <c:v>36</c:v>
                </c:pt>
              </c:numCache>
            </c:numRef>
          </c:val>
          <c:extLst>
            <c:ext xmlns:c16="http://schemas.microsoft.com/office/drawing/2014/chart" uri="{C3380CC4-5D6E-409C-BE32-E72D297353CC}">
              <c16:uniqueId val="{00000001-57DA-47AC-9E0D-08130A7033CE}"/>
            </c:ext>
          </c:extLst>
        </c:ser>
        <c:ser>
          <c:idx val="2"/>
          <c:order val="2"/>
          <c:tx>
            <c:strRef>
              <c:f>'IAP Current'!$D$1</c:f>
              <c:strCache>
                <c:ptCount val="1"/>
                <c:pt idx="0">
                  <c:v>88</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Current'!$D$2:$D$43</c:f>
              <c:numCache>
                <c:formatCode>General</c:formatCode>
                <c:ptCount val="42"/>
                <c:pt idx="0">
                  <c:v>31</c:v>
                </c:pt>
                <c:pt idx="1">
                  <c:v>31</c:v>
                </c:pt>
                <c:pt idx="2">
                  <c:v>31</c:v>
                </c:pt>
                <c:pt idx="3">
                  <c:v>31</c:v>
                </c:pt>
                <c:pt idx="4">
                  <c:v>31</c:v>
                </c:pt>
                <c:pt idx="5">
                  <c:v>31</c:v>
                </c:pt>
                <c:pt idx="6">
                  <c:v>31</c:v>
                </c:pt>
                <c:pt idx="7">
                  <c:v>39</c:v>
                </c:pt>
                <c:pt idx="8">
                  <c:v>39</c:v>
                </c:pt>
                <c:pt idx="9">
                  <c:v>39</c:v>
                </c:pt>
                <c:pt idx="10">
                  <c:v>39</c:v>
                </c:pt>
                <c:pt idx="11">
                  <c:v>38</c:v>
                </c:pt>
                <c:pt idx="12">
                  <c:v>38</c:v>
                </c:pt>
                <c:pt idx="13">
                  <c:v>38</c:v>
                </c:pt>
                <c:pt idx="14">
                  <c:v>39</c:v>
                </c:pt>
                <c:pt idx="15">
                  <c:v>39</c:v>
                </c:pt>
                <c:pt idx="16">
                  <c:v>39</c:v>
                </c:pt>
                <c:pt idx="17">
                  <c:v>39</c:v>
                </c:pt>
                <c:pt idx="18">
                  <c:v>39</c:v>
                </c:pt>
                <c:pt idx="19">
                  <c:v>39</c:v>
                </c:pt>
                <c:pt idx="20">
                  <c:v>39</c:v>
                </c:pt>
                <c:pt idx="21">
                  <c:v>39</c:v>
                </c:pt>
                <c:pt idx="22">
                  <c:v>39</c:v>
                </c:pt>
                <c:pt idx="23">
                  <c:v>39</c:v>
                </c:pt>
                <c:pt idx="24">
                  <c:v>40</c:v>
                </c:pt>
                <c:pt idx="25">
                  <c:v>40</c:v>
                </c:pt>
                <c:pt idx="26">
                  <c:v>40</c:v>
                </c:pt>
                <c:pt idx="27">
                  <c:v>40</c:v>
                </c:pt>
                <c:pt idx="28">
                  <c:v>40</c:v>
                </c:pt>
                <c:pt idx="29">
                  <c:v>40</c:v>
                </c:pt>
                <c:pt idx="30">
                  <c:v>39</c:v>
                </c:pt>
                <c:pt idx="31">
                  <c:v>39</c:v>
                </c:pt>
                <c:pt idx="32">
                  <c:v>39</c:v>
                </c:pt>
                <c:pt idx="33">
                  <c:v>39</c:v>
                </c:pt>
                <c:pt idx="34">
                  <c:v>39</c:v>
                </c:pt>
                <c:pt idx="35">
                  <c:v>39</c:v>
                </c:pt>
                <c:pt idx="36">
                  <c:v>39</c:v>
                </c:pt>
                <c:pt idx="37">
                  <c:v>39</c:v>
                </c:pt>
                <c:pt idx="38">
                  <c:v>39</c:v>
                </c:pt>
                <c:pt idx="39">
                  <c:v>39</c:v>
                </c:pt>
                <c:pt idx="40">
                  <c:v>39</c:v>
                </c:pt>
                <c:pt idx="41">
                  <c:v>39</c:v>
                </c:pt>
              </c:numCache>
            </c:numRef>
          </c:val>
          <c:extLst>
            <c:ext xmlns:c16="http://schemas.microsoft.com/office/drawing/2014/chart" uri="{C3380CC4-5D6E-409C-BE32-E72D297353CC}">
              <c16:uniqueId val="{00000002-57DA-47AC-9E0D-08130A7033CE}"/>
            </c:ext>
          </c:extLst>
        </c:ser>
        <c:ser>
          <c:idx val="3"/>
          <c:order val="3"/>
          <c:tx>
            <c:strRef>
              <c:f>'IAP Current'!$E$1</c:f>
              <c:strCache>
                <c:ptCount val="1"/>
                <c:pt idx="0">
                  <c:v>72</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Current'!$E$2:$E$43</c:f>
              <c:numCache>
                <c:formatCode>General</c:formatCode>
                <c:ptCount val="42"/>
                <c:pt idx="0">
                  <c:v>34</c:v>
                </c:pt>
                <c:pt idx="1">
                  <c:v>34</c:v>
                </c:pt>
                <c:pt idx="2">
                  <c:v>34</c:v>
                </c:pt>
                <c:pt idx="3">
                  <c:v>32</c:v>
                </c:pt>
                <c:pt idx="4">
                  <c:v>32</c:v>
                </c:pt>
                <c:pt idx="5">
                  <c:v>32</c:v>
                </c:pt>
                <c:pt idx="6">
                  <c:v>32</c:v>
                </c:pt>
                <c:pt idx="7">
                  <c:v>40</c:v>
                </c:pt>
                <c:pt idx="8">
                  <c:v>43</c:v>
                </c:pt>
                <c:pt idx="9">
                  <c:v>43</c:v>
                </c:pt>
                <c:pt idx="10">
                  <c:v>42</c:v>
                </c:pt>
                <c:pt idx="11">
                  <c:v>42</c:v>
                </c:pt>
                <c:pt idx="12">
                  <c:v>42</c:v>
                </c:pt>
                <c:pt idx="13">
                  <c:v>42</c:v>
                </c:pt>
                <c:pt idx="14">
                  <c:v>45</c:v>
                </c:pt>
                <c:pt idx="15">
                  <c:v>46</c:v>
                </c:pt>
                <c:pt idx="16">
                  <c:v>48</c:v>
                </c:pt>
                <c:pt idx="17">
                  <c:v>50</c:v>
                </c:pt>
                <c:pt idx="18">
                  <c:v>55</c:v>
                </c:pt>
                <c:pt idx="19">
                  <c:v>55</c:v>
                </c:pt>
                <c:pt idx="20">
                  <c:v>54</c:v>
                </c:pt>
                <c:pt idx="21">
                  <c:v>50</c:v>
                </c:pt>
                <c:pt idx="22">
                  <c:v>48</c:v>
                </c:pt>
                <c:pt idx="23">
                  <c:v>49</c:v>
                </c:pt>
                <c:pt idx="24">
                  <c:v>50</c:v>
                </c:pt>
                <c:pt idx="25">
                  <c:v>49</c:v>
                </c:pt>
                <c:pt idx="26">
                  <c:v>48</c:v>
                </c:pt>
                <c:pt idx="27">
                  <c:v>48</c:v>
                </c:pt>
                <c:pt idx="28">
                  <c:v>48</c:v>
                </c:pt>
                <c:pt idx="29">
                  <c:v>48</c:v>
                </c:pt>
                <c:pt idx="30">
                  <c:v>48</c:v>
                </c:pt>
                <c:pt idx="31">
                  <c:v>50</c:v>
                </c:pt>
                <c:pt idx="32">
                  <c:v>51</c:v>
                </c:pt>
                <c:pt idx="33">
                  <c:v>52</c:v>
                </c:pt>
                <c:pt idx="34">
                  <c:v>52</c:v>
                </c:pt>
                <c:pt idx="35">
                  <c:v>52</c:v>
                </c:pt>
                <c:pt idx="36">
                  <c:v>52</c:v>
                </c:pt>
                <c:pt idx="37">
                  <c:v>52</c:v>
                </c:pt>
                <c:pt idx="38">
                  <c:v>52</c:v>
                </c:pt>
                <c:pt idx="39">
                  <c:v>52</c:v>
                </c:pt>
                <c:pt idx="40">
                  <c:v>52</c:v>
                </c:pt>
                <c:pt idx="41">
                  <c:v>52</c:v>
                </c:pt>
              </c:numCache>
            </c:numRef>
          </c:val>
          <c:extLst>
            <c:ext xmlns:c16="http://schemas.microsoft.com/office/drawing/2014/chart" uri="{C3380CC4-5D6E-409C-BE32-E72D297353CC}">
              <c16:uniqueId val="{00000003-57DA-47AC-9E0D-08130A7033CE}"/>
            </c:ext>
          </c:extLst>
        </c:ser>
        <c:ser>
          <c:idx val="4"/>
          <c:order val="4"/>
          <c:tx>
            <c:strRef>
              <c:f>'IAP Current'!$F$1</c:f>
              <c:strCache>
                <c:ptCount val="1"/>
                <c:pt idx="0">
                  <c:v>68</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Current'!$F$2:$F$43</c:f>
              <c:numCache>
                <c:formatCode>General</c:formatCode>
                <c:ptCount val="42"/>
                <c:pt idx="0">
                  <c:v>39</c:v>
                </c:pt>
                <c:pt idx="1">
                  <c:v>39</c:v>
                </c:pt>
                <c:pt idx="2">
                  <c:v>39</c:v>
                </c:pt>
                <c:pt idx="3">
                  <c:v>39</c:v>
                </c:pt>
                <c:pt idx="4">
                  <c:v>39</c:v>
                </c:pt>
                <c:pt idx="5">
                  <c:v>38</c:v>
                </c:pt>
                <c:pt idx="6">
                  <c:v>39</c:v>
                </c:pt>
                <c:pt idx="7">
                  <c:v>43</c:v>
                </c:pt>
                <c:pt idx="8">
                  <c:v>43</c:v>
                </c:pt>
                <c:pt idx="9">
                  <c:v>43</c:v>
                </c:pt>
                <c:pt idx="10">
                  <c:v>43</c:v>
                </c:pt>
                <c:pt idx="11">
                  <c:v>43</c:v>
                </c:pt>
                <c:pt idx="12">
                  <c:v>45</c:v>
                </c:pt>
                <c:pt idx="13">
                  <c:v>46</c:v>
                </c:pt>
                <c:pt idx="14">
                  <c:v>50</c:v>
                </c:pt>
                <c:pt idx="15">
                  <c:v>50</c:v>
                </c:pt>
                <c:pt idx="16">
                  <c:v>52</c:v>
                </c:pt>
                <c:pt idx="17">
                  <c:v>55</c:v>
                </c:pt>
                <c:pt idx="18">
                  <c:v>61</c:v>
                </c:pt>
                <c:pt idx="19">
                  <c:v>61</c:v>
                </c:pt>
                <c:pt idx="20">
                  <c:v>57</c:v>
                </c:pt>
                <c:pt idx="21">
                  <c:v>54</c:v>
                </c:pt>
                <c:pt idx="22">
                  <c:v>52</c:v>
                </c:pt>
                <c:pt idx="23">
                  <c:v>51</c:v>
                </c:pt>
                <c:pt idx="24">
                  <c:v>51</c:v>
                </c:pt>
                <c:pt idx="25">
                  <c:v>51</c:v>
                </c:pt>
                <c:pt idx="26">
                  <c:v>51</c:v>
                </c:pt>
                <c:pt idx="27">
                  <c:v>51</c:v>
                </c:pt>
                <c:pt idx="28">
                  <c:v>51</c:v>
                </c:pt>
                <c:pt idx="29">
                  <c:v>52</c:v>
                </c:pt>
                <c:pt idx="30">
                  <c:v>52</c:v>
                </c:pt>
                <c:pt idx="31">
                  <c:v>57</c:v>
                </c:pt>
                <c:pt idx="32">
                  <c:v>58</c:v>
                </c:pt>
                <c:pt idx="33">
                  <c:v>61</c:v>
                </c:pt>
                <c:pt idx="34">
                  <c:v>61</c:v>
                </c:pt>
                <c:pt idx="35">
                  <c:v>61</c:v>
                </c:pt>
                <c:pt idx="36">
                  <c:v>61</c:v>
                </c:pt>
                <c:pt idx="37">
                  <c:v>61</c:v>
                </c:pt>
                <c:pt idx="38">
                  <c:v>61</c:v>
                </c:pt>
                <c:pt idx="39">
                  <c:v>61</c:v>
                </c:pt>
                <c:pt idx="40">
                  <c:v>61</c:v>
                </c:pt>
                <c:pt idx="41">
                  <c:v>61</c:v>
                </c:pt>
              </c:numCache>
            </c:numRef>
          </c:val>
          <c:extLst>
            <c:ext xmlns:c16="http://schemas.microsoft.com/office/drawing/2014/chart" uri="{C3380CC4-5D6E-409C-BE32-E72D297353CC}">
              <c16:uniqueId val="{00000004-57DA-47AC-9E0D-08130A7033CE}"/>
            </c:ext>
          </c:extLst>
        </c:ser>
        <c:ser>
          <c:idx val="5"/>
          <c:order val="5"/>
          <c:tx>
            <c:strRef>
              <c:f>'IAP Current'!$G$1</c:f>
              <c:strCache>
                <c:ptCount val="1"/>
                <c:pt idx="0">
                  <c:v>64</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Current'!$G$2:$G$43</c:f>
              <c:numCache>
                <c:formatCode>General</c:formatCode>
                <c:ptCount val="42"/>
                <c:pt idx="0">
                  <c:v>44</c:v>
                </c:pt>
                <c:pt idx="1">
                  <c:v>44</c:v>
                </c:pt>
                <c:pt idx="2">
                  <c:v>44</c:v>
                </c:pt>
                <c:pt idx="3">
                  <c:v>45</c:v>
                </c:pt>
                <c:pt idx="4">
                  <c:v>43</c:v>
                </c:pt>
                <c:pt idx="5">
                  <c:v>43</c:v>
                </c:pt>
                <c:pt idx="6">
                  <c:v>46</c:v>
                </c:pt>
                <c:pt idx="7">
                  <c:v>47</c:v>
                </c:pt>
                <c:pt idx="8">
                  <c:v>47</c:v>
                </c:pt>
                <c:pt idx="9">
                  <c:v>47</c:v>
                </c:pt>
                <c:pt idx="10">
                  <c:v>46</c:v>
                </c:pt>
                <c:pt idx="11">
                  <c:v>47</c:v>
                </c:pt>
                <c:pt idx="12">
                  <c:v>48</c:v>
                </c:pt>
                <c:pt idx="13">
                  <c:v>49</c:v>
                </c:pt>
                <c:pt idx="14">
                  <c:v>51</c:v>
                </c:pt>
                <c:pt idx="15">
                  <c:v>52</c:v>
                </c:pt>
                <c:pt idx="16">
                  <c:v>55</c:v>
                </c:pt>
                <c:pt idx="17">
                  <c:v>61</c:v>
                </c:pt>
                <c:pt idx="18">
                  <c:v>64</c:v>
                </c:pt>
                <c:pt idx="19">
                  <c:v>63</c:v>
                </c:pt>
                <c:pt idx="20">
                  <c:v>62</c:v>
                </c:pt>
                <c:pt idx="21">
                  <c:v>60</c:v>
                </c:pt>
                <c:pt idx="22">
                  <c:v>58</c:v>
                </c:pt>
                <c:pt idx="23">
                  <c:v>58</c:v>
                </c:pt>
                <c:pt idx="24">
                  <c:v>58</c:v>
                </c:pt>
                <c:pt idx="25">
                  <c:v>58</c:v>
                </c:pt>
                <c:pt idx="26">
                  <c:v>58</c:v>
                </c:pt>
                <c:pt idx="27">
                  <c:v>58</c:v>
                </c:pt>
                <c:pt idx="28">
                  <c:v>58</c:v>
                </c:pt>
                <c:pt idx="29">
                  <c:v>58</c:v>
                </c:pt>
                <c:pt idx="30">
                  <c:v>61</c:v>
                </c:pt>
                <c:pt idx="31">
                  <c:v>61</c:v>
                </c:pt>
                <c:pt idx="32">
                  <c:v>62</c:v>
                </c:pt>
                <c:pt idx="33">
                  <c:v>65</c:v>
                </c:pt>
                <c:pt idx="34">
                  <c:v>65</c:v>
                </c:pt>
                <c:pt idx="35">
                  <c:v>63</c:v>
                </c:pt>
                <c:pt idx="36">
                  <c:v>63</c:v>
                </c:pt>
                <c:pt idx="37">
                  <c:v>63</c:v>
                </c:pt>
                <c:pt idx="38">
                  <c:v>63</c:v>
                </c:pt>
                <c:pt idx="39">
                  <c:v>63</c:v>
                </c:pt>
                <c:pt idx="40">
                  <c:v>63</c:v>
                </c:pt>
                <c:pt idx="41">
                  <c:v>63</c:v>
                </c:pt>
              </c:numCache>
            </c:numRef>
          </c:val>
          <c:extLst>
            <c:ext xmlns:c16="http://schemas.microsoft.com/office/drawing/2014/chart" uri="{C3380CC4-5D6E-409C-BE32-E72D297353CC}">
              <c16:uniqueId val="{00000005-57DA-47AC-9E0D-08130A7033CE}"/>
            </c:ext>
          </c:extLst>
        </c:ser>
        <c:ser>
          <c:idx val="6"/>
          <c:order val="6"/>
          <c:tx>
            <c:strRef>
              <c:f>'IAP Current'!$H$1</c:f>
              <c:strCache>
                <c:ptCount val="1"/>
                <c:pt idx="0">
                  <c:v>60</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Current'!$H$2:$H$43</c:f>
              <c:numCache>
                <c:formatCode>General</c:formatCode>
                <c:ptCount val="42"/>
                <c:pt idx="0">
                  <c:v>50</c:v>
                </c:pt>
                <c:pt idx="1">
                  <c:v>50</c:v>
                </c:pt>
                <c:pt idx="2">
                  <c:v>48</c:v>
                </c:pt>
                <c:pt idx="3">
                  <c:v>48</c:v>
                </c:pt>
                <c:pt idx="4">
                  <c:v>48</c:v>
                </c:pt>
                <c:pt idx="5">
                  <c:v>47</c:v>
                </c:pt>
                <c:pt idx="6">
                  <c:v>46</c:v>
                </c:pt>
                <c:pt idx="7">
                  <c:v>47</c:v>
                </c:pt>
                <c:pt idx="8">
                  <c:v>47</c:v>
                </c:pt>
                <c:pt idx="9">
                  <c:v>46</c:v>
                </c:pt>
                <c:pt idx="10">
                  <c:v>46</c:v>
                </c:pt>
                <c:pt idx="11">
                  <c:v>48</c:v>
                </c:pt>
                <c:pt idx="12">
                  <c:v>49</c:v>
                </c:pt>
                <c:pt idx="13">
                  <c:v>50</c:v>
                </c:pt>
                <c:pt idx="14">
                  <c:v>52</c:v>
                </c:pt>
                <c:pt idx="15">
                  <c:v>55</c:v>
                </c:pt>
                <c:pt idx="16">
                  <c:v>62</c:v>
                </c:pt>
                <c:pt idx="17">
                  <c:v>65</c:v>
                </c:pt>
                <c:pt idx="18">
                  <c:v>67</c:v>
                </c:pt>
                <c:pt idx="19">
                  <c:v>66</c:v>
                </c:pt>
                <c:pt idx="20">
                  <c:v>64</c:v>
                </c:pt>
                <c:pt idx="21">
                  <c:v>62</c:v>
                </c:pt>
                <c:pt idx="22">
                  <c:v>61</c:v>
                </c:pt>
                <c:pt idx="23">
                  <c:v>62</c:v>
                </c:pt>
                <c:pt idx="24">
                  <c:v>63</c:v>
                </c:pt>
                <c:pt idx="25">
                  <c:v>63</c:v>
                </c:pt>
                <c:pt idx="26">
                  <c:v>63</c:v>
                </c:pt>
                <c:pt idx="27">
                  <c:v>63</c:v>
                </c:pt>
                <c:pt idx="28">
                  <c:v>63</c:v>
                </c:pt>
                <c:pt idx="29">
                  <c:v>62</c:v>
                </c:pt>
                <c:pt idx="30">
                  <c:v>63</c:v>
                </c:pt>
                <c:pt idx="31">
                  <c:v>63</c:v>
                </c:pt>
                <c:pt idx="32">
                  <c:v>65</c:v>
                </c:pt>
                <c:pt idx="33">
                  <c:v>67</c:v>
                </c:pt>
                <c:pt idx="34">
                  <c:v>67</c:v>
                </c:pt>
                <c:pt idx="35">
                  <c:v>66</c:v>
                </c:pt>
                <c:pt idx="36">
                  <c:v>66</c:v>
                </c:pt>
                <c:pt idx="37">
                  <c:v>66</c:v>
                </c:pt>
                <c:pt idx="38">
                  <c:v>66</c:v>
                </c:pt>
                <c:pt idx="39">
                  <c:v>66</c:v>
                </c:pt>
                <c:pt idx="40">
                  <c:v>66</c:v>
                </c:pt>
                <c:pt idx="41">
                  <c:v>66</c:v>
                </c:pt>
              </c:numCache>
            </c:numRef>
          </c:val>
          <c:extLst>
            <c:ext xmlns:c16="http://schemas.microsoft.com/office/drawing/2014/chart" uri="{C3380CC4-5D6E-409C-BE32-E72D297353CC}">
              <c16:uniqueId val="{00000006-57DA-47AC-9E0D-08130A7033CE}"/>
            </c:ext>
          </c:extLst>
        </c:ser>
        <c:ser>
          <c:idx val="7"/>
          <c:order val="7"/>
          <c:tx>
            <c:strRef>
              <c:f>'IAP Current'!$I$1</c:f>
              <c:strCache>
                <c:ptCount val="1"/>
                <c:pt idx="0">
                  <c:v>56</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Current'!$I$2:$I$43</c:f>
              <c:numCache>
                <c:formatCode>General</c:formatCode>
                <c:ptCount val="42"/>
                <c:pt idx="0">
                  <c:v>55</c:v>
                </c:pt>
                <c:pt idx="1">
                  <c:v>55</c:v>
                </c:pt>
                <c:pt idx="2">
                  <c:v>50</c:v>
                </c:pt>
                <c:pt idx="3">
                  <c:v>52</c:v>
                </c:pt>
                <c:pt idx="4">
                  <c:v>50</c:v>
                </c:pt>
                <c:pt idx="5">
                  <c:v>51</c:v>
                </c:pt>
                <c:pt idx="6">
                  <c:v>50</c:v>
                </c:pt>
                <c:pt idx="7">
                  <c:v>48</c:v>
                </c:pt>
                <c:pt idx="8">
                  <c:v>47</c:v>
                </c:pt>
                <c:pt idx="9">
                  <c:v>47</c:v>
                </c:pt>
                <c:pt idx="10">
                  <c:v>48</c:v>
                </c:pt>
                <c:pt idx="11">
                  <c:v>50</c:v>
                </c:pt>
                <c:pt idx="12">
                  <c:v>50</c:v>
                </c:pt>
                <c:pt idx="13">
                  <c:v>51</c:v>
                </c:pt>
                <c:pt idx="14">
                  <c:v>57</c:v>
                </c:pt>
                <c:pt idx="15">
                  <c:v>61</c:v>
                </c:pt>
                <c:pt idx="16">
                  <c:v>65</c:v>
                </c:pt>
                <c:pt idx="17">
                  <c:v>69</c:v>
                </c:pt>
                <c:pt idx="18">
                  <c:v>71</c:v>
                </c:pt>
                <c:pt idx="19">
                  <c:v>70</c:v>
                </c:pt>
                <c:pt idx="20">
                  <c:v>67</c:v>
                </c:pt>
                <c:pt idx="21">
                  <c:v>65</c:v>
                </c:pt>
                <c:pt idx="22">
                  <c:v>64</c:v>
                </c:pt>
                <c:pt idx="23">
                  <c:v>64</c:v>
                </c:pt>
                <c:pt idx="24">
                  <c:v>65</c:v>
                </c:pt>
                <c:pt idx="25">
                  <c:v>67</c:v>
                </c:pt>
                <c:pt idx="26">
                  <c:v>68</c:v>
                </c:pt>
                <c:pt idx="27">
                  <c:v>69</c:v>
                </c:pt>
                <c:pt idx="28">
                  <c:v>69</c:v>
                </c:pt>
                <c:pt idx="29">
                  <c:v>67</c:v>
                </c:pt>
                <c:pt idx="30">
                  <c:v>67</c:v>
                </c:pt>
                <c:pt idx="31">
                  <c:v>67</c:v>
                </c:pt>
                <c:pt idx="32">
                  <c:v>69</c:v>
                </c:pt>
                <c:pt idx="33">
                  <c:v>70</c:v>
                </c:pt>
                <c:pt idx="34">
                  <c:v>70</c:v>
                </c:pt>
                <c:pt idx="35">
                  <c:v>69</c:v>
                </c:pt>
                <c:pt idx="36">
                  <c:v>69</c:v>
                </c:pt>
                <c:pt idx="37">
                  <c:v>69</c:v>
                </c:pt>
                <c:pt idx="38">
                  <c:v>69</c:v>
                </c:pt>
                <c:pt idx="39">
                  <c:v>69</c:v>
                </c:pt>
                <c:pt idx="40">
                  <c:v>69</c:v>
                </c:pt>
                <c:pt idx="41">
                  <c:v>69</c:v>
                </c:pt>
              </c:numCache>
            </c:numRef>
          </c:val>
          <c:extLst>
            <c:ext xmlns:c16="http://schemas.microsoft.com/office/drawing/2014/chart" uri="{C3380CC4-5D6E-409C-BE32-E72D297353CC}">
              <c16:uniqueId val="{00000007-57DA-47AC-9E0D-08130A7033CE}"/>
            </c:ext>
          </c:extLst>
        </c:ser>
        <c:ser>
          <c:idx val="8"/>
          <c:order val="8"/>
          <c:tx>
            <c:strRef>
              <c:f>'IAP Current'!$J$1</c:f>
              <c:strCache>
                <c:ptCount val="1"/>
                <c:pt idx="0">
                  <c:v>52</c:v>
                </c:pt>
              </c:strCache>
            </c:strRef>
          </c:tx>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Current'!$J$2:$J$43</c:f>
              <c:numCache>
                <c:formatCode>General</c:formatCode>
                <c:ptCount val="42"/>
                <c:pt idx="0">
                  <c:v>67</c:v>
                </c:pt>
                <c:pt idx="1">
                  <c:v>67</c:v>
                </c:pt>
                <c:pt idx="2">
                  <c:v>60</c:v>
                </c:pt>
                <c:pt idx="3">
                  <c:v>61</c:v>
                </c:pt>
                <c:pt idx="4">
                  <c:v>54</c:v>
                </c:pt>
                <c:pt idx="5">
                  <c:v>55</c:v>
                </c:pt>
                <c:pt idx="6">
                  <c:v>57</c:v>
                </c:pt>
                <c:pt idx="7">
                  <c:v>54</c:v>
                </c:pt>
                <c:pt idx="8">
                  <c:v>49</c:v>
                </c:pt>
                <c:pt idx="9">
                  <c:v>49</c:v>
                </c:pt>
                <c:pt idx="10">
                  <c:v>50</c:v>
                </c:pt>
                <c:pt idx="11">
                  <c:v>50</c:v>
                </c:pt>
                <c:pt idx="12">
                  <c:v>52</c:v>
                </c:pt>
                <c:pt idx="13">
                  <c:v>52</c:v>
                </c:pt>
                <c:pt idx="14">
                  <c:v>58</c:v>
                </c:pt>
                <c:pt idx="15">
                  <c:v>66</c:v>
                </c:pt>
                <c:pt idx="16">
                  <c:v>70</c:v>
                </c:pt>
                <c:pt idx="17">
                  <c:v>72</c:v>
                </c:pt>
                <c:pt idx="18">
                  <c:v>75</c:v>
                </c:pt>
                <c:pt idx="19">
                  <c:v>72</c:v>
                </c:pt>
                <c:pt idx="20">
                  <c:v>69</c:v>
                </c:pt>
                <c:pt idx="21">
                  <c:v>67</c:v>
                </c:pt>
                <c:pt idx="22">
                  <c:v>67</c:v>
                </c:pt>
                <c:pt idx="23">
                  <c:v>67</c:v>
                </c:pt>
                <c:pt idx="24">
                  <c:v>68</c:v>
                </c:pt>
                <c:pt idx="25">
                  <c:v>70</c:v>
                </c:pt>
                <c:pt idx="26">
                  <c:v>72</c:v>
                </c:pt>
                <c:pt idx="27">
                  <c:v>74</c:v>
                </c:pt>
                <c:pt idx="28">
                  <c:v>71</c:v>
                </c:pt>
                <c:pt idx="29">
                  <c:v>71</c:v>
                </c:pt>
                <c:pt idx="30">
                  <c:v>71</c:v>
                </c:pt>
                <c:pt idx="31">
                  <c:v>71</c:v>
                </c:pt>
                <c:pt idx="32">
                  <c:v>71</c:v>
                </c:pt>
                <c:pt idx="33">
                  <c:v>74</c:v>
                </c:pt>
                <c:pt idx="34">
                  <c:v>74</c:v>
                </c:pt>
                <c:pt idx="35">
                  <c:v>71</c:v>
                </c:pt>
                <c:pt idx="36">
                  <c:v>71</c:v>
                </c:pt>
                <c:pt idx="37">
                  <c:v>71</c:v>
                </c:pt>
                <c:pt idx="38">
                  <c:v>71</c:v>
                </c:pt>
                <c:pt idx="39">
                  <c:v>71</c:v>
                </c:pt>
                <c:pt idx="40">
                  <c:v>71</c:v>
                </c:pt>
                <c:pt idx="41">
                  <c:v>71</c:v>
                </c:pt>
              </c:numCache>
            </c:numRef>
          </c:val>
          <c:extLst>
            <c:ext xmlns:c16="http://schemas.microsoft.com/office/drawing/2014/chart" uri="{C3380CC4-5D6E-409C-BE32-E72D297353CC}">
              <c16:uniqueId val="{00000008-57DA-47AC-9E0D-08130A7033CE}"/>
            </c:ext>
          </c:extLst>
        </c:ser>
        <c:ser>
          <c:idx val="9"/>
          <c:order val="9"/>
          <c:tx>
            <c:strRef>
              <c:f>'IAP Current'!$K$1</c:f>
              <c:strCache>
                <c:ptCount val="1"/>
                <c:pt idx="0">
                  <c:v>48</c:v>
                </c:pt>
              </c:strCache>
            </c:strRef>
          </c:tx>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Current'!$K$2:$K$43</c:f>
              <c:numCache>
                <c:formatCode>General</c:formatCode>
                <c:ptCount val="42"/>
                <c:pt idx="0">
                  <c:v>69</c:v>
                </c:pt>
                <c:pt idx="1">
                  <c:v>69</c:v>
                </c:pt>
                <c:pt idx="2">
                  <c:v>64</c:v>
                </c:pt>
                <c:pt idx="3">
                  <c:v>65</c:v>
                </c:pt>
                <c:pt idx="4">
                  <c:v>58</c:v>
                </c:pt>
                <c:pt idx="5">
                  <c:v>55</c:v>
                </c:pt>
                <c:pt idx="6">
                  <c:v>61</c:v>
                </c:pt>
                <c:pt idx="7">
                  <c:v>62</c:v>
                </c:pt>
                <c:pt idx="8">
                  <c:v>60</c:v>
                </c:pt>
                <c:pt idx="9">
                  <c:v>55</c:v>
                </c:pt>
                <c:pt idx="10">
                  <c:v>57</c:v>
                </c:pt>
                <c:pt idx="11">
                  <c:v>57</c:v>
                </c:pt>
                <c:pt idx="12">
                  <c:v>58</c:v>
                </c:pt>
                <c:pt idx="13">
                  <c:v>62</c:v>
                </c:pt>
                <c:pt idx="14">
                  <c:v>66</c:v>
                </c:pt>
                <c:pt idx="15">
                  <c:v>70</c:v>
                </c:pt>
                <c:pt idx="16">
                  <c:v>75</c:v>
                </c:pt>
                <c:pt idx="17">
                  <c:v>79</c:v>
                </c:pt>
                <c:pt idx="18">
                  <c:v>80</c:v>
                </c:pt>
                <c:pt idx="19">
                  <c:v>78</c:v>
                </c:pt>
                <c:pt idx="20">
                  <c:v>72</c:v>
                </c:pt>
                <c:pt idx="21">
                  <c:v>70</c:v>
                </c:pt>
                <c:pt idx="22">
                  <c:v>70</c:v>
                </c:pt>
                <c:pt idx="23">
                  <c:v>70</c:v>
                </c:pt>
                <c:pt idx="24">
                  <c:v>70</c:v>
                </c:pt>
                <c:pt idx="25">
                  <c:v>72</c:v>
                </c:pt>
                <c:pt idx="26">
                  <c:v>75</c:v>
                </c:pt>
                <c:pt idx="27">
                  <c:v>75</c:v>
                </c:pt>
                <c:pt idx="28">
                  <c:v>75</c:v>
                </c:pt>
                <c:pt idx="29">
                  <c:v>75</c:v>
                </c:pt>
                <c:pt idx="30">
                  <c:v>75</c:v>
                </c:pt>
                <c:pt idx="31">
                  <c:v>75</c:v>
                </c:pt>
                <c:pt idx="32">
                  <c:v>76</c:v>
                </c:pt>
                <c:pt idx="33">
                  <c:v>79</c:v>
                </c:pt>
                <c:pt idx="34">
                  <c:v>79</c:v>
                </c:pt>
                <c:pt idx="35">
                  <c:v>76</c:v>
                </c:pt>
                <c:pt idx="36">
                  <c:v>76</c:v>
                </c:pt>
                <c:pt idx="37">
                  <c:v>76</c:v>
                </c:pt>
                <c:pt idx="38">
                  <c:v>76</c:v>
                </c:pt>
                <c:pt idx="39">
                  <c:v>76</c:v>
                </c:pt>
                <c:pt idx="40">
                  <c:v>76</c:v>
                </c:pt>
                <c:pt idx="41">
                  <c:v>76</c:v>
                </c:pt>
              </c:numCache>
            </c:numRef>
          </c:val>
          <c:extLst>
            <c:ext xmlns:c16="http://schemas.microsoft.com/office/drawing/2014/chart" uri="{C3380CC4-5D6E-409C-BE32-E72D297353CC}">
              <c16:uniqueId val="{00000009-57DA-47AC-9E0D-08130A7033CE}"/>
            </c:ext>
          </c:extLst>
        </c:ser>
        <c:ser>
          <c:idx val="10"/>
          <c:order val="10"/>
          <c:tx>
            <c:strRef>
              <c:f>'IAP Current'!$L$1</c:f>
              <c:strCache>
                <c:ptCount val="1"/>
                <c:pt idx="0">
                  <c:v>44</c:v>
                </c:pt>
              </c:strCache>
            </c:strRef>
          </c:tx>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Current'!$L$2:$L$43</c:f>
              <c:numCache>
                <c:formatCode>General</c:formatCode>
                <c:ptCount val="42"/>
                <c:pt idx="0">
                  <c:v>74</c:v>
                </c:pt>
                <c:pt idx="1">
                  <c:v>74</c:v>
                </c:pt>
                <c:pt idx="2">
                  <c:v>69</c:v>
                </c:pt>
                <c:pt idx="3">
                  <c:v>68</c:v>
                </c:pt>
                <c:pt idx="4">
                  <c:v>64</c:v>
                </c:pt>
                <c:pt idx="5">
                  <c:v>61</c:v>
                </c:pt>
                <c:pt idx="6">
                  <c:v>64</c:v>
                </c:pt>
                <c:pt idx="7">
                  <c:v>67</c:v>
                </c:pt>
                <c:pt idx="8">
                  <c:v>65</c:v>
                </c:pt>
                <c:pt idx="9">
                  <c:v>61</c:v>
                </c:pt>
                <c:pt idx="10">
                  <c:v>61</c:v>
                </c:pt>
                <c:pt idx="11">
                  <c:v>62</c:v>
                </c:pt>
                <c:pt idx="12">
                  <c:v>64</c:v>
                </c:pt>
                <c:pt idx="13">
                  <c:v>66</c:v>
                </c:pt>
                <c:pt idx="14">
                  <c:v>70</c:v>
                </c:pt>
                <c:pt idx="15">
                  <c:v>75</c:v>
                </c:pt>
                <c:pt idx="16">
                  <c:v>80</c:v>
                </c:pt>
                <c:pt idx="17">
                  <c:v>83</c:v>
                </c:pt>
                <c:pt idx="18">
                  <c:v>84</c:v>
                </c:pt>
                <c:pt idx="19">
                  <c:v>80</c:v>
                </c:pt>
                <c:pt idx="20">
                  <c:v>76</c:v>
                </c:pt>
                <c:pt idx="21">
                  <c:v>74</c:v>
                </c:pt>
                <c:pt idx="22">
                  <c:v>72</c:v>
                </c:pt>
                <c:pt idx="23">
                  <c:v>72</c:v>
                </c:pt>
                <c:pt idx="24">
                  <c:v>74</c:v>
                </c:pt>
                <c:pt idx="25">
                  <c:v>75</c:v>
                </c:pt>
                <c:pt idx="26">
                  <c:v>78</c:v>
                </c:pt>
                <c:pt idx="27">
                  <c:v>79</c:v>
                </c:pt>
                <c:pt idx="28">
                  <c:v>79</c:v>
                </c:pt>
                <c:pt idx="29">
                  <c:v>79</c:v>
                </c:pt>
                <c:pt idx="30">
                  <c:v>79</c:v>
                </c:pt>
                <c:pt idx="31">
                  <c:v>79</c:v>
                </c:pt>
                <c:pt idx="32">
                  <c:v>80</c:v>
                </c:pt>
                <c:pt idx="33">
                  <c:v>82</c:v>
                </c:pt>
                <c:pt idx="34">
                  <c:v>82</c:v>
                </c:pt>
                <c:pt idx="35">
                  <c:v>82</c:v>
                </c:pt>
                <c:pt idx="36">
                  <c:v>82</c:v>
                </c:pt>
                <c:pt idx="37">
                  <c:v>82</c:v>
                </c:pt>
                <c:pt idx="38">
                  <c:v>82</c:v>
                </c:pt>
                <c:pt idx="39">
                  <c:v>82</c:v>
                </c:pt>
                <c:pt idx="40">
                  <c:v>82</c:v>
                </c:pt>
                <c:pt idx="41">
                  <c:v>82</c:v>
                </c:pt>
              </c:numCache>
            </c:numRef>
          </c:val>
          <c:extLst>
            <c:ext xmlns:c16="http://schemas.microsoft.com/office/drawing/2014/chart" uri="{C3380CC4-5D6E-409C-BE32-E72D297353CC}">
              <c16:uniqueId val="{0000000A-57DA-47AC-9E0D-08130A7033CE}"/>
            </c:ext>
          </c:extLst>
        </c:ser>
        <c:ser>
          <c:idx val="11"/>
          <c:order val="11"/>
          <c:tx>
            <c:strRef>
              <c:f>'IAP Current'!$M$1</c:f>
              <c:strCache>
                <c:ptCount val="1"/>
                <c:pt idx="0">
                  <c:v>40</c:v>
                </c:pt>
              </c:strCache>
            </c:strRef>
          </c:tx>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Current'!$M$2:$M$43</c:f>
              <c:numCache>
                <c:formatCode>General</c:formatCode>
                <c:ptCount val="42"/>
                <c:pt idx="0">
                  <c:v>74</c:v>
                </c:pt>
                <c:pt idx="1">
                  <c:v>74</c:v>
                </c:pt>
                <c:pt idx="2">
                  <c:v>70</c:v>
                </c:pt>
                <c:pt idx="3">
                  <c:v>71</c:v>
                </c:pt>
                <c:pt idx="4">
                  <c:v>69</c:v>
                </c:pt>
                <c:pt idx="5">
                  <c:v>66</c:v>
                </c:pt>
                <c:pt idx="6">
                  <c:v>68</c:v>
                </c:pt>
                <c:pt idx="7">
                  <c:v>71</c:v>
                </c:pt>
                <c:pt idx="8">
                  <c:v>67</c:v>
                </c:pt>
                <c:pt idx="9">
                  <c:v>64</c:v>
                </c:pt>
                <c:pt idx="10">
                  <c:v>63</c:v>
                </c:pt>
                <c:pt idx="11">
                  <c:v>65</c:v>
                </c:pt>
                <c:pt idx="12">
                  <c:v>67</c:v>
                </c:pt>
                <c:pt idx="13">
                  <c:v>70</c:v>
                </c:pt>
                <c:pt idx="14">
                  <c:v>75</c:v>
                </c:pt>
                <c:pt idx="15">
                  <c:v>80</c:v>
                </c:pt>
                <c:pt idx="16">
                  <c:v>85</c:v>
                </c:pt>
                <c:pt idx="17">
                  <c:v>87</c:v>
                </c:pt>
                <c:pt idx="18">
                  <c:v>88</c:v>
                </c:pt>
                <c:pt idx="19">
                  <c:v>85</c:v>
                </c:pt>
                <c:pt idx="20">
                  <c:v>80</c:v>
                </c:pt>
                <c:pt idx="21">
                  <c:v>78</c:v>
                </c:pt>
                <c:pt idx="22">
                  <c:v>76</c:v>
                </c:pt>
                <c:pt idx="23">
                  <c:v>75</c:v>
                </c:pt>
                <c:pt idx="24">
                  <c:v>75</c:v>
                </c:pt>
                <c:pt idx="25">
                  <c:v>79</c:v>
                </c:pt>
                <c:pt idx="26">
                  <c:v>82</c:v>
                </c:pt>
                <c:pt idx="27">
                  <c:v>82</c:v>
                </c:pt>
                <c:pt idx="28">
                  <c:v>82</c:v>
                </c:pt>
                <c:pt idx="29">
                  <c:v>82</c:v>
                </c:pt>
                <c:pt idx="30">
                  <c:v>82</c:v>
                </c:pt>
                <c:pt idx="31">
                  <c:v>82</c:v>
                </c:pt>
                <c:pt idx="32">
                  <c:v>84</c:v>
                </c:pt>
                <c:pt idx="33">
                  <c:v>84</c:v>
                </c:pt>
                <c:pt idx="34">
                  <c:v>84</c:v>
                </c:pt>
                <c:pt idx="35">
                  <c:v>84</c:v>
                </c:pt>
                <c:pt idx="36">
                  <c:v>84</c:v>
                </c:pt>
                <c:pt idx="37">
                  <c:v>84</c:v>
                </c:pt>
                <c:pt idx="38">
                  <c:v>84</c:v>
                </c:pt>
                <c:pt idx="39">
                  <c:v>84</c:v>
                </c:pt>
                <c:pt idx="40">
                  <c:v>84</c:v>
                </c:pt>
                <c:pt idx="41">
                  <c:v>84</c:v>
                </c:pt>
              </c:numCache>
            </c:numRef>
          </c:val>
          <c:extLst>
            <c:ext xmlns:c16="http://schemas.microsoft.com/office/drawing/2014/chart" uri="{C3380CC4-5D6E-409C-BE32-E72D297353CC}">
              <c16:uniqueId val="{0000000B-57DA-47AC-9E0D-08130A7033CE}"/>
            </c:ext>
          </c:extLst>
        </c:ser>
        <c:ser>
          <c:idx val="12"/>
          <c:order val="12"/>
          <c:tx>
            <c:strRef>
              <c:f>'IAP Current'!$N$1</c:f>
              <c:strCache>
                <c:ptCount val="1"/>
                <c:pt idx="0">
                  <c:v>36</c:v>
                </c:pt>
              </c:strCache>
            </c:strRef>
          </c:tx>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Current'!$N$2:$N$43</c:f>
              <c:numCache>
                <c:formatCode>General</c:formatCode>
                <c:ptCount val="42"/>
                <c:pt idx="0">
                  <c:v>76</c:v>
                </c:pt>
                <c:pt idx="1">
                  <c:v>76</c:v>
                </c:pt>
                <c:pt idx="2">
                  <c:v>78</c:v>
                </c:pt>
                <c:pt idx="3">
                  <c:v>72</c:v>
                </c:pt>
                <c:pt idx="4">
                  <c:v>71</c:v>
                </c:pt>
                <c:pt idx="5">
                  <c:v>72</c:v>
                </c:pt>
                <c:pt idx="6">
                  <c:v>74</c:v>
                </c:pt>
                <c:pt idx="7">
                  <c:v>74</c:v>
                </c:pt>
                <c:pt idx="8">
                  <c:v>72</c:v>
                </c:pt>
                <c:pt idx="9">
                  <c:v>68</c:v>
                </c:pt>
                <c:pt idx="10">
                  <c:v>66</c:v>
                </c:pt>
                <c:pt idx="11">
                  <c:v>68</c:v>
                </c:pt>
                <c:pt idx="12">
                  <c:v>70</c:v>
                </c:pt>
                <c:pt idx="13">
                  <c:v>75</c:v>
                </c:pt>
                <c:pt idx="14">
                  <c:v>80</c:v>
                </c:pt>
                <c:pt idx="15">
                  <c:v>84</c:v>
                </c:pt>
                <c:pt idx="16">
                  <c:v>88</c:v>
                </c:pt>
                <c:pt idx="17">
                  <c:v>91</c:v>
                </c:pt>
                <c:pt idx="18">
                  <c:v>92</c:v>
                </c:pt>
                <c:pt idx="19">
                  <c:v>88</c:v>
                </c:pt>
                <c:pt idx="20">
                  <c:v>83</c:v>
                </c:pt>
                <c:pt idx="21">
                  <c:v>82</c:v>
                </c:pt>
                <c:pt idx="22">
                  <c:v>82</c:v>
                </c:pt>
                <c:pt idx="23">
                  <c:v>80</c:v>
                </c:pt>
                <c:pt idx="24">
                  <c:v>79</c:v>
                </c:pt>
                <c:pt idx="25">
                  <c:v>83</c:v>
                </c:pt>
                <c:pt idx="26">
                  <c:v>85</c:v>
                </c:pt>
                <c:pt idx="27">
                  <c:v>86</c:v>
                </c:pt>
                <c:pt idx="28">
                  <c:v>86</c:v>
                </c:pt>
                <c:pt idx="29">
                  <c:v>85</c:v>
                </c:pt>
                <c:pt idx="30">
                  <c:v>85</c:v>
                </c:pt>
                <c:pt idx="31">
                  <c:v>85</c:v>
                </c:pt>
                <c:pt idx="32">
                  <c:v>86</c:v>
                </c:pt>
                <c:pt idx="33">
                  <c:v>86</c:v>
                </c:pt>
                <c:pt idx="34">
                  <c:v>86</c:v>
                </c:pt>
                <c:pt idx="35">
                  <c:v>86</c:v>
                </c:pt>
                <c:pt idx="36">
                  <c:v>86</c:v>
                </c:pt>
                <c:pt idx="37">
                  <c:v>86</c:v>
                </c:pt>
                <c:pt idx="38">
                  <c:v>86</c:v>
                </c:pt>
                <c:pt idx="39">
                  <c:v>86</c:v>
                </c:pt>
                <c:pt idx="40">
                  <c:v>86</c:v>
                </c:pt>
                <c:pt idx="41">
                  <c:v>86</c:v>
                </c:pt>
              </c:numCache>
            </c:numRef>
          </c:val>
          <c:extLst>
            <c:ext xmlns:c16="http://schemas.microsoft.com/office/drawing/2014/chart" uri="{C3380CC4-5D6E-409C-BE32-E72D297353CC}">
              <c16:uniqueId val="{0000000C-57DA-47AC-9E0D-08130A7033CE}"/>
            </c:ext>
          </c:extLst>
        </c:ser>
        <c:ser>
          <c:idx val="13"/>
          <c:order val="13"/>
          <c:tx>
            <c:strRef>
              <c:f>'IAP Current'!$O$1</c:f>
              <c:strCache>
                <c:ptCount val="1"/>
                <c:pt idx="0">
                  <c:v>32</c:v>
                </c:pt>
              </c:strCache>
            </c:strRef>
          </c:tx>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Current'!$O$2:$O$43</c:f>
              <c:numCache>
                <c:formatCode>General</c:formatCode>
                <c:ptCount val="42"/>
                <c:pt idx="0">
                  <c:v>82</c:v>
                </c:pt>
                <c:pt idx="1">
                  <c:v>82</c:v>
                </c:pt>
                <c:pt idx="2">
                  <c:v>80</c:v>
                </c:pt>
                <c:pt idx="3">
                  <c:v>76</c:v>
                </c:pt>
                <c:pt idx="4">
                  <c:v>75</c:v>
                </c:pt>
                <c:pt idx="5">
                  <c:v>76</c:v>
                </c:pt>
                <c:pt idx="6">
                  <c:v>76</c:v>
                </c:pt>
                <c:pt idx="7">
                  <c:v>80</c:v>
                </c:pt>
                <c:pt idx="8">
                  <c:v>76</c:v>
                </c:pt>
                <c:pt idx="9">
                  <c:v>71</c:v>
                </c:pt>
                <c:pt idx="10">
                  <c:v>69</c:v>
                </c:pt>
                <c:pt idx="11">
                  <c:v>71</c:v>
                </c:pt>
                <c:pt idx="12">
                  <c:v>74</c:v>
                </c:pt>
                <c:pt idx="13">
                  <c:v>79</c:v>
                </c:pt>
                <c:pt idx="14">
                  <c:v>84</c:v>
                </c:pt>
                <c:pt idx="15">
                  <c:v>88</c:v>
                </c:pt>
                <c:pt idx="16">
                  <c:v>92</c:v>
                </c:pt>
                <c:pt idx="17">
                  <c:v>94</c:v>
                </c:pt>
                <c:pt idx="18">
                  <c:v>94</c:v>
                </c:pt>
                <c:pt idx="19">
                  <c:v>92</c:v>
                </c:pt>
                <c:pt idx="20">
                  <c:v>88</c:v>
                </c:pt>
                <c:pt idx="21">
                  <c:v>85</c:v>
                </c:pt>
                <c:pt idx="22">
                  <c:v>84</c:v>
                </c:pt>
                <c:pt idx="23">
                  <c:v>83</c:v>
                </c:pt>
                <c:pt idx="24">
                  <c:v>83</c:v>
                </c:pt>
                <c:pt idx="25">
                  <c:v>87</c:v>
                </c:pt>
                <c:pt idx="26">
                  <c:v>90</c:v>
                </c:pt>
                <c:pt idx="27">
                  <c:v>90</c:v>
                </c:pt>
                <c:pt idx="28">
                  <c:v>89</c:v>
                </c:pt>
                <c:pt idx="29">
                  <c:v>89</c:v>
                </c:pt>
                <c:pt idx="30">
                  <c:v>89</c:v>
                </c:pt>
                <c:pt idx="31">
                  <c:v>88</c:v>
                </c:pt>
                <c:pt idx="32">
                  <c:v>89</c:v>
                </c:pt>
                <c:pt idx="33">
                  <c:v>89</c:v>
                </c:pt>
                <c:pt idx="34">
                  <c:v>89</c:v>
                </c:pt>
                <c:pt idx="35">
                  <c:v>90</c:v>
                </c:pt>
                <c:pt idx="36">
                  <c:v>90</c:v>
                </c:pt>
                <c:pt idx="37">
                  <c:v>90</c:v>
                </c:pt>
                <c:pt idx="38">
                  <c:v>90</c:v>
                </c:pt>
                <c:pt idx="39">
                  <c:v>90</c:v>
                </c:pt>
                <c:pt idx="40">
                  <c:v>90</c:v>
                </c:pt>
                <c:pt idx="41">
                  <c:v>90</c:v>
                </c:pt>
              </c:numCache>
            </c:numRef>
          </c:val>
          <c:extLst>
            <c:ext xmlns:c16="http://schemas.microsoft.com/office/drawing/2014/chart" uri="{C3380CC4-5D6E-409C-BE32-E72D297353CC}">
              <c16:uniqueId val="{0000000D-57DA-47AC-9E0D-08130A7033CE}"/>
            </c:ext>
          </c:extLst>
        </c:ser>
        <c:ser>
          <c:idx val="14"/>
          <c:order val="14"/>
          <c:tx>
            <c:strRef>
              <c:f>'IAP Current'!$P$1</c:f>
              <c:strCache>
                <c:ptCount val="1"/>
                <c:pt idx="0">
                  <c:v>24</c:v>
                </c:pt>
              </c:strCache>
            </c:strRef>
          </c:tx>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Current'!$P$2:$P$43</c:f>
              <c:numCache>
                <c:formatCode>General</c:formatCode>
                <c:ptCount val="42"/>
                <c:pt idx="0">
                  <c:v>89</c:v>
                </c:pt>
                <c:pt idx="1">
                  <c:v>89</c:v>
                </c:pt>
                <c:pt idx="2">
                  <c:v>85</c:v>
                </c:pt>
                <c:pt idx="3">
                  <c:v>82</c:v>
                </c:pt>
                <c:pt idx="4">
                  <c:v>82</c:v>
                </c:pt>
                <c:pt idx="5">
                  <c:v>83</c:v>
                </c:pt>
                <c:pt idx="6">
                  <c:v>83</c:v>
                </c:pt>
                <c:pt idx="7">
                  <c:v>84</c:v>
                </c:pt>
                <c:pt idx="8">
                  <c:v>79</c:v>
                </c:pt>
                <c:pt idx="9">
                  <c:v>76</c:v>
                </c:pt>
                <c:pt idx="10">
                  <c:v>75</c:v>
                </c:pt>
                <c:pt idx="11">
                  <c:v>78</c:v>
                </c:pt>
                <c:pt idx="12">
                  <c:v>80</c:v>
                </c:pt>
                <c:pt idx="13">
                  <c:v>85</c:v>
                </c:pt>
                <c:pt idx="14">
                  <c:v>90</c:v>
                </c:pt>
                <c:pt idx="15">
                  <c:v>94</c:v>
                </c:pt>
                <c:pt idx="16">
                  <c:v>98</c:v>
                </c:pt>
                <c:pt idx="17">
                  <c:v>99</c:v>
                </c:pt>
                <c:pt idx="18">
                  <c:v>102</c:v>
                </c:pt>
                <c:pt idx="19">
                  <c:v>97</c:v>
                </c:pt>
                <c:pt idx="20">
                  <c:v>93</c:v>
                </c:pt>
                <c:pt idx="21">
                  <c:v>91</c:v>
                </c:pt>
                <c:pt idx="22">
                  <c:v>88</c:v>
                </c:pt>
                <c:pt idx="23">
                  <c:v>89</c:v>
                </c:pt>
                <c:pt idx="24">
                  <c:v>91</c:v>
                </c:pt>
                <c:pt idx="25">
                  <c:v>93</c:v>
                </c:pt>
                <c:pt idx="26">
                  <c:v>94</c:v>
                </c:pt>
                <c:pt idx="27">
                  <c:v>94</c:v>
                </c:pt>
                <c:pt idx="28">
                  <c:v>93</c:v>
                </c:pt>
                <c:pt idx="29">
                  <c:v>92</c:v>
                </c:pt>
                <c:pt idx="30">
                  <c:v>93</c:v>
                </c:pt>
                <c:pt idx="31">
                  <c:v>93</c:v>
                </c:pt>
                <c:pt idx="32">
                  <c:v>93</c:v>
                </c:pt>
                <c:pt idx="33">
                  <c:v>94</c:v>
                </c:pt>
                <c:pt idx="34">
                  <c:v>94</c:v>
                </c:pt>
                <c:pt idx="35">
                  <c:v>97</c:v>
                </c:pt>
                <c:pt idx="36">
                  <c:v>97</c:v>
                </c:pt>
                <c:pt idx="37">
                  <c:v>97</c:v>
                </c:pt>
                <c:pt idx="38">
                  <c:v>97</c:v>
                </c:pt>
                <c:pt idx="39">
                  <c:v>97</c:v>
                </c:pt>
                <c:pt idx="40">
                  <c:v>97</c:v>
                </c:pt>
                <c:pt idx="41">
                  <c:v>97</c:v>
                </c:pt>
              </c:numCache>
            </c:numRef>
          </c:val>
          <c:extLst>
            <c:ext xmlns:c16="http://schemas.microsoft.com/office/drawing/2014/chart" uri="{C3380CC4-5D6E-409C-BE32-E72D297353CC}">
              <c16:uniqueId val="{0000000E-57DA-47AC-9E0D-08130A7033CE}"/>
            </c:ext>
          </c:extLst>
        </c:ser>
        <c:ser>
          <c:idx val="15"/>
          <c:order val="15"/>
          <c:tx>
            <c:strRef>
              <c:f>'IAP Current'!$Q$1</c:f>
              <c:strCache>
                <c:ptCount val="1"/>
                <c:pt idx="0">
                  <c:v>20</c:v>
                </c:pt>
              </c:strCache>
            </c:strRef>
          </c:tx>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Current'!$Q$2:$Q$43</c:f>
              <c:numCache>
                <c:formatCode>General</c:formatCode>
                <c:ptCount val="42"/>
                <c:pt idx="0">
                  <c:v>97</c:v>
                </c:pt>
                <c:pt idx="1">
                  <c:v>97</c:v>
                </c:pt>
                <c:pt idx="2">
                  <c:v>91</c:v>
                </c:pt>
                <c:pt idx="3">
                  <c:v>86</c:v>
                </c:pt>
                <c:pt idx="4">
                  <c:v>85</c:v>
                </c:pt>
                <c:pt idx="5">
                  <c:v>86</c:v>
                </c:pt>
                <c:pt idx="6">
                  <c:v>88</c:v>
                </c:pt>
                <c:pt idx="7">
                  <c:v>88</c:v>
                </c:pt>
                <c:pt idx="8">
                  <c:v>85</c:v>
                </c:pt>
                <c:pt idx="9">
                  <c:v>82</c:v>
                </c:pt>
                <c:pt idx="10">
                  <c:v>80</c:v>
                </c:pt>
                <c:pt idx="11">
                  <c:v>83</c:v>
                </c:pt>
                <c:pt idx="12">
                  <c:v>86</c:v>
                </c:pt>
                <c:pt idx="13">
                  <c:v>92</c:v>
                </c:pt>
                <c:pt idx="14">
                  <c:v>97</c:v>
                </c:pt>
                <c:pt idx="15">
                  <c:v>101</c:v>
                </c:pt>
                <c:pt idx="16">
                  <c:v>104</c:v>
                </c:pt>
                <c:pt idx="17">
                  <c:v>107</c:v>
                </c:pt>
                <c:pt idx="18">
                  <c:v>107</c:v>
                </c:pt>
                <c:pt idx="19">
                  <c:v>102</c:v>
                </c:pt>
                <c:pt idx="20">
                  <c:v>97</c:v>
                </c:pt>
                <c:pt idx="21">
                  <c:v>94</c:v>
                </c:pt>
                <c:pt idx="22">
                  <c:v>94</c:v>
                </c:pt>
                <c:pt idx="23">
                  <c:v>94</c:v>
                </c:pt>
                <c:pt idx="24">
                  <c:v>96</c:v>
                </c:pt>
                <c:pt idx="25">
                  <c:v>97</c:v>
                </c:pt>
                <c:pt idx="26">
                  <c:v>98</c:v>
                </c:pt>
                <c:pt idx="27">
                  <c:v>98</c:v>
                </c:pt>
                <c:pt idx="28">
                  <c:v>99</c:v>
                </c:pt>
                <c:pt idx="29">
                  <c:v>99</c:v>
                </c:pt>
                <c:pt idx="30">
                  <c:v>102</c:v>
                </c:pt>
                <c:pt idx="31">
                  <c:v>102</c:v>
                </c:pt>
                <c:pt idx="32">
                  <c:v>102</c:v>
                </c:pt>
                <c:pt idx="33">
                  <c:v>99</c:v>
                </c:pt>
                <c:pt idx="34">
                  <c:v>99</c:v>
                </c:pt>
                <c:pt idx="35">
                  <c:v>99</c:v>
                </c:pt>
                <c:pt idx="36">
                  <c:v>102</c:v>
                </c:pt>
                <c:pt idx="37">
                  <c:v>102</c:v>
                </c:pt>
                <c:pt idx="38">
                  <c:v>102</c:v>
                </c:pt>
                <c:pt idx="39">
                  <c:v>102</c:v>
                </c:pt>
                <c:pt idx="40">
                  <c:v>102</c:v>
                </c:pt>
                <c:pt idx="41">
                  <c:v>102</c:v>
                </c:pt>
              </c:numCache>
            </c:numRef>
          </c:val>
          <c:extLst>
            <c:ext xmlns:c16="http://schemas.microsoft.com/office/drawing/2014/chart" uri="{C3380CC4-5D6E-409C-BE32-E72D297353CC}">
              <c16:uniqueId val="{0000000F-57DA-47AC-9E0D-08130A7033CE}"/>
            </c:ext>
          </c:extLst>
        </c:ser>
        <c:ser>
          <c:idx val="16"/>
          <c:order val="16"/>
          <c:tx>
            <c:strRef>
              <c:f>'IAP Current'!$R$1</c:f>
              <c:strCache>
                <c:ptCount val="1"/>
                <c:pt idx="0">
                  <c:v>16</c:v>
                </c:pt>
              </c:strCache>
            </c:strRef>
          </c:tx>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Current'!$R$2:$R$43</c:f>
              <c:numCache>
                <c:formatCode>General</c:formatCode>
                <c:ptCount val="42"/>
                <c:pt idx="0">
                  <c:v>103</c:v>
                </c:pt>
                <c:pt idx="1">
                  <c:v>103</c:v>
                </c:pt>
                <c:pt idx="2">
                  <c:v>96</c:v>
                </c:pt>
                <c:pt idx="3">
                  <c:v>89</c:v>
                </c:pt>
                <c:pt idx="4">
                  <c:v>88</c:v>
                </c:pt>
                <c:pt idx="5">
                  <c:v>90</c:v>
                </c:pt>
                <c:pt idx="6">
                  <c:v>92</c:v>
                </c:pt>
                <c:pt idx="7">
                  <c:v>92</c:v>
                </c:pt>
                <c:pt idx="8">
                  <c:v>90</c:v>
                </c:pt>
                <c:pt idx="9">
                  <c:v>88</c:v>
                </c:pt>
                <c:pt idx="10">
                  <c:v>88</c:v>
                </c:pt>
                <c:pt idx="11">
                  <c:v>90</c:v>
                </c:pt>
                <c:pt idx="12">
                  <c:v>92</c:v>
                </c:pt>
                <c:pt idx="13">
                  <c:v>99</c:v>
                </c:pt>
                <c:pt idx="14">
                  <c:v>104</c:v>
                </c:pt>
                <c:pt idx="15">
                  <c:v>108</c:v>
                </c:pt>
                <c:pt idx="16">
                  <c:v>111</c:v>
                </c:pt>
                <c:pt idx="17">
                  <c:v>112</c:v>
                </c:pt>
                <c:pt idx="18">
                  <c:v>112</c:v>
                </c:pt>
                <c:pt idx="19">
                  <c:v>109</c:v>
                </c:pt>
                <c:pt idx="20">
                  <c:v>104</c:v>
                </c:pt>
                <c:pt idx="21">
                  <c:v>102</c:v>
                </c:pt>
                <c:pt idx="22">
                  <c:v>101</c:v>
                </c:pt>
                <c:pt idx="23">
                  <c:v>103</c:v>
                </c:pt>
                <c:pt idx="24">
                  <c:v>107</c:v>
                </c:pt>
                <c:pt idx="25">
                  <c:v>107</c:v>
                </c:pt>
                <c:pt idx="26">
                  <c:v>108</c:v>
                </c:pt>
                <c:pt idx="27">
                  <c:v>108</c:v>
                </c:pt>
                <c:pt idx="28">
                  <c:v>108</c:v>
                </c:pt>
                <c:pt idx="29">
                  <c:v>109</c:v>
                </c:pt>
                <c:pt idx="30">
                  <c:v>109</c:v>
                </c:pt>
                <c:pt idx="31">
                  <c:v>109</c:v>
                </c:pt>
                <c:pt idx="32">
                  <c:v>109</c:v>
                </c:pt>
                <c:pt idx="33">
                  <c:v>108</c:v>
                </c:pt>
                <c:pt idx="34">
                  <c:v>104</c:v>
                </c:pt>
                <c:pt idx="35">
                  <c:v>104</c:v>
                </c:pt>
                <c:pt idx="36">
                  <c:v>104</c:v>
                </c:pt>
                <c:pt idx="37">
                  <c:v>104</c:v>
                </c:pt>
                <c:pt idx="38">
                  <c:v>104</c:v>
                </c:pt>
                <c:pt idx="39">
                  <c:v>104</c:v>
                </c:pt>
                <c:pt idx="40">
                  <c:v>104</c:v>
                </c:pt>
                <c:pt idx="41">
                  <c:v>104</c:v>
                </c:pt>
              </c:numCache>
            </c:numRef>
          </c:val>
          <c:extLst>
            <c:ext xmlns:c16="http://schemas.microsoft.com/office/drawing/2014/chart" uri="{C3380CC4-5D6E-409C-BE32-E72D297353CC}">
              <c16:uniqueId val="{00000010-57DA-47AC-9E0D-08130A7033CE}"/>
            </c:ext>
          </c:extLst>
        </c:ser>
        <c:ser>
          <c:idx val="17"/>
          <c:order val="17"/>
          <c:tx>
            <c:strRef>
              <c:f>'IAP Current'!$S$1</c:f>
              <c:strCache>
                <c:ptCount val="1"/>
                <c:pt idx="0">
                  <c:v>12</c:v>
                </c:pt>
              </c:strCache>
            </c:strRef>
          </c:tx>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Current'!$S$2:$S$43</c:f>
              <c:numCache>
                <c:formatCode>General</c:formatCode>
                <c:ptCount val="42"/>
                <c:pt idx="0">
                  <c:v>111</c:v>
                </c:pt>
                <c:pt idx="1">
                  <c:v>111</c:v>
                </c:pt>
                <c:pt idx="2">
                  <c:v>108</c:v>
                </c:pt>
                <c:pt idx="3">
                  <c:v>94</c:v>
                </c:pt>
                <c:pt idx="4">
                  <c:v>93</c:v>
                </c:pt>
                <c:pt idx="5">
                  <c:v>97</c:v>
                </c:pt>
                <c:pt idx="6">
                  <c:v>102</c:v>
                </c:pt>
                <c:pt idx="7">
                  <c:v>98</c:v>
                </c:pt>
                <c:pt idx="8">
                  <c:v>91</c:v>
                </c:pt>
                <c:pt idx="9">
                  <c:v>90</c:v>
                </c:pt>
                <c:pt idx="10">
                  <c:v>91</c:v>
                </c:pt>
                <c:pt idx="11">
                  <c:v>96</c:v>
                </c:pt>
                <c:pt idx="12">
                  <c:v>102</c:v>
                </c:pt>
                <c:pt idx="13">
                  <c:v>108</c:v>
                </c:pt>
                <c:pt idx="14">
                  <c:v>113</c:v>
                </c:pt>
                <c:pt idx="15">
                  <c:v>118</c:v>
                </c:pt>
                <c:pt idx="16">
                  <c:v>123</c:v>
                </c:pt>
                <c:pt idx="17">
                  <c:v>123</c:v>
                </c:pt>
                <c:pt idx="18">
                  <c:v>122</c:v>
                </c:pt>
                <c:pt idx="19">
                  <c:v>117</c:v>
                </c:pt>
                <c:pt idx="20">
                  <c:v>113</c:v>
                </c:pt>
                <c:pt idx="21">
                  <c:v>110</c:v>
                </c:pt>
                <c:pt idx="22">
                  <c:v>108</c:v>
                </c:pt>
                <c:pt idx="23">
                  <c:v>111</c:v>
                </c:pt>
                <c:pt idx="24">
                  <c:v>116</c:v>
                </c:pt>
                <c:pt idx="25">
                  <c:v>117</c:v>
                </c:pt>
                <c:pt idx="26">
                  <c:v>118</c:v>
                </c:pt>
                <c:pt idx="27">
                  <c:v>118</c:v>
                </c:pt>
                <c:pt idx="28">
                  <c:v>118</c:v>
                </c:pt>
                <c:pt idx="29">
                  <c:v>120</c:v>
                </c:pt>
                <c:pt idx="30">
                  <c:v>122</c:v>
                </c:pt>
                <c:pt idx="31">
                  <c:v>122</c:v>
                </c:pt>
                <c:pt idx="32">
                  <c:v>122</c:v>
                </c:pt>
                <c:pt idx="33">
                  <c:v>118</c:v>
                </c:pt>
                <c:pt idx="34">
                  <c:v>113</c:v>
                </c:pt>
                <c:pt idx="35">
                  <c:v>113</c:v>
                </c:pt>
                <c:pt idx="36">
                  <c:v>116</c:v>
                </c:pt>
                <c:pt idx="37">
                  <c:v>116</c:v>
                </c:pt>
                <c:pt idx="38">
                  <c:v>116</c:v>
                </c:pt>
                <c:pt idx="39">
                  <c:v>116</c:v>
                </c:pt>
                <c:pt idx="40">
                  <c:v>116</c:v>
                </c:pt>
                <c:pt idx="41">
                  <c:v>116</c:v>
                </c:pt>
              </c:numCache>
            </c:numRef>
          </c:val>
          <c:extLst>
            <c:ext xmlns:c16="http://schemas.microsoft.com/office/drawing/2014/chart" uri="{C3380CC4-5D6E-409C-BE32-E72D297353CC}">
              <c16:uniqueId val="{00000011-57DA-47AC-9E0D-08130A7033CE}"/>
            </c:ext>
          </c:extLst>
        </c:ser>
        <c:ser>
          <c:idx val="18"/>
          <c:order val="18"/>
          <c:tx>
            <c:strRef>
              <c:f>'IAP Current'!$T$1</c:f>
              <c:strCache>
                <c:ptCount val="1"/>
                <c:pt idx="0">
                  <c:v>8</c:v>
                </c:pt>
              </c:strCache>
            </c:strRef>
          </c:tx>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Current'!$T$2:$T$43</c:f>
              <c:numCache>
                <c:formatCode>General</c:formatCode>
                <c:ptCount val="42"/>
                <c:pt idx="0">
                  <c:v>122</c:v>
                </c:pt>
                <c:pt idx="1">
                  <c:v>122</c:v>
                </c:pt>
                <c:pt idx="2">
                  <c:v>119</c:v>
                </c:pt>
                <c:pt idx="3">
                  <c:v>109</c:v>
                </c:pt>
                <c:pt idx="4">
                  <c:v>107</c:v>
                </c:pt>
                <c:pt idx="5">
                  <c:v>108</c:v>
                </c:pt>
                <c:pt idx="6">
                  <c:v>116</c:v>
                </c:pt>
                <c:pt idx="7">
                  <c:v>111</c:v>
                </c:pt>
                <c:pt idx="8">
                  <c:v>103</c:v>
                </c:pt>
                <c:pt idx="9">
                  <c:v>101</c:v>
                </c:pt>
                <c:pt idx="10">
                  <c:v>101</c:v>
                </c:pt>
                <c:pt idx="11">
                  <c:v>107</c:v>
                </c:pt>
                <c:pt idx="12">
                  <c:v>114</c:v>
                </c:pt>
                <c:pt idx="13">
                  <c:v>120</c:v>
                </c:pt>
                <c:pt idx="14">
                  <c:v>128</c:v>
                </c:pt>
                <c:pt idx="15">
                  <c:v>132</c:v>
                </c:pt>
                <c:pt idx="16">
                  <c:v>136</c:v>
                </c:pt>
                <c:pt idx="17">
                  <c:v>136</c:v>
                </c:pt>
                <c:pt idx="18">
                  <c:v>135</c:v>
                </c:pt>
                <c:pt idx="19">
                  <c:v>133</c:v>
                </c:pt>
                <c:pt idx="20">
                  <c:v>131</c:v>
                </c:pt>
                <c:pt idx="21">
                  <c:v>130</c:v>
                </c:pt>
                <c:pt idx="22">
                  <c:v>130</c:v>
                </c:pt>
                <c:pt idx="23">
                  <c:v>130</c:v>
                </c:pt>
                <c:pt idx="24">
                  <c:v>132</c:v>
                </c:pt>
                <c:pt idx="25">
                  <c:v>135</c:v>
                </c:pt>
                <c:pt idx="26">
                  <c:v>139</c:v>
                </c:pt>
                <c:pt idx="27">
                  <c:v>141</c:v>
                </c:pt>
                <c:pt idx="28">
                  <c:v>139</c:v>
                </c:pt>
                <c:pt idx="29">
                  <c:v>140</c:v>
                </c:pt>
                <c:pt idx="30">
                  <c:v>149</c:v>
                </c:pt>
                <c:pt idx="31">
                  <c:v>150</c:v>
                </c:pt>
                <c:pt idx="32">
                  <c:v>145</c:v>
                </c:pt>
                <c:pt idx="33">
                  <c:v>143</c:v>
                </c:pt>
                <c:pt idx="34">
                  <c:v>141</c:v>
                </c:pt>
                <c:pt idx="35">
                  <c:v>140</c:v>
                </c:pt>
                <c:pt idx="36">
                  <c:v>140</c:v>
                </c:pt>
                <c:pt idx="37">
                  <c:v>140</c:v>
                </c:pt>
                <c:pt idx="38">
                  <c:v>140</c:v>
                </c:pt>
                <c:pt idx="39">
                  <c:v>140</c:v>
                </c:pt>
                <c:pt idx="40">
                  <c:v>140</c:v>
                </c:pt>
                <c:pt idx="41">
                  <c:v>140</c:v>
                </c:pt>
              </c:numCache>
            </c:numRef>
          </c:val>
          <c:extLst>
            <c:ext xmlns:c16="http://schemas.microsoft.com/office/drawing/2014/chart" uri="{C3380CC4-5D6E-409C-BE32-E72D297353CC}">
              <c16:uniqueId val="{00000012-57DA-47AC-9E0D-08130A7033CE}"/>
            </c:ext>
          </c:extLst>
        </c:ser>
        <c:ser>
          <c:idx val="19"/>
          <c:order val="19"/>
          <c:tx>
            <c:strRef>
              <c:f>'IAP Current'!$U$1</c:f>
              <c:strCache>
                <c:ptCount val="1"/>
                <c:pt idx="0">
                  <c:v>4</c:v>
                </c:pt>
              </c:strCache>
            </c:strRef>
          </c:tx>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Current'!$U$2:$U$43</c:f>
              <c:numCache>
                <c:formatCode>General</c:formatCode>
                <c:ptCount val="42"/>
                <c:pt idx="0">
                  <c:v>148</c:v>
                </c:pt>
                <c:pt idx="1">
                  <c:v>148</c:v>
                </c:pt>
                <c:pt idx="2">
                  <c:v>143</c:v>
                </c:pt>
                <c:pt idx="3">
                  <c:v>136</c:v>
                </c:pt>
                <c:pt idx="4">
                  <c:v>138</c:v>
                </c:pt>
                <c:pt idx="5">
                  <c:v>142</c:v>
                </c:pt>
                <c:pt idx="6">
                  <c:v>145</c:v>
                </c:pt>
                <c:pt idx="7">
                  <c:v>136</c:v>
                </c:pt>
                <c:pt idx="8">
                  <c:v>126</c:v>
                </c:pt>
                <c:pt idx="9">
                  <c:v>124</c:v>
                </c:pt>
                <c:pt idx="10">
                  <c:v>126</c:v>
                </c:pt>
                <c:pt idx="11">
                  <c:v>133</c:v>
                </c:pt>
                <c:pt idx="12">
                  <c:v>154</c:v>
                </c:pt>
                <c:pt idx="13">
                  <c:v>164</c:v>
                </c:pt>
                <c:pt idx="14">
                  <c:v>170</c:v>
                </c:pt>
                <c:pt idx="15">
                  <c:v>170</c:v>
                </c:pt>
                <c:pt idx="16">
                  <c:v>168</c:v>
                </c:pt>
                <c:pt idx="17">
                  <c:v>164</c:v>
                </c:pt>
                <c:pt idx="18">
                  <c:v>162</c:v>
                </c:pt>
                <c:pt idx="19">
                  <c:v>162</c:v>
                </c:pt>
                <c:pt idx="20">
                  <c:v>164</c:v>
                </c:pt>
                <c:pt idx="21">
                  <c:v>167</c:v>
                </c:pt>
                <c:pt idx="22">
                  <c:v>169</c:v>
                </c:pt>
                <c:pt idx="23">
                  <c:v>174</c:v>
                </c:pt>
                <c:pt idx="24">
                  <c:v>181</c:v>
                </c:pt>
                <c:pt idx="25">
                  <c:v>187</c:v>
                </c:pt>
                <c:pt idx="26">
                  <c:v>195</c:v>
                </c:pt>
                <c:pt idx="27">
                  <c:v>204</c:v>
                </c:pt>
                <c:pt idx="28">
                  <c:v>205</c:v>
                </c:pt>
                <c:pt idx="29">
                  <c:v>206</c:v>
                </c:pt>
                <c:pt idx="30">
                  <c:v>206</c:v>
                </c:pt>
                <c:pt idx="31">
                  <c:v>205</c:v>
                </c:pt>
                <c:pt idx="32">
                  <c:v>202</c:v>
                </c:pt>
                <c:pt idx="33">
                  <c:v>201</c:v>
                </c:pt>
                <c:pt idx="34">
                  <c:v>202</c:v>
                </c:pt>
                <c:pt idx="35">
                  <c:v>196</c:v>
                </c:pt>
                <c:pt idx="36">
                  <c:v>192</c:v>
                </c:pt>
                <c:pt idx="37">
                  <c:v>190</c:v>
                </c:pt>
                <c:pt idx="38">
                  <c:v>187</c:v>
                </c:pt>
                <c:pt idx="39">
                  <c:v>187</c:v>
                </c:pt>
                <c:pt idx="40">
                  <c:v>187</c:v>
                </c:pt>
                <c:pt idx="41">
                  <c:v>187</c:v>
                </c:pt>
              </c:numCache>
            </c:numRef>
          </c:val>
          <c:extLst>
            <c:ext xmlns:c16="http://schemas.microsoft.com/office/drawing/2014/chart" uri="{C3380CC4-5D6E-409C-BE32-E72D297353CC}">
              <c16:uniqueId val="{00000013-57DA-47AC-9E0D-08130A7033CE}"/>
            </c:ext>
          </c:extLst>
        </c:ser>
        <c:ser>
          <c:idx val="20"/>
          <c:order val="20"/>
          <c:tx>
            <c:strRef>
              <c:f>'IAP Current'!$V$1</c:f>
              <c:strCache>
                <c:ptCount val="1"/>
                <c:pt idx="0">
                  <c:v>0</c:v>
                </c:pt>
              </c:strCache>
            </c:strRef>
          </c:tx>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Current'!$V$2:$V$43</c:f>
              <c:numCache>
                <c:formatCode>General</c:formatCode>
                <c:ptCount val="42"/>
                <c:pt idx="0">
                  <c:v>158</c:v>
                </c:pt>
                <c:pt idx="1">
                  <c:v>158</c:v>
                </c:pt>
                <c:pt idx="2">
                  <c:v>149</c:v>
                </c:pt>
                <c:pt idx="3">
                  <c:v>146</c:v>
                </c:pt>
                <c:pt idx="4">
                  <c:v>148</c:v>
                </c:pt>
                <c:pt idx="5">
                  <c:v>156</c:v>
                </c:pt>
                <c:pt idx="6">
                  <c:v>155</c:v>
                </c:pt>
                <c:pt idx="7">
                  <c:v>158</c:v>
                </c:pt>
                <c:pt idx="8">
                  <c:v>163</c:v>
                </c:pt>
                <c:pt idx="9">
                  <c:v>168</c:v>
                </c:pt>
                <c:pt idx="10">
                  <c:v>174</c:v>
                </c:pt>
                <c:pt idx="11">
                  <c:v>180</c:v>
                </c:pt>
                <c:pt idx="12">
                  <c:v>185</c:v>
                </c:pt>
                <c:pt idx="13">
                  <c:v>187</c:v>
                </c:pt>
                <c:pt idx="14">
                  <c:v>189</c:v>
                </c:pt>
                <c:pt idx="15">
                  <c:v>194</c:v>
                </c:pt>
                <c:pt idx="16">
                  <c:v>198</c:v>
                </c:pt>
                <c:pt idx="17">
                  <c:v>198</c:v>
                </c:pt>
                <c:pt idx="18">
                  <c:v>198</c:v>
                </c:pt>
                <c:pt idx="19">
                  <c:v>194</c:v>
                </c:pt>
                <c:pt idx="20">
                  <c:v>192</c:v>
                </c:pt>
                <c:pt idx="21">
                  <c:v>192</c:v>
                </c:pt>
                <c:pt idx="22">
                  <c:v>192</c:v>
                </c:pt>
                <c:pt idx="23">
                  <c:v>196</c:v>
                </c:pt>
                <c:pt idx="24">
                  <c:v>204</c:v>
                </c:pt>
                <c:pt idx="25">
                  <c:v>208</c:v>
                </c:pt>
                <c:pt idx="26">
                  <c:v>215</c:v>
                </c:pt>
                <c:pt idx="27">
                  <c:v>225</c:v>
                </c:pt>
                <c:pt idx="28">
                  <c:v>228</c:v>
                </c:pt>
                <c:pt idx="29">
                  <c:v>231</c:v>
                </c:pt>
                <c:pt idx="30">
                  <c:v>231</c:v>
                </c:pt>
                <c:pt idx="31">
                  <c:v>233</c:v>
                </c:pt>
                <c:pt idx="32">
                  <c:v>231</c:v>
                </c:pt>
                <c:pt idx="33">
                  <c:v>229</c:v>
                </c:pt>
                <c:pt idx="34">
                  <c:v>231</c:v>
                </c:pt>
                <c:pt idx="35">
                  <c:v>228</c:v>
                </c:pt>
                <c:pt idx="36">
                  <c:v>225</c:v>
                </c:pt>
                <c:pt idx="37">
                  <c:v>220</c:v>
                </c:pt>
                <c:pt idx="38">
                  <c:v>217</c:v>
                </c:pt>
                <c:pt idx="39">
                  <c:v>211</c:v>
                </c:pt>
                <c:pt idx="40">
                  <c:v>211</c:v>
                </c:pt>
                <c:pt idx="41">
                  <c:v>211</c:v>
                </c:pt>
              </c:numCache>
            </c:numRef>
          </c:val>
          <c:extLst>
            <c:ext xmlns:c16="http://schemas.microsoft.com/office/drawing/2014/chart" uri="{C3380CC4-5D6E-409C-BE32-E72D297353CC}">
              <c16:uniqueId val="{00000014-57DA-47AC-9E0D-08130A7033CE}"/>
            </c:ext>
          </c:extLst>
        </c:ser>
        <c:bandFmts>
          <c:band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3"/>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4"/>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5"/>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7"/>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8"/>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9"/>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1"/>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2"/>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3"/>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4"/>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s>
        <c:axId val="351115056"/>
        <c:axId val="351109648"/>
        <c:axId val="246914592"/>
      </c:surface3DChart>
      <c:catAx>
        <c:axId val="351115056"/>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1109648"/>
        <c:crosses val="autoZero"/>
        <c:auto val="1"/>
        <c:lblAlgn val="ctr"/>
        <c:lblOffset val="100"/>
        <c:noMultiLvlLbl val="0"/>
      </c:catAx>
      <c:valAx>
        <c:axId val="351109648"/>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1115056"/>
        <c:crosses val="autoZero"/>
        <c:crossBetween val="midCat"/>
      </c:valAx>
      <c:serAx>
        <c:axId val="246914592"/>
        <c:scaling>
          <c:orientation val="minMax"/>
        </c:scaling>
        <c:delete val="0"/>
        <c:axPos val="b"/>
        <c:majorGridlines>
          <c:spPr>
            <a:ln w="9525" cap="flat" cmpd="sng" algn="ctr">
              <a:solidFill>
                <a:schemeClr val="dk1">
                  <a:lumMod val="50000"/>
                  <a:lumOff val="50000"/>
                </a:schemeClr>
              </a:solidFill>
              <a:round/>
            </a:ln>
            <a:effectLst/>
          </c:spPr>
        </c:majorGridlines>
        <c:majorTickMark val="none"/>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1109648"/>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Desired TPS A/F</a:t>
            </a:r>
          </a:p>
        </c:rich>
      </c:tx>
      <c:overlay val="0"/>
      <c:spPr>
        <a:noFill/>
        <a:ln>
          <a:noFill/>
        </a:ln>
        <a:effectLst/>
      </c:spPr>
    </c:title>
    <c:autoTitleDeleted val="0"/>
    <c:view3D>
      <c:rotX val="30"/>
      <c:rotY val="3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'Des TPS AFR'!$B$1</c:f>
              <c:strCache>
                <c:ptCount val="1"/>
                <c:pt idx="0">
                  <c:v>0</c:v>
                </c:pt>
              </c:strCache>
            </c:strRef>
          </c:tx>
          <c:spPr>
            <a:solidFill>
              <a:schemeClr val="accent1"/>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AFR'!$B$2:$B$43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0-143A-4BA3-ACFD-6BAD200E6285}"/>
            </c:ext>
          </c:extLst>
        </c:ser>
        <c:ser>
          <c:idx val="1"/>
          <c:order val="1"/>
          <c:tx>
            <c:strRef>
              <c:f>'Des TPS AFR'!$C$1</c:f>
              <c:strCache>
                <c:ptCount val="1"/>
                <c:pt idx="0">
                  <c:v>0.6</c:v>
                </c:pt>
              </c:strCache>
            </c:strRef>
          </c:tx>
          <c:spPr>
            <a:solidFill>
              <a:schemeClr val="accent2"/>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AFR'!$C$2:$C$43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1-143A-4BA3-ACFD-6BAD200E6285}"/>
            </c:ext>
          </c:extLst>
        </c:ser>
        <c:ser>
          <c:idx val="2"/>
          <c:order val="2"/>
          <c:tx>
            <c:strRef>
              <c:f>'Des TPS AFR'!$D$1</c:f>
              <c:strCache>
                <c:ptCount val="1"/>
                <c:pt idx="0">
                  <c:v>1.2</c:v>
                </c:pt>
              </c:strCache>
            </c:strRef>
          </c:tx>
          <c:spPr>
            <a:solidFill>
              <a:schemeClr val="accent3"/>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AFR'!$D$2:$D$43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2-143A-4BA3-ACFD-6BAD200E6285}"/>
            </c:ext>
          </c:extLst>
        </c:ser>
        <c:ser>
          <c:idx val="3"/>
          <c:order val="3"/>
          <c:tx>
            <c:strRef>
              <c:f>'Des TPS AFR'!$E$1</c:f>
              <c:strCache>
                <c:ptCount val="1"/>
                <c:pt idx="0">
                  <c:v>1.9</c:v>
                </c:pt>
              </c:strCache>
            </c:strRef>
          </c:tx>
          <c:spPr>
            <a:solidFill>
              <a:schemeClr val="accent4"/>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AFR'!$E$2:$E$43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3-143A-4BA3-ACFD-6BAD200E6285}"/>
            </c:ext>
          </c:extLst>
        </c:ser>
        <c:ser>
          <c:idx val="4"/>
          <c:order val="4"/>
          <c:tx>
            <c:strRef>
              <c:f>'Des TPS AFR'!$F$1</c:f>
              <c:strCache>
                <c:ptCount val="1"/>
                <c:pt idx="0">
                  <c:v>2.5</c:v>
                </c:pt>
              </c:strCache>
            </c:strRef>
          </c:tx>
          <c:spPr>
            <a:solidFill>
              <a:schemeClr val="accent5"/>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AFR'!$F$2:$F$43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4-143A-4BA3-ACFD-6BAD200E6285}"/>
            </c:ext>
          </c:extLst>
        </c:ser>
        <c:ser>
          <c:idx val="5"/>
          <c:order val="5"/>
          <c:tx>
            <c:strRef>
              <c:f>'Des TPS AFR'!$G$1</c:f>
              <c:strCache>
                <c:ptCount val="1"/>
                <c:pt idx="0">
                  <c:v>3.1</c:v>
                </c:pt>
              </c:strCache>
            </c:strRef>
          </c:tx>
          <c:spPr>
            <a:solidFill>
              <a:schemeClr val="accent6"/>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AFR'!$G$2:$G$43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13.4</c:v>
                </c:pt>
                <c:pt idx="18">
                  <c:v>13.4</c:v>
                </c:pt>
                <c:pt idx="19">
                  <c:v>13.4</c:v>
                </c:pt>
                <c:pt idx="20">
                  <c:v>13.4</c:v>
                </c:pt>
                <c:pt idx="21">
                  <c:v>13.4</c:v>
                </c:pt>
                <c:pt idx="22">
                  <c:v>13.4</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5-143A-4BA3-ACFD-6BAD200E6285}"/>
            </c:ext>
          </c:extLst>
        </c:ser>
        <c:ser>
          <c:idx val="6"/>
          <c:order val="6"/>
          <c:tx>
            <c:strRef>
              <c:f>'Des TPS AFR'!$H$1</c:f>
              <c:strCache>
                <c:ptCount val="1"/>
                <c:pt idx="0">
                  <c:v>3.7</c:v>
                </c:pt>
              </c:strCache>
            </c:strRef>
          </c:tx>
          <c:spPr>
            <a:solidFill>
              <a:schemeClr val="accent1">
                <a:lumMod val="6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AFR'!$H$2:$H$43</c:f>
              <c:numCache>
                <c:formatCode>General</c:formatCode>
                <c:ptCount val="42"/>
                <c:pt idx="0">
                  <c:v>13.2</c:v>
                </c:pt>
                <c:pt idx="1">
                  <c:v>13.2</c:v>
                </c:pt>
                <c:pt idx="2">
                  <c:v>13.2</c:v>
                </c:pt>
                <c:pt idx="3">
                  <c:v>13.2</c:v>
                </c:pt>
                <c:pt idx="4">
                  <c:v>13.2</c:v>
                </c:pt>
                <c:pt idx="5">
                  <c:v>13.2</c:v>
                </c:pt>
                <c:pt idx="6">
                  <c:v>13.2</c:v>
                </c:pt>
                <c:pt idx="7">
                  <c:v>13.2</c:v>
                </c:pt>
                <c:pt idx="8">
                  <c:v>13.4</c:v>
                </c:pt>
                <c:pt idx="9">
                  <c:v>13.4</c:v>
                </c:pt>
                <c:pt idx="10">
                  <c:v>13.4</c:v>
                </c:pt>
                <c:pt idx="11">
                  <c:v>13.4</c:v>
                </c:pt>
                <c:pt idx="12">
                  <c:v>13.4</c:v>
                </c:pt>
                <c:pt idx="13">
                  <c:v>13.4</c:v>
                </c:pt>
                <c:pt idx="14">
                  <c:v>13.4</c:v>
                </c:pt>
                <c:pt idx="15">
                  <c:v>13.4</c:v>
                </c:pt>
                <c:pt idx="16">
                  <c:v>13.4</c:v>
                </c:pt>
                <c:pt idx="17">
                  <c:v>13.5</c:v>
                </c:pt>
                <c:pt idx="18">
                  <c:v>13.5</c:v>
                </c:pt>
                <c:pt idx="19">
                  <c:v>13.5</c:v>
                </c:pt>
                <c:pt idx="20">
                  <c:v>13.5</c:v>
                </c:pt>
                <c:pt idx="21">
                  <c:v>13.5</c:v>
                </c:pt>
                <c:pt idx="22">
                  <c:v>13.5</c:v>
                </c:pt>
                <c:pt idx="23">
                  <c:v>13.4</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6-143A-4BA3-ACFD-6BAD200E6285}"/>
            </c:ext>
          </c:extLst>
        </c:ser>
        <c:ser>
          <c:idx val="7"/>
          <c:order val="7"/>
          <c:tx>
            <c:strRef>
              <c:f>'Des TPS AFR'!$I$1</c:f>
              <c:strCache>
                <c:ptCount val="1"/>
                <c:pt idx="0">
                  <c:v>4.4</c:v>
                </c:pt>
              </c:strCache>
            </c:strRef>
          </c:tx>
          <c:spPr>
            <a:solidFill>
              <a:schemeClr val="accent2">
                <a:lumMod val="6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AFR'!$I$2:$I$43</c:f>
              <c:numCache>
                <c:formatCode>General</c:formatCode>
                <c:ptCount val="42"/>
                <c:pt idx="0">
                  <c:v>13.2</c:v>
                </c:pt>
                <c:pt idx="1">
                  <c:v>13.2</c:v>
                </c:pt>
                <c:pt idx="2">
                  <c:v>13.2</c:v>
                </c:pt>
                <c:pt idx="3">
                  <c:v>13.2</c:v>
                </c:pt>
                <c:pt idx="4">
                  <c:v>13.2</c:v>
                </c:pt>
                <c:pt idx="5">
                  <c:v>13.2</c:v>
                </c:pt>
                <c:pt idx="6">
                  <c:v>13.2</c:v>
                </c:pt>
                <c:pt idx="7">
                  <c:v>13.2</c:v>
                </c:pt>
                <c:pt idx="8">
                  <c:v>13.4</c:v>
                </c:pt>
                <c:pt idx="9">
                  <c:v>13.4</c:v>
                </c:pt>
                <c:pt idx="10">
                  <c:v>13.4</c:v>
                </c:pt>
                <c:pt idx="11">
                  <c:v>13.4</c:v>
                </c:pt>
                <c:pt idx="12">
                  <c:v>13.4</c:v>
                </c:pt>
                <c:pt idx="13">
                  <c:v>13.4</c:v>
                </c:pt>
                <c:pt idx="14">
                  <c:v>13.4</c:v>
                </c:pt>
                <c:pt idx="15">
                  <c:v>13.5</c:v>
                </c:pt>
                <c:pt idx="16">
                  <c:v>13.5</c:v>
                </c:pt>
                <c:pt idx="17">
                  <c:v>13.6</c:v>
                </c:pt>
                <c:pt idx="18">
                  <c:v>13.6</c:v>
                </c:pt>
                <c:pt idx="19">
                  <c:v>13.6</c:v>
                </c:pt>
                <c:pt idx="20">
                  <c:v>13.6</c:v>
                </c:pt>
                <c:pt idx="21">
                  <c:v>13.6</c:v>
                </c:pt>
                <c:pt idx="22">
                  <c:v>13.6</c:v>
                </c:pt>
                <c:pt idx="23">
                  <c:v>13.5</c:v>
                </c:pt>
                <c:pt idx="24">
                  <c:v>13.4</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7-143A-4BA3-ACFD-6BAD200E6285}"/>
            </c:ext>
          </c:extLst>
        </c:ser>
        <c:ser>
          <c:idx val="8"/>
          <c:order val="8"/>
          <c:tx>
            <c:strRef>
              <c:f>'Des TPS AFR'!$J$1</c:f>
              <c:strCache>
                <c:ptCount val="1"/>
                <c:pt idx="0">
                  <c:v>5.6</c:v>
                </c:pt>
              </c:strCache>
            </c:strRef>
          </c:tx>
          <c:spPr>
            <a:solidFill>
              <a:schemeClr val="accent3">
                <a:lumMod val="6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AFR'!$J$2:$J$43</c:f>
              <c:numCache>
                <c:formatCode>General</c:formatCode>
                <c:ptCount val="42"/>
                <c:pt idx="0">
                  <c:v>13.2</c:v>
                </c:pt>
                <c:pt idx="1">
                  <c:v>13.2</c:v>
                </c:pt>
                <c:pt idx="2">
                  <c:v>13.2</c:v>
                </c:pt>
                <c:pt idx="3">
                  <c:v>13.2</c:v>
                </c:pt>
                <c:pt idx="4">
                  <c:v>13.2</c:v>
                </c:pt>
                <c:pt idx="5">
                  <c:v>13.2</c:v>
                </c:pt>
                <c:pt idx="6">
                  <c:v>13.2</c:v>
                </c:pt>
                <c:pt idx="7">
                  <c:v>13.2</c:v>
                </c:pt>
                <c:pt idx="8">
                  <c:v>13.4</c:v>
                </c:pt>
                <c:pt idx="9">
                  <c:v>13.4</c:v>
                </c:pt>
                <c:pt idx="10">
                  <c:v>13.4</c:v>
                </c:pt>
                <c:pt idx="11">
                  <c:v>13.4</c:v>
                </c:pt>
                <c:pt idx="12">
                  <c:v>13.4</c:v>
                </c:pt>
                <c:pt idx="13">
                  <c:v>13.4</c:v>
                </c:pt>
                <c:pt idx="14">
                  <c:v>13.4</c:v>
                </c:pt>
                <c:pt idx="15">
                  <c:v>13.5</c:v>
                </c:pt>
                <c:pt idx="16">
                  <c:v>13.5</c:v>
                </c:pt>
                <c:pt idx="17">
                  <c:v>13.6</c:v>
                </c:pt>
                <c:pt idx="18">
                  <c:v>13.6</c:v>
                </c:pt>
                <c:pt idx="19">
                  <c:v>13.6</c:v>
                </c:pt>
                <c:pt idx="20">
                  <c:v>13.6</c:v>
                </c:pt>
                <c:pt idx="21">
                  <c:v>13.6</c:v>
                </c:pt>
                <c:pt idx="22">
                  <c:v>13.6</c:v>
                </c:pt>
                <c:pt idx="23">
                  <c:v>13.5</c:v>
                </c:pt>
                <c:pt idx="24">
                  <c:v>13.4</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8-143A-4BA3-ACFD-6BAD200E6285}"/>
            </c:ext>
          </c:extLst>
        </c:ser>
        <c:ser>
          <c:idx val="9"/>
          <c:order val="9"/>
          <c:tx>
            <c:strRef>
              <c:f>'Des TPS AFR'!$K$1</c:f>
              <c:strCache>
                <c:ptCount val="1"/>
                <c:pt idx="0">
                  <c:v>6.8</c:v>
                </c:pt>
              </c:strCache>
            </c:strRef>
          </c:tx>
          <c:spPr>
            <a:solidFill>
              <a:schemeClr val="accent4">
                <a:lumMod val="6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AFR'!$K$2:$K$43</c:f>
              <c:numCache>
                <c:formatCode>General</c:formatCode>
                <c:ptCount val="42"/>
                <c:pt idx="0">
                  <c:v>13.2</c:v>
                </c:pt>
                <c:pt idx="1">
                  <c:v>13.2</c:v>
                </c:pt>
                <c:pt idx="2">
                  <c:v>13.2</c:v>
                </c:pt>
                <c:pt idx="3">
                  <c:v>13.2</c:v>
                </c:pt>
                <c:pt idx="4">
                  <c:v>13.2</c:v>
                </c:pt>
                <c:pt idx="5">
                  <c:v>13.2</c:v>
                </c:pt>
                <c:pt idx="6">
                  <c:v>13.2</c:v>
                </c:pt>
                <c:pt idx="7">
                  <c:v>13.2</c:v>
                </c:pt>
                <c:pt idx="8">
                  <c:v>13.4</c:v>
                </c:pt>
                <c:pt idx="9">
                  <c:v>13.4</c:v>
                </c:pt>
                <c:pt idx="10">
                  <c:v>13.4</c:v>
                </c:pt>
                <c:pt idx="11">
                  <c:v>13.4</c:v>
                </c:pt>
                <c:pt idx="12">
                  <c:v>13.4</c:v>
                </c:pt>
                <c:pt idx="13">
                  <c:v>13.4</c:v>
                </c:pt>
                <c:pt idx="14">
                  <c:v>13.4</c:v>
                </c:pt>
                <c:pt idx="15">
                  <c:v>13.5</c:v>
                </c:pt>
                <c:pt idx="16">
                  <c:v>13.5</c:v>
                </c:pt>
                <c:pt idx="17">
                  <c:v>13.6</c:v>
                </c:pt>
                <c:pt idx="18">
                  <c:v>13.6</c:v>
                </c:pt>
                <c:pt idx="19">
                  <c:v>13.6</c:v>
                </c:pt>
                <c:pt idx="20">
                  <c:v>13.6</c:v>
                </c:pt>
                <c:pt idx="21">
                  <c:v>13.6</c:v>
                </c:pt>
                <c:pt idx="22">
                  <c:v>13.6</c:v>
                </c:pt>
                <c:pt idx="23">
                  <c:v>13.5</c:v>
                </c:pt>
                <c:pt idx="24">
                  <c:v>13.4</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9-143A-4BA3-ACFD-6BAD200E6285}"/>
            </c:ext>
          </c:extLst>
        </c:ser>
        <c:ser>
          <c:idx val="10"/>
          <c:order val="10"/>
          <c:tx>
            <c:strRef>
              <c:f>'Des TPS AFR'!$L$1</c:f>
              <c:strCache>
                <c:ptCount val="1"/>
                <c:pt idx="0">
                  <c:v>8.1</c:v>
                </c:pt>
              </c:strCache>
            </c:strRef>
          </c:tx>
          <c:spPr>
            <a:solidFill>
              <a:schemeClr val="accent5">
                <a:lumMod val="6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AFR'!$L$2:$L$43</c:f>
              <c:numCache>
                <c:formatCode>General</c:formatCode>
                <c:ptCount val="42"/>
                <c:pt idx="0">
                  <c:v>13.2</c:v>
                </c:pt>
                <c:pt idx="1">
                  <c:v>13.2</c:v>
                </c:pt>
                <c:pt idx="2">
                  <c:v>13.2</c:v>
                </c:pt>
                <c:pt idx="3">
                  <c:v>13.2</c:v>
                </c:pt>
                <c:pt idx="4">
                  <c:v>13.2</c:v>
                </c:pt>
                <c:pt idx="5">
                  <c:v>13.2</c:v>
                </c:pt>
                <c:pt idx="6">
                  <c:v>13.2</c:v>
                </c:pt>
                <c:pt idx="7">
                  <c:v>13.2</c:v>
                </c:pt>
                <c:pt idx="8">
                  <c:v>13.4</c:v>
                </c:pt>
                <c:pt idx="9">
                  <c:v>13.4</c:v>
                </c:pt>
                <c:pt idx="10">
                  <c:v>13.4</c:v>
                </c:pt>
                <c:pt idx="11">
                  <c:v>13.4</c:v>
                </c:pt>
                <c:pt idx="12">
                  <c:v>13.4</c:v>
                </c:pt>
                <c:pt idx="13">
                  <c:v>13.4</c:v>
                </c:pt>
                <c:pt idx="14">
                  <c:v>13.4</c:v>
                </c:pt>
                <c:pt idx="15">
                  <c:v>13.5</c:v>
                </c:pt>
                <c:pt idx="16">
                  <c:v>13.5</c:v>
                </c:pt>
                <c:pt idx="17">
                  <c:v>13.6</c:v>
                </c:pt>
                <c:pt idx="18">
                  <c:v>13.6</c:v>
                </c:pt>
                <c:pt idx="19">
                  <c:v>13.6</c:v>
                </c:pt>
                <c:pt idx="20">
                  <c:v>13.6</c:v>
                </c:pt>
                <c:pt idx="21">
                  <c:v>13.6</c:v>
                </c:pt>
                <c:pt idx="22">
                  <c:v>13.6</c:v>
                </c:pt>
                <c:pt idx="23">
                  <c:v>13.5</c:v>
                </c:pt>
                <c:pt idx="24">
                  <c:v>13.4</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A-143A-4BA3-ACFD-6BAD200E6285}"/>
            </c:ext>
          </c:extLst>
        </c:ser>
        <c:ser>
          <c:idx val="11"/>
          <c:order val="11"/>
          <c:tx>
            <c:strRef>
              <c:f>'Des TPS AFR'!$M$1</c:f>
              <c:strCache>
                <c:ptCount val="1"/>
                <c:pt idx="0">
                  <c:v>9.3</c:v>
                </c:pt>
              </c:strCache>
            </c:strRef>
          </c:tx>
          <c:spPr>
            <a:solidFill>
              <a:schemeClr val="accent6">
                <a:lumMod val="6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AFR'!$M$2:$M$43</c:f>
              <c:numCache>
                <c:formatCode>General</c:formatCode>
                <c:ptCount val="42"/>
                <c:pt idx="0">
                  <c:v>13.2</c:v>
                </c:pt>
                <c:pt idx="1">
                  <c:v>13.2</c:v>
                </c:pt>
                <c:pt idx="2">
                  <c:v>13.2</c:v>
                </c:pt>
                <c:pt idx="3">
                  <c:v>13.2</c:v>
                </c:pt>
                <c:pt idx="4">
                  <c:v>13.2</c:v>
                </c:pt>
                <c:pt idx="5">
                  <c:v>13.2</c:v>
                </c:pt>
                <c:pt idx="6">
                  <c:v>13.2</c:v>
                </c:pt>
                <c:pt idx="7">
                  <c:v>13.2</c:v>
                </c:pt>
                <c:pt idx="8">
                  <c:v>13.4</c:v>
                </c:pt>
                <c:pt idx="9">
                  <c:v>13.4</c:v>
                </c:pt>
                <c:pt idx="10">
                  <c:v>13.4</c:v>
                </c:pt>
                <c:pt idx="11">
                  <c:v>13.4</c:v>
                </c:pt>
                <c:pt idx="12">
                  <c:v>13.4</c:v>
                </c:pt>
                <c:pt idx="13">
                  <c:v>13.4</c:v>
                </c:pt>
                <c:pt idx="14">
                  <c:v>13.4</c:v>
                </c:pt>
                <c:pt idx="15">
                  <c:v>13.5</c:v>
                </c:pt>
                <c:pt idx="16">
                  <c:v>13.5</c:v>
                </c:pt>
                <c:pt idx="17">
                  <c:v>13.6</c:v>
                </c:pt>
                <c:pt idx="18">
                  <c:v>13.6</c:v>
                </c:pt>
                <c:pt idx="19">
                  <c:v>13.6</c:v>
                </c:pt>
                <c:pt idx="20">
                  <c:v>13.6</c:v>
                </c:pt>
                <c:pt idx="21">
                  <c:v>13.6</c:v>
                </c:pt>
                <c:pt idx="22">
                  <c:v>13.6</c:v>
                </c:pt>
                <c:pt idx="23">
                  <c:v>13.5</c:v>
                </c:pt>
                <c:pt idx="24">
                  <c:v>13.4</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B-143A-4BA3-ACFD-6BAD200E6285}"/>
            </c:ext>
          </c:extLst>
        </c:ser>
        <c:ser>
          <c:idx val="12"/>
          <c:order val="12"/>
          <c:tx>
            <c:strRef>
              <c:f>'Des TPS AFR'!$N$1</c:f>
              <c:strCache>
                <c:ptCount val="1"/>
                <c:pt idx="0">
                  <c:v>10.6</c:v>
                </c:pt>
              </c:strCache>
            </c:strRef>
          </c:tx>
          <c:spPr>
            <a:solidFill>
              <a:schemeClr val="accent1">
                <a:lumMod val="80000"/>
                <a:lumOff val="2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AFR'!$N$2:$N$43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13.4</c:v>
                </c:pt>
                <c:pt idx="16">
                  <c:v>13.4</c:v>
                </c:pt>
                <c:pt idx="17">
                  <c:v>13.5</c:v>
                </c:pt>
                <c:pt idx="18">
                  <c:v>13.5</c:v>
                </c:pt>
                <c:pt idx="19">
                  <c:v>13.5</c:v>
                </c:pt>
                <c:pt idx="20">
                  <c:v>13.5</c:v>
                </c:pt>
                <c:pt idx="21">
                  <c:v>13.5</c:v>
                </c:pt>
                <c:pt idx="22">
                  <c:v>13.5</c:v>
                </c:pt>
                <c:pt idx="23">
                  <c:v>13.4</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C-143A-4BA3-ACFD-6BAD200E6285}"/>
            </c:ext>
          </c:extLst>
        </c:ser>
        <c:ser>
          <c:idx val="13"/>
          <c:order val="13"/>
          <c:tx>
            <c:strRef>
              <c:f>'Des TPS AFR'!$O$1</c:f>
              <c:strCache>
                <c:ptCount val="1"/>
                <c:pt idx="0">
                  <c:v>15.5</c:v>
                </c:pt>
              </c:strCache>
            </c:strRef>
          </c:tx>
          <c:spPr>
            <a:solidFill>
              <a:schemeClr val="accent2">
                <a:lumMod val="80000"/>
                <a:lumOff val="2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AFR'!$O$2:$O$43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13.4</c:v>
                </c:pt>
                <c:pt idx="18">
                  <c:v>13.4</c:v>
                </c:pt>
                <c:pt idx="19">
                  <c:v>13.4</c:v>
                </c:pt>
                <c:pt idx="20">
                  <c:v>13.4</c:v>
                </c:pt>
                <c:pt idx="21">
                  <c:v>13.4</c:v>
                </c:pt>
                <c:pt idx="22">
                  <c:v>13.4</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D-143A-4BA3-ACFD-6BAD200E6285}"/>
            </c:ext>
          </c:extLst>
        </c:ser>
        <c:ser>
          <c:idx val="14"/>
          <c:order val="14"/>
          <c:tx>
            <c:strRef>
              <c:f>'Des TPS AFR'!$P$1</c:f>
              <c:strCache>
                <c:ptCount val="1"/>
                <c:pt idx="0">
                  <c:v>20.5</c:v>
                </c:pt>
              </c:strCache>
            </c:strRef>
          </c:tx>
          <c:spPr>
            <a:solidFill>
              <a:schemeClr val="accent3">
                <a:lumMod val="80000"/>
                <a:lumOff val="2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AFR'!$P$2:$P$43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E-143A-4BA3-ACFD-6BAD200E6285}"/>
            </c:ext>
          </c:extLst>
        </c:ser>
        <c:ser>
          <c:idx val="15"/>
          <c:order val="15"/>
          <c:tx>
            <c:strRef>
              <c:f>'Des TPS AFR'!$Q$1</c:f>
              <c:strCache>
                <c:ptCount val="1"/>
                <c:pt idx="0">
                  <c:v>25.5</c:v>
                </c:pt>
              </c:strCache>
            </c:strRef>
          </c:tx>
          <c:spPr>
            <a:solidFill>
              <a:schemeClr val="accent4">
                <a:lumMod val="80000"/>
                <a:lumOff val="2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AFR'!$Q$2:$Q$43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F-143A-4BA3-ACFD-6BAD200E6285}"/>
            </c:ext>
          </c:extLst>
        </c:ser>
        <c:ser>
          <c:idx val="16"/>
          <c:order val="16"/>
          <c:tx>
            <c:strRef>
              <c:f>'Des TPS AFR'!$R$1</c:f>
              <c:strCache>
                <c:ptCount val="1"/>
                <c:pt idx="0">
                  <c:v>30.5</c:v>
                </c:pt>
              </c:strCache>
            </c:strRef>
          </c:tx>
          <c:spPr>
            <a:solidFill>
              <a:schemeClr val="accent5">
                <a:lumMod val="80000"/>
                <a:lumOff val="2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AFR'!$R$2:$R$43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10-143A-4BA3-ACFD-6BAD200E6285}"/>
            </c:ext>
          </c:extLst>
        </c:ser>
        <c:ser>
          <c:idx val="17"/>
          <c:order val="17"/>
          <c:tx>
            <c:strRef>
              <c:f>'Des TPS AFR'!$S$1</c:f>
              <c:strCache>
                <c:ptCount val="1"/>
                <c:pt idx="0">
                  <c:v>40.4</c:v>
                </c:pt>
              </c:strCache>
            </c:strRef>
          </c:tx>
          <c:spPr>
            <a:solidFill>
              <a:schemeClr val="accent6">
                <a:lumMod val="80000"/>
                <a:lumOff val="2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AFR'!$S$2:$S$43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11-143A-4BA3-ACFD-6BAD200E6285}"/>
            </c:ext>
          </c:extLst>
        </c:ser>
        <c:ser>
          <c:idx val="18"/>
          <c:order val="18"/>
          <c:tx>
            <c:strRef>
              <c:f>'Des TPS AFR'!$T$1</c:f>
              <c:strCache>
                <c:ptCount val="1"/>
                <c:pt idx="0">
                  <c:v>50.4</c:v>
                </c:pt>
              </c:strCache>
            </c:strRef>
          </c:tx>
          <c:spPr>
            <a:solidFill>
              <a:schemeClr val="accent1">
                <a:lumMod val="8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AFR'!$T$2:$T$43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12-143A-4BA3-ACFD-6BAD200E6285}"/>
            </c:ext>
          </c:extLst>
        </c:ser>
        <c:ser>
          <c:idx val="19"/>
          <c:order val="19"/>
          <c:tx>
            <c:strRef>
              <c:f>'Des TPS AFR'!$U$1</c:f>
              <c:strCache>
                <c:ptCount val="1"/>
                <c:pt idx="0">
                  <c:v>60.3</c:v>
                </c:pt>
              </c:strCache>
            </c:strRef>
          </c:tx>
          <c:spPr>
            <a:solidFill>
              <a:schemeClr val="accent2">
                <a:lumMod val="8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AFR'!$U$2:$U$43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13-143A-4BA3-ACFD-6BAD200E6285}"/>
            </c:ext>
          </c:extLst>
        </c:ser>
        <c:ser>
          <c:idx val="20"/>
          <c:order val="20"/>
          <c:tx>
            <c:strRef>
              <c:f>'Des TPS AFR'!$V$1</c:f>
              <c:strCache>
                <c:ptCount val="1"/>
                <c:pt idx="0">
                  <c:v>70.3</c:v>
                </c:pt>
              </c:strCache>
            </c:strRef>
          </c:tx>
          <c:spPr>
            <a:solidFill>
              <a:schemeClr val="accent3">
                <a:lumMod val="8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AFR'!$V$2:$V$43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14-143A-4BA3-ACFD-6BAD200E6285}"/>
            </c:ext>
          </c:extLst>
        </c:ser>
        <c:ser>
          <c:idx val="21"/>
          <c:order val="21"/>
          <c:tx>
            <c:strRef>
              <c:f>'Des TPS AFR'!$W$1</c:f>
              <c:strCache>
                <c:ptCount val="1"/>
                <c:pt idx="0">
                  <c:v>90.2</c:v>
                </c:pt>
              </c:strCache>
            </c:strRef>
          </c:tx>
          <c:spPr>
            <a:solidFill>
              <a:schemeClr val="accent4">
                <a:lumMod val="8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AFR'!$W$2:$W$43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15-143A-4BA3-ACFD-6BAD200E6285}"/>
            </c:ext>
          </c:extLst>
        </c:ser>
        <c:ser>
          <c:idx val="22"/>
          <c:order val="22"/>
          <c:tx>
            <c:strRef>
              <c:f>'Des TPS AFR'!$X$1</c:f>
              <c:strCache>
                <c:ptCount val="1"/>
                <c:pt idx="0">
                  <c:v>100</c:v>
                </c:pt>
              </c:strCache>
            </c:strRef>
          </c:tx>
          <c:spPr>
            <a:solidFill>
              <a:schemeClr val="accent5">
                <a:lumMod val="8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AFR'!$X$2:$X$43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16-143A-4BA3-ACFD-6BAD200E6285}"/>
            </c:ext>
          </c:extLst>
        </c:ser>
        <c:bandFmts>
          <c:bandFmt>
            <c:idx val="0"/>
            <c:spPr>
              <a:solidFill>
                <a:schemeClr val="accent1"/>
              </a:solidFill>
              <a:ln/>
              <a:effectLst/>
              <a:sp3d/>
            </c:spPr>
          </c:bandFmt>
          <c:bandFmt>
            <c:idx val="1"/>
            <c:spPr>
              <a:solidFill>
                <a:schemeClr val="accent2"/>
              </a:solidFill>
              <a:ln/>
              <a:effectLst/>
              <a:sp3d/>
            </c:spPr>
          </c:bandFmt>
          <c:bandFmt>
            <c:idx val="2"/>
            <c:spPr>
              <a:solidFill>
                <a:schemeClr val="accent3"/>
              </a:solidFill>
              <a:ln/>
              <a:effectLst/>
              <a:sp3d/>
            </c:spPr>
          </c:bandFmt>
          <c:bandFmt>
            <c:idx val="3"/>
            <c:spPr>
              <a:solidFill>
                <a:schemeClr val="accent4"/>
              </a:solidFill>
              <a:ln/>
              <a:effectLst/>
              <a:sp3d/>
            </c:spPr>
          </c:bandFmt>
          <c:bandFmt>
            <c:idx val="4"/>
            <c:spPr>
              <a:solidFill>
                <a:schemeClr val="accent5"/>
              </a:solidFill>
              <a:ln/>
              <a:effectLst/>
              <a:sp3d/>
            </c:spPr>
          </c:bandFmt>
          <c:bandFmt>
            <c:idx val="5"/>
            <c:spPr>
              <a:solidFill>
                <a:schemeClr val="accent6"/>
              </a:solidFill>
              <a:ln/>
              <a:effectLst/>
              <a:sp3d/>
            </c:spPr>
          </c:bandFmt>
          <c:bandFmt>
            <c:idx val="6"/>
            <c:spPr>
              <a:solidFill>
                <a:schemeClr val="accent1">
                  <a:lumMod val="60000"/>
                </a:schemeClr>
              </a:solidFill>
              <a:ln/>
              <a:effectLst/>
              <a:sp3d/>
            </c:spPr>
          </c:bandFmt>
          <c:bandFmt>
            <c:idx val="7"/>
            <c:spPr>
              <a:solidFill>
                <a:schemeClr val="accent2">
                  <a:lumMod val="60000"/>
                </a:schemeClr>
              </a:solidFill>
              <a:ln/>
              <a:effectLst/>
              <a:sp3d/>
            </c:spPr>
          </c:bandFmt>
          <c:bandFmt>
            <c:idx val="8"/>
            <c:spPr>
              <a:solidFill>
                <a:schemeClr val="accent3">
                  <a:lumMod val="60000"/>
                </a:schemeClr>
              </a:solidFill>
              <a:ln/>
              <a:effectLst/>
              <a:sp3d/>
            </c:spPr>
          </c:bandFmt>
          <c:bandFmt>
            <c:idx val="9"/>
            <c:spPr>
              <a:solidFill>
                <a:schemeClr val="accent4">
                  <a:lumMod val="60000"/>
                </a:schemeClr>
              </a:solidFill>
              <a:ln/>
              <a:effectLst/>
              <a:sp3d/>
            </c:spPr>
          </c:bandFmt>
          <c:bandFmt>
            <c:idx val="10"/>
            <c:spPr>
              <a:solidFill>
                <a:schemeClr val="accent5">
                  <a:lumMod val="60000"/>
                </a:schemeClr>
              </a:solidFill>
              <a:ln/>
              <a:effectLst/>
              <a:sp3d/>
            </c:spPr>
          </c:bandFmt>
          <c:bandFmt>
            <c:idx val="11"/>
            <c:spPr>
              <a:solidFill>
                <a:schemeClr val="accent6">
                  <a:lumMod val="60000"/>
                </a:schemeClr>
              </a:solidFill>
              <a:ln/>
              <a:effectLst/>
              <a:sp3d/>
            </c:spPr>
          </c:bandFmt>
          <c:bandFmt>
            <c:idx val="12"/>
            <c:spPr>
              <a:solidFill>
                <a:schemeClr val="accent1">
                  <a:lumMod val="80000"/>
                  <a:lumOff val="20000"/>
                </a:schemeClr>
              </a:solidFill>
              <a:ln/>
              <a:effectLst/>
              <a:sp3d/>
            </c:spPr>
          </c:bandFmt>
          <c:bandFmt>
            <c:idx val="13"/>
            <c:spPr>
              <a:solidFill>
                <a:schemeClr val="accent2">
                  <a:lumMod val="80000"/>
                  <a:lumOff val="20000"/>
                </a:schemeClr>
              </a:solidFill>
              <a:ln/>
              <a:effectLst/>
              <a:sp3d/>
            </c:spPr>
          </c:bandFmt>
          <c:bandFmt>
            <c:idx val="14"/>
            <c:spPr>
              <a:solidFill>
                <a:schemeClr val="accent3">
                  <a:lumMod val="80000"/>
                  <a:lumOff val="20000"/>
                </a:schemeClr>
              </a:solidFill>
              <a:ln/>
              <a:effectLst/>
              <a:sp3d/>
            </c:spPr>
          </c:bandFmt>
        </c:bandFmts>
        <c:axId val="214334544"/>
        <c:axId val="214332464"/>
        <c:axId val="2080187312"/>
      </c:surface3DChart>
      <c:catAx>
        <c:axId val="214334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332464"/>
        <c:crosses val="autoZero"/>
        <c:auto val="1"/>
        <c:lblAlgn val="ctr"/>
        <c:lblOffset val="100"/>
        <c:noMultiLvlLbl val="0"/>
      </c:catAx>
      <c:valAx>
        <c:axId val="214332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334544"/>
        <c:crosses val="autoZero"/>
        <c:crossBetween val="midCat"/>
      </c:valAx>
      <c:serAx>
        <c:axId val="2080187312"/>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332464"/>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Desired IAP A/F</a:t>
            </a:r>
          </a:p>
        </c:rich>
      </c:tx>
      <c:overlay val="0"/>
      <c:spPr>
        <a:noFill/>
        <a:ln>
          <a:noFill/>
        </a:ln>
        <a:effectLst/>
      </c:spPr>
    </c:title>
    <c:autoTitleDeleted val="0"/>
    <c:view3D>
      <c:rotX val="30"/>
      <c:rotY val="14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'Des IAP AFR'!$A$2</c:f>
              <c:strCache>
                <c:ptCount val="1"/>
                <c:pt idx="0">
                  <c:v>800</c:v>
                </c:pt>
              </c:strCache>
            </c:strRef>
          </c:tx>
          <c:spPr>
            <a:solidFill>
              <a:schemeClr val="accent1"/>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AFR'!$B$2:$V$2</c:f>
              <c:numCache>
                <c:formatCode>General</c:formatCode>
                <c:ptCount val="21"/>
                <c:pt idx="0">
                  <c:v>13</c:v>
                </c:pt>
                <c:pt idx="1">
                  <c:v>13</c:v>
                </c:pt>
                <c:pt idx="2">
                  <c:v>13</c:v>
                </c:pt>
                <c:pt idx="3">
                  <c:v>13</c:v>
                </c:pt>
                <c:pt idx="4">
                  <c:v>13</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0-DC2A-4BD1-BD04-69AB6CAF9D8C}"/>
            </c:ext>
          </c:extLst>
        </c:ser>
        <c:ser>
          <c:idx val="1"/>
          <c:order val="1"/>
          <c:tx>
            <c:strRef>
              <c:f>'Des IAP AFR'!$A$3</c:f>
              <c:strCache>
                <c:ptCount val="1"/>
                <c:pt idx="0">
                  <c:v>1000</c:v>
                </c:pt>
              </c:strCache>
            </c:strRef>
          </c:tx>
          <c:spPr>
            <a:solidFill>
              <a:schemeClr val="accent2"/>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AFR'!$B$3:$V$3</c:f>
              <c:numCache>
                <c:formatCode>General</c:formatCode>
                <c:ptCount val="21"/>
                <c:pt idx="0">
                  <c:v>13</c:v>
                </c:pt>
                <c:pt idx="1">
                  <c:v>13</c:v>
                </c:pt>
                <c:pt idx="2">
                  <c:v>13</c:v>
                </c:pt>
                <c:pt idx="3">
                  <c:v>13</c:v>
                </c:pt>
                <c:pt idx="4">
                  <c:v>13</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1-DC2A-4BD1-BD04-69AB6CAF9D8C}"/>
            </c:ext>
          </c:extLst>
        </c:ser>
        <c:ser>
          <c:idx val="2"/>
          <c:order val="2"/>
          <c:tx>
            <c:strRef>
              <c:f>'Des IAP AFR'!$A$4</c:f>
              <c:strCache>
                <c:ptCount val="1"/>
                <c:pt idx="0">
                  <c:v>1200</c:v>
                </c:pt>
              </c:strCache>
            </c:strRef>
          </c:tx>
          <c:spPr>
            <a:solidFill>
              <a:schemeClr val="accent3"/>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AFR'!$B$4:$V$4</c:f>
              <c:numCache>
                <c:formatCode>General</c:formatCode>
                <c:ptCount val="21"/>
                <c:pt idx="0">
                  <c:v>13</c:v>
                </c:pt>
                <c:pt idx="1">
                  <c:v>13</c:v>
                </c:pt>
                <c:pt idx="2">
                  <c:v>13</c:v>
                </c:pt>
                <c:pt idx="3">
                  <c:v>13</c:v>
                </c:pt>
                <c:pt idx="4">
                  <c:v>13</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2-DC2A-4BD1-BD04-69AB6CAF9D8C}"/>
            </c:ext>
          </c:extLst>
        </c:ser>
        <c:ser>
          <c:idx val="3"/>
          <c:order val="3"/>
          <c:tx>
            <c:strRef>
              <c:f>'Des IAP AFR'!$A$5</c:f>
              <c:strCache>
                <c:ptCount val="1"/>
                <c:pt idx="0">
                  <c:v>1400</c:v>
                </c:pt>
              </c:strCache>
            </c:strRef>
          </c:tx>
          <c:spPr>
            <a:solidFill>
              <a:schemeClr val="accent4"/>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AFR'!$B$5:$V$5</c:f>
              <c:numCache>
                <c:formatCode>General</c:formatCode>
                <c:ptCount val="21"/>
                <c:pt idx="0">
                  <c:v>13</c:v>
                </c:pt>
                <c:pt idx="1">
                  <c:v>13</c:v>
                </c:pt>
                <c:pt idx="2">
                  <c:v>13</c:v>
                </c:pt>
                <c:pt idx="3">
                  <c:v>13</c:v>
                </c:pt>
                <c:pt idx="4">
                  <c:v>13</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3-DC2A-4BD1-BD04-69AB6CAF9D8C}"/>
            </c:ext>
          </c:extLst>
        </c:ser>
        <c:ser>
          <c:idx val="4"/>
          <c:order val="4"/>
          <c:tx>
            <c:strRef>
              <c:f>'Des IAP AFR'!$A$6</c:f>
              <c:strCache>
                <c:ptCount val="1"/>
                <c:pt idx="0">
                  <c:v>1600</c:v>
                </c:pt>
              </c:strCache>
            </c:strRef>
          </c:tx>
          <c:spPr>
            <a:solidFill>
              <a:schemeClr val="accent5"/>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AFR'!$B$6:$V$6</c:f>
              <c:numCache>
                <c:formatCode>General</c:formatCode>
                <c:ptCount val="21"/>
                <c:pt idx="0">
                  <c:v>13</c:v>
                </c:pt>
                <c:pt idx="1">
                  <c:v>13</c:v>
                </c:pt>
                <c:pt idx="2">
                  <c:v>13</c:v>
                </c:pt>
                <c:pt idx="3">
                  <c:v>13</c:v>
                </c:pt>
                <c:pt idx="4">
                  <c:v>13</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4-DC2A-4BD1-BD04-69AB6CAF9D8C}"/>
            </c:ext>
          </c:extLst>
        </c:ser>
        <c:ser>
          <c:idx val="5"/>
          <c:order val="5"/>
          <c:tx>
            <c:strRef>
              <c:f>'Des IAP AFR'!$A$7</c:f>
              <c:strCache>
                <c:ptCount val="1"/>
                <c:pt idx="0">
                  <c:v>1800</c:v>
                </c:pt>
              </c:strCache>
            </c:strRef>
          </c:tx>
          <c:spPr>
            <a:solidFill>
              <a:schemeClr val="accent6"/>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AFR'!$B$7:$V$7</c:f>
              <c:numCache>
                <c:formatCode>General</c:formatCode>
                <c:ptCount val="21"/>
                <c:pt idx="0">
                  <c:v>13</c:v>
                </c:pt>
                <c:pt idx="1">
                  <c:v>13</c:v>
                </c:pt>
                <c:pt idx="2">
                  <c:v>13</c:v>
                </c:pt>
                <c:pt idx="3">
                  <c:v>13</c:v>
                </c:pt>
                <c:pt idx="4">
                  <c:v>13</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5-DC2A-4BD1-BD04-69AB6CAF9D8C}"/>
            </c:ext>
          </c:extLst>
        </c:ser>
        <c:ser>
          <c:idx val="6"/>
          <c:order val="6"/>
          <c:tx>
            <c:strRef>
              <c:f>'Des IAP AFR'!$A$8</c:f>
              <c:strCache>
                <c:ptCount val="1"/>
                <c:pt idx="0">
                  <c:v>2000</c:v>
                </c:pt>
              </c:strCache>
            </c:strRef>
          </c:tx>
          <c:spPr>
            <a:solidFill>
              <a:schemeClr val="accent1">
                <a:lumMod val="6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AFR'!$B$8:$V$8</c:f>
              <c:numCache>
                <c:formatCode>General</c:formatCode>
                <c:ptCount val="21"/>
                <c:pt idx="0">
                  <c:v>13</c:v>
                </c:pt>
                <c:pt idx="1">
                  <c:v>13</c:v>
                </c:pt>
                <c:pt idx="2">
                  <c:v>13</c:v>
                </c:pt>
                <c:pt idx="3">
                  <c:v>13</c:v>
                </c:pt>
                <c:pt idx="4">
                  <c:v>13</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6-DC2A-4BD1-BD04-69AB6CAF9D8C}"/>
            </c:ext>
          </c:extLst>
        </c:ser>
        <c:ser>
          <c:idx val="7"/>
          <c:order val="7"/>
          <c:tx>
            <c:strRef>
              <c:f>'Des IAP AFR'!$A$9</c:f>
              <c:strCache>
                <c:ptCount val="1"/>
                <c:pt idx="0">
                  <c:v>2200</c:v>
                </c:pt>
              </c:strCache>
            </c:strRef>
          </c:tx>
          <c:spPr>
            <a:solidFill>
              <a:schemeClr val="accent2">
                <a:lumMod val="6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AFR'!$B$9:$V$9</c:f>
              <c:numCache>
                <c:formatCode>General</c:formatCode>
                <c:ptCount val="21"/>
                <c:pt idx="0">
                  <c:v>13.4</c:v>
                </c:pt>
                <c:pt idx="1">
                  <c:v>13.4</c:v>
                </c:pt>
                <c:pt idx="2">
                  <c:v>13.4</c:v>
                </c:pt>
                <c:pt idx="3">
                  <c:v>13.4</c:v>
                </c:pt>
                <c:pt idx="4">
                  <c:v>13.4</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7-DC2A-4BD1-BD04-69AB6CAF9D8C}"/>
            </c:ext>
          </c:extLst>
        </c:ser>
        <c:ser>
          <c:idx val="8"/>
          <c:order val="8"/>
          <c:tx>
            <c:strRef>
              <c:f>'Des IAP AFR'!$A$10</c:f>
              <c:strCache>
                <c:ptCount val="1"/>
                <c:pt idx="0">
                  <c:v>2400</c:v>
                </c:pt>
              </c:strCache>
            </c:strRef>
          </c:tx>
          <c:spPr>
            <a:solidFill>
              <a:schemeClr val="accent3">
                <a:lumMod val="6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AFR'!$B$10:$V$10</c:f>
              <c:numCache>
                <c:formatCode>General</c:formatCode>
                <c:ptCount val="21"/>
                <c:pt idx="0">
                  <c:v>13.4</c:v>
                </c:pt>
                <c:pt idx="1">
                  <c:v>13.4</c:v>
                </c:pt>
                <c:pt idx="2">
                  <c:v>13.4</c:v>
                </c:pt>
                <c:pt idx="3">
                  <c:v>13.4</c:v>
                </c:pt>
                <c:pt idx="4">
                  <c:v>13.4</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8-DC2A-4BD1-BD04-69AB6CAF9D8C}"/>
            </c:ext>
          </c:extLst>
        </c:ser>
        <c:ser>
          <c:idx val="9"/>
          <c:order val="9"/>
          <c:tx>
            <c:strRef>
              <c:f>'Des IAP AFR'!$A$11</c:f>
              <c:strCache>
                <c:ptCount val="1"/>
                <c:pt idx="0">
                  <c:v>2600</c:v>
                </c:pt>
              </c:strCache>
            </c:strRef>
          </c:tx>
          <c:spPr>
            <a:solidFill>
              <a:schemeClr val="accent4">
                <a:lumMod val="6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AFR'!$B$11:$V$11</c:f>
              <c:numCache>
                <c:formatCode>General</c:formatCode>
                <c:ptCount val="21"/>
                <c:pt idx="0">
                  <c:v>13.4</c:v>
                </c:pt>
                <c:pt idx="1">
                  <c:v>13.4</c:v>
                </c:pt>
                <c:pt idx="2">
                  <c:v>13.4</c:v>
                </c:pt>
                <c:pt idx="3">
                  <c:v>13.4</c:v>
                </c:pt>
                <c:pt idx="4">
                  <c:v>13.4</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9-DC2A-4BD1-BD04-69AB6CAF9D8C}"/>
            </c:ext>
          </c:extLst>
        </c:ser>
        <c:ser>
          <c:idx val="10"/>
          <c:order val="10"/>
          <c:tx>
            <c:strRef>
              <c:f>'Des IAP AFR'!$A$12</c:f>
              <c:strCache>
                <c:ptCount val="1"/>
                <c:pt idx="0">
                  <c:v>2800</c:v>
                </c:pt>
              </c:strCache>
            </c:strRef>
          </c:tx>
          <c:spPr>
            <a:solidFill>
              <a:schemeClr val="accent5">
                <a:lumMod val="6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AFR'!$B$12:$V$12</c:f>
              <c:numCache>
                <c:formatCode>General</c:formatCode>
                <c:ptCount val="21"/>
                <c:pt idx="0">
                  <c:v>13.4</c:v>
                </c:pt>
                <c:pt idx="1">
                  <c:v>13.4</c:v>
                </c:pt>
                <c:pt idx="2">
                  <c:v>13.4</c:v>
                </c:pt>
                <c:pt idx="3">
                  <c:v>13.4</c:v>
                </c:pt>
                <c:pt idx="4">
                  <c:v>13.4</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A-DC2A-4BD1-BD04-69AB6CAF9D8C}"/>
            </c:ext>
          </c:extLst>
        </c:ser>
        <c:ser>
          <c:idx val="11"/>
          <c:order val="11"/>
          <c:tx>
            <c:strRef>
              <c:f>'Des IAP AFR'!$A$13</c:f>
              <c:strCache>
                <c:ptCount val="1"/>
                <c:pt idx="0">
                  <c:v>3000</c:v>
                </c:pt>
              </c:strCache>
            </c:strRef>
          </c:tx>
          <c:spPr>
            <a:solidFill>
              <a:schemeClr val="accent6">
                <a:lumMod val="6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AFR'!$B$13:$V$13</c:f>
              <c:numCache>
                <c:formatCode>General</c:formatCode>
                <c:ptCount val="21"/>
                <c:pt idx="0">
                  <c:v>13.4</c:v>
                </c:pt>
                <c:pt idx="1">
                  <c:v>13.4</c:v>
                </c:pt>
                <c:pt idx="2">
                  <c:v>13.4</c:v>
                </c:pt>
                <c:pt idx="3">
                  <c:v>13.4</c:v>
                </c:pt>
                <c:pt idx="4">
                  <c:v>13.4</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B-DC2A-4BD1-BD04-69AB6CAF9D8C}"/>
            </c:ext>
          </c:extLst>
        </c:ser>
        <c:ser>
          <c:idx val="12"/>
          <c:order val="12"/>
          <c:tx>
            <c:strRef>
              <c:f>'Des IAP AFR'!$A$14</c:f>
              <c:strCache>
                <c:ptCount val="1"/>
                <c:pt idx="0">
                  <c:v>3200</c:v>
                </c:pt>
              </c:strCache>
            </c:strRef>
          </c:tx>
          <c:spPr>
            <a:solidFill>
              <a:schemeClr val="accent1">
                <a:lumMod val="80000"/>
                <a:lumOff val="2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AFR'!$B$14:$V$14</c:f>
              <c:numCache>
                <c:formatCode>General</c:formatCode>
                <c:ptCount val="21"/>
                <c:pt idx="0">
                  <c:v>13.4</c:v>
                </c:pt>
                <c:pt idx="1">
                  <c:v>13.4</c:v>
                </c:pt>
                <c:pt idx="2">
                  <c:v>13.4</c:v>
                </c:pt>
                <c:pt idx="3">
                  <c:v>13.4</c:v>
                </c:pt>
                <c:pt idx="4">
                  <c:v>13.4</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C-DC2A-4BD1-BD04-69AB6CAF9D8C}"/>
            </c:ext>
          </c:extLst>
        </c:ser>
        <c:ser>
          <c:idx val="13"/>
          <c:order val="13"/>
          <c:tx>
            <c:strRef>
              <c:f>'Des IAP AFR'!$A$15</c:f>
              <c:strCache>
                <c:ptCount val="1"/>
                <c:pt idx="0">
                  <c:v>3400</c:v>
                </c:pt>
              </c:strCache>
            </c:strRef>
          </c:tx>
          <c:spPr>
            <a:solidFill>
              <a:schemeClr val="accent2">
                <a:lumMod val="80000"/>
                <a:lumOff val="2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AFR'!$B$15:$V$15</c:f>
              <c:numCache>
                <c:formatCode>General</c:formatCode>
                <c:ptCount val="21"/>
                <c:pt idx="0">
                  <c:v>13.4</c:v>
                </c:pt>
                <c:pt idx="1">
                  <c:v>13.4</c:v>
                </c:pt>
                <c:pt idx="2">
                  <c:v>13.4</c:v>
                </c:pt>
                <c:pt idx="3">
                  <c:v>13.4</c:v>
                </c:pt>
                <c:pt idx="4">
                  <c:v>13.4</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D-DC2A-4BD1-BD04-69AB6CAF9D8C}"/>
            </c:ext>
          </c:extLst>
        </c:ser>
        <c:ser>
          <c:idx val="14"/>
          <c:order val="14"/>
          <c:tx>
            <c:strRef>
              <c:f>'Des IAP AFR'!$A$16</c:f>
              <c:strCache>
                <c:ptCount val="1"/>
                <c:pt idx="0">
                  <c:v>3600</c:v>
                </c:pt>
              </c:strCache>
            </c:strRef>
          </c:tx>
          <c:spPr>
            <a:solidFill>
              <a:schemeClr val="accent3">
                <a:lumMod val="80000"/>
                <a:lumOff val="2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AFR'!$B$16:$V$16</c:f>
              <c:numCache>
                <c:formatCode>General</c:formatCode>
                <c:ptCount val="21"/>
                <c:pt idx="0">
                  <c:v>13.4</c:v>
                </c:pt>
                <c:pt idx="1">
                  <c:v>13.4</c:v>
                </c:pt>
                <c:pt idx="2">
                  <c:v>13.4</c:v>
                </c:pt>
                <c:pt idx="3">
                  <c:v>13.4</c:v>
                </c:pt>
                <c:pt idx="4">
                  <c:v>13.4</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E-DC2A-4BD1-BD04-69AB6CAF9D8C}"/>
            </c:ext>
          </c:extLst>
        </c:ser>
        <c:ser>
          <c:idx val="15"/>
          <c:order val="15"/>
          <c:tx>
            <c:strRef>
              <c:f>'Des IAP AFR'!$A$17</c:f>
              <c:strCache>
                <c:ptCount val="1"/>
                <c:pt idx="0">
                  <c:v>3800</c:v>
                </c:pt>
              </c:strCache>
            </c:strRef>
          </c:tx>
          <c:spPr>
            <a:solidFill>
              <a:schemeClr val="accent4">
                <a:lumMod val="80000"/>
                <a:lumOff val="2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AFR'!$B$17:$V$17</c:f>
              <c:numCache>
                <c:formatCode>General</c:formatCode>
                <c:ptCount val="21"/>
                <c:pt idx="0">
                  <c:v>13.5</c:v>
                </c:pt>
                <c:pt idx="1">
                  <c:v>13.5</c:v>
                </c:pt>
                <c:pt idx="2">
                  <c:v>13.5</c:v>
                </c:pt>
                <c:pt idx="3">
                  <c:v>13.5</c:v>
                </c:pt>
                <c:pt idx="4">
                  <c:v>13.5</c:v>
                </c:pt>
                <c:pt idx="5">
                  <c:v>13.5</c:v>
                </c:pt>
                <c:pt idx="6">
                  <c:v>13.5</c:v>
                </c:pt>
                <c:pt idx="7">
                  <c:v>13.5</c:v>
                </c:pt>
                <c:pt idx="8">
                  <c:v>13.5</c:v>
                </c:pt>
                <c:pt idx="9">
                  <c:v>13.5</c:v>
                </c:pt>
                <c:pt idx="10">
                  <c:v>13.5</c:v>
                </c:pt>
                <c:pt idx="11">
                  <c:v>13.5</c:v>
                </c:pt>
                <c:pt idx="12">
                  <c:v>13.5</c:v>
                </c:pt>
                <c:pt idx="13">
                  <c:v>13.5</c:v>
                </c:pt>
                <c:pt idx="14">
                  <c:v>13.5</c:v>
                </c:pt>
                <c:pt idx="15">
                  <c:v>13.5</c:v>
                </c:pt>
                <c:pt idx="16">
                  <c:v>13.5</c:v>
                </c:pt>
                <c:pt idx="17">
                  <c:v>13.5</c:v>
                </c:pt>
                <c:pt idx="18">
                  <c:v>13.4</c:v>
                </c:pt>
                <c:pt idx="19">
                  <c:v>13.2</c:v>
                </c:pt>
                <c:pt idx="20">
                  <c:v>13.2</c:v>
                </c:pt>
              </c:numCache>
            </c:numRef>
          </c:val>
          <c:extLst>
            <c:ext xmlns:c16="http://schemas.microsoft.com/office/drawing/2014/chart" uri="{C3380CC4-5D6E-409C-BE32-E72D297353CC}">
              <c16:uniqueId val="{0000000F-DC2A-4BD1-BD04-69AB6CAF9D8C}"/>
            </c:ext>
          </c:extLst>
        </c:ser>
        <c:ser>
          <c:idx val="16"/>
          <c:order val="16"/>
          <c:tx>
            <c:strRef>
              <c:f>'Des IAP AFR'!$A$18</c:f>
              <c:strCache>
                <c:ptCount val="1"/>
                <c:pt idx="0">
                  <c:v>4000</c:v>
                </c:pt>
              </c:strCache>
            </c:strRef>
          </c:tx>
          <c:spPr>
            <a:solidFill>
              <a:schemeClr val="accent5">
                <a:lumMod val="80000"/>
                <a:lumOff val="2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AFR'!$B$18:$V$18</c:f>
              <c:numCache>
                <c:formatCode>General</c:formatCode>
                <c:ptCount val="21"/>
                <c:pt idx="0">
                  <c:v>13.5</c:v>
                </c:pt>
                <c:pt idx="1">
                  <c:v>13.5</c:v>
                </c:pt>
                <c:pt idx="2">
                  <c:v>13.5</c:v>
                </c:pt>
                <c:pt idx="3">
                  <c:v>13.5</c:v>
                </c:pt>
                <c:pt idx="4">
                  <c:v>13.5</c:v>
                </c:pt>
                <c:pt idx="5">
                  <c:v>13.5</c:v>
                </c:pt>
                <c:pt idx="6">
                  <c:v>13.5</c:v>
                </c:pt>
                <c:pt idx="7">
                  <c:v>13.5</c:v>
                </c:pt>
                <c:pt idx="8">
                  <c:v>13.5</c:v>
                </c:pt>
                <c:pt idx="9">
                  <c:v>13.5</c:v>
                </c:pt>
                <c:pt idx="10">
                  <c:v>13.5</c:v>
                </c:pt>
                <c:pt idx="11">
                  <c:v>13.5</c:v>
                </c:pt>
                <c:pt idx="12">
                  <c:v>13.5</c:v>
                </c:pt>
                <c:pt idx="13">
                  <c:v>13.5</c:v>
                </c:pt>
                <c:pt idx="14">
                  <c:v>13.5</c:v>
                </c:pt>
                <c:pt idx="15">
                  <c:v>13.5</c:v>
                </c:pt>
                <c:pt idx="16">
                  <c:v>13.5</c:v>
                </c:pt>
                <c:pt idx="17">
                  <c:v>13.5</c:v>
                </c:pt>
                <c:pt idx="18">
                  <c:v>13.4</c:v>
                </c:pt>
                <c:pt idx="19">
                  <c:v>13.2</c:v>
                </c:pt>
                <c:pt idx="20">
                  <c:v>13.2</c:v>
                </c:pt>
              </c:numCache>
            </c:numRef>
          </c:val>
          <c:extLst>
            <c:ext xmlns:c16="http://schemas.microsoft.com/office/drawing/2014/chart" uri="{C3380CC4-5D6E-409C-BE32-E72D297353CC}">
              <c16:uniqueId val="{00000010-DC2A-4BD1-BD04-69AB6CAF9D8C}"/>
            </c:ext>
          </c:extLst>
        </c:ser>
        <c:ser>
          <c:idx val="17"/>
          <c:order val="17"/>
          <c:tx>
            <c:strRef>
              <c:f>'Des IAP AFR'!$A$19</c:f>
              <c:strCache>
                <c:ptCount val="1"/>
                <c:pt idx="0">
                  <c:v>4200</c:v>
                </c:pt>
              </c:strCache>
            </c:strRef>
          </c:tx>
          <c:spPr>
            <a:solidFill>
              <a:schemeClr val="accent6">
                <a:lumMod val="80000"/>
                <a:lumOff val="2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AFR'!$B$19:$V$19</c:f>
              <c:numCache>
                <c:formatCode>General</c:formatCode>
                <c:ptCount val="21"/>
                <c:pt idx="0">
                  <c:v>13.4</c:v>
                </c:pt>
                <c:pt idx="1">
                  <c:v>13.4</c:v>
                </c:pt>
                <c:pt idx="2">
                  <c:v>13.4</c:v>
                </c:pt>
                <c:pt idx="3">
                  <c:v>13.5</c:v>
                </c:pt>
                <c:pt idx="4">
                  <c:v>13.5</c:v>
                </c:pt>
                <c:pt idx="5">
                  <c:v>13.5</c:v>
                </c:pt>
                <c:pt idx="6">
                  <c:v>13.5</c:v>
                </c:pt>
                <c:pt idx="7">
                  <c:v>13.6</c:v>
                </c:pt>
                <c:pt idx="8">
                  <c:v>13.6</c:v>
                </c:pt>
                <c:pt idx="9">
                  <c:v>13.6</c:v>
                </c:pt>
                <c:pt idx="10">
                  <c:v>13.6</c:v>
                </c:pt>
                <c:pt idx="11">
                  <c:v>13.6</c:v>
                </c:pt>
                <c:pt idx="12">
                  <c:v>13.6</c:v>
                </c:pt>
                <c:pt idx="13">
                  <c:v>13.6</c:v>
                </c:pt>
                <c:pt idx="14">
                  <c:v>13.5</c:v>
                </c:pt>
                <c:pt idx="15">
                  <c:v>13.5</c:v>
                </c:pt>
                <c:pt idx="16">
                  <c:v>13.5</c:v>
                </c:pt>
                <c:pt idx="17">
                  <c:v>13.5</c:v>
                </c:pt>
                <c:pt idx="18">
                  <c:v>13.4</c:v>
                </c:pt>
                <c:pt idx="19">
                  <c:v>13.2</c:v>
                </c:pt>
                <c:pt idx="20">
                  <c:v>13.2</c:v>
                </c:pt>
              </c:numCache>
            </c:numRef>
          </c:val>
          <c:extLst>
            <c:ext xmlns:c16="http://schemas.microsoft.com/office/drawing/2014/chart" uri="{C3380CC4-5D6E-409C-BE32-E72D297353CC}">
              <c16:uniqueId val="{00000011-DC2A-4BD1-BD04-69AB6CAF9D8C}"/>
            </c:ext>
          </c:extLst>
        </c:ser>
        <c:ser>
          <c:idx val="18"/>
          <c:order val="18"/>
          <c:tx>
            <c:strRef>
              <c:f>'Des IAP AFR'!$A$20</c:f>
              <c:strCache>
                <c:ptCount val="1"/>
                <c:pt idx="0">
                  <c:v>4400</c:v>
                </c:pt>
              </c:strCache>
            </c:strRef>
          </c:tx>
          <c:spPr>
            <a:solidFill>
              <a:schemeClr val="accent1">
                <a:lumMod val="8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AFR'!$B$20:$V$20</c:f>
              <c:numCache>
                <c:formatCode>General</c:formatCode>
                <c:ptCount val="21"/>
                <c:pt idx="0">
                  <c:v>13.4</c:v>
                </c:pt>
                <c:pt idx="1">
                  <c:v>13.4</c:v>
                </c:pt>
                <c:pt idx="2">
                  <c:v>13.4</c:v>
                </c:pt>
                <c:pt idx="3">
                  <c:v>13.5</c:v>
                </c:pt>
                <c:pt idx="4">
                  <c:v>13.5</c:v>
                </c:pt>
                <c:pt idx="5">
                  <c:v>13.5</c:v>
                </c:pt>
                <c:pt idx="6">
                  <c:v>13.5</c:v>
                </c:pt>
                <c:pt idx="7">
                  <c:v>13.6</c:v>
                </c:pt>
                <c:pt idx="8">
                  <c:v>13.6</c:v>
                </c:pt>
                <c:pt idx="9">
                  <c:v>13.6</c:v>
                </c:pt>
                <c:pt idx="10">
                  <c:v>13.6</c:v>
                </c:pt>
                <c:pt idx="11">
                  <c:v>13.6</c:v>
                </c:pt>
                <c:pt idx="12">
                  <c:v>13.6</c:v>
                </c:pt>
                <c:pt idx="13">
                  <c:v>13.6</c:v>
                </c:pt>
                <c:pt idx="14">
                  <c:v>13.5</c:v>
                </c:pt>
                <c:pt idx="15">
                  <c:v>13.5</c:v>
                </c:pt>
                <c:pt idx="16">
                  <c:v>13.5</c:v>
                </c:pt>
                <c:pt idx="17">
                  <c:v>13.4</c:v>
                </c:pt>
                <c:pt idx="18">
                  <c:v>13.2</c:v>
                </c:pt>
                <c:pt idx="19">
                  <c:v>13.2</c:v>
                </c:pt>
                <c:pt idx="20">
                  <c:v>13.2</c:v>
                </c:pt>
              </c:numCache>
            </c:numRef>
          </c:val>
          <c:extLst>
            <c:ext xmlns:c16="http://schemas.microsoft.com/office/drawing/2014/chart" uri="{C3380CC4-5D6E-409C-BE32-E72D297353CC}">
              <c16:uniqueId val="{00000012-DC2A-4BD1-BD04-69AB6CAF9D8C}"/>
            </c:ext>
          </c:extLst>
        </c:ser>
        <c:ser>
          <c:idx val="19"/>
          <c:order val="19"/>
          <c:tx>
            <c:strRef>
              <c:f>'Des IAP AFR'!$A$21</c:f>
              <c:strCache>
                <c:ptCount val="1"/>
                <c:pt idx="0">
                  <c:v>4600</c:v>
                </c:pt>
              </c:strCache>
            </c:strRef>
          </c:tx>
          <c:spPr>
            <a:solidFill>
              <a:schemeClr val="accent2">
                <a:lumMod val="8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AFR'!$B$21:$V$21</c:f>
              <c:numCache>
                <c:formatCode>General</c:formatCode>
                <c:ptCount val="21"/>
                <c:pt idx="0">
                  <c:v>13.2</c:v>
                </c:pt>
                <c:pt idx="1">
                  <c:v>13.4</c:v>
                </c:pt>
                <c:pt idx="2">
                  <c:v>13.4</c:v>
                </c:pt>
                <c:pt idx="3">
                  <c:v>13.5</c:v>
                </c:pt>
                <c:pt idx="4">
                  <c:v>13.5</c:v>
                </c:pt>
                <c:pt idx="5">
                  <c:v>13.5</c:v>
                </c:pt>
                <c:pt idx="6">
                  <c:v>13.5</c:v>
                </c:pt>
                <c:pt idx="7">
                  <c:v>13.6</c:v>
                </c:pt>
                <c:pt idx="8">
                  <c:v>13.6</c:v>
                </c:pt>
                <c:pt idx="9">
                  <c:v>13.6</c:v>
                </c:pt>
                <c:pt idx="10">
                  <c:v>13.6</c:v>
                </c:pt>
                <c:pt idx="11">
                  <c:v>13.6</c:v>
                </c:pt>
                <c:pt idx="12">
                  <c:v>13.6</c:v>
                </c:pt>
                <c:pt idx="13">
                  <c:v>13.6</c:v>
                </c:pt>
                <c:pt idx="14">
                  <c:v>13.5</c:v>
                </c:pt>
                <c:pt idx="15">
                  <c:v>13.5</c:v>
                </c:pt>
                <c:pt idx="16">
                  <c:v>13.5</c:v>
                </c:pt>
                <c:pt idx="17">
                  <c:v>13.4</c:v>
                </c:pt>
                <c:pt idx="18">
                  <c:v>13.2</c:v>
                </c:pt>
                <c:pt idx="19">
                  <c:v>13.2</c:v>
                </c:pt>
                <c:pt idx="20">
                  <c:v>13.2</c:v>
                </c:pt>
              </c:numCache>
            </c:numRef>
          </c:val>
          <c:extLst>
            <c:ext xmlns:c16="http://schemas.microsoft.com/office/drawing/2014/chart" uri="{C3380CC4-5D6E-409C-BE32-E72D297353CC}">
              <c16:uniqueId val="{00000013-DC2A-4BD1-BD04-69AB6CAF9D8C}"/>
            </c:ext>
          </c:extLst>
        </c:ser>
        <c:ser>
          <c:idx val="20"/>
          <c:order val="20"/>
          <c:tx>
            <c:strRef>
              <c:f>'Des IAP AFR'!$A$22</c:f>
              <c:strCache>
                <c:ptCount val="1"/>
                <c:pt idx="0">
                  <c:v>4800</c:v>
                </c:pt>
              </c:strCache>
            </c:strRef>
          </c:tx>
          <c:spPr>
            <a:solidFill>
              <a:schemeClr val="accent3">
                <a:lumMod val="8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AFR'!$B$22:$V$22</c:f>
              <c:numCache>
                <c:formatCode>General</c:formatCode>
                <c:ptCount val="21"/>
                <c:pt idx="0">
                  <c:v>13.2</c:v>
                </c:pt>
                <c:pt idx="1">
                  <c:v>13.2</c:v>
                </c:pt>
                <c:pt idx="2">
                  <c:v>13.4</c:v>
                </c:pt>
                <c:pt idx="3">
                  <c:v>13.5</c:v>
                </c:pt>
                <c:pt idx="4">
                  <c:v>13.5</c:v>
                </c:pt>
                <c:pt idx="5">
                  <c:v>13.5</c:v>
                </c:pt>
                <c:pt idx="6">
                  <c:v>13.5</c:v>
                </c:pt>
                <c:pt idx="7">
                  <c:v>13.6</c:v>
                </c:pt>
                <c:pt idx="8">
                  <c:v>13.6</c:v>
                </c:pt>
                <c:pt idx="9">
                  <c:v>13.6</c:v>
                </c:pt>
                <c:pt idx="10">
                  <c:v>13.6</c:v>
                </c:pt>
                <c:pt idx="11">
                  <c:v>13.6</c:v>
                </c:pt>
                <c:pt idx="12">
                  <c:v>13.6</c:v>
                </c:pt>
                <c:pt idx="13">
                  <c:v>13.6</c:v>
                </c:pt>
                <c:pt idx="14">
                  <c:v>13.5</c:v>
                </c:pt>
                <c:pt idx="15">
                  <c:v>13.5</c:v>
                </c:pt>
                <c:pt idx="16">
                  <c:v>13.5</c:v>
                </c:pt>
                <c:pt idx="17">
                  <c:v>13.4</c:v>
                </c:pt>
                <c:pt idx="18">
                  <c:v>13.2</c:v>
                </c:pt>
                <c:pt idx="19">
                  <c:v>13.2</c:v>
                </c:pt>
                <c:pt idx="20">
                  <c:v>13.2</c:v>
                </c:pt>
              </c:numCache>
            </c:numRef>
          </c:val>
          <c:extLst>
            <c:ext xmlns:c16="http://schemas.microsoft.com/office/drawing/2014/chart" uri="{C3380CC4-5D6E-409C-BE32-E72D297353CC}">
              <c16:uniqueId val="{00000014-DC2A-4BD1-BD04-69AB6CAF9D8C}"/>
            </c:ext>
          </c:extLst>
        </c:ser>
        <c:ser>
          <c:idx val="21"/>
          <c:order val="21"/>
          <c:tx>
            <c:strRef>
              <c:f>'Des IAP AFR'!$A$23</c:f>
              <c:strCache>
                <c:ptCount val="1"/>
                <c:pt idx="0">
                  <c:v>5000</c:v>
                </c:pt>
              </c:strCache>
            </c:strRef>
          </c:tx>
          <c:spPr>
            <a:solidFill>
              <a:schemeClr val="accent4">
                <a:lumMod val="8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AFR'!$B$23:$V$23</c:f>
              <c:numCache>
                <c:formatCode>General</c:formatCode>
                <c:ptCount val="21"/>
                <c:pt idx="0">
                  <c:v>13.2</c:v>
                </c:pt>
                <c:pt idx="1">
                  <c:v>13.2</c:v>
                </c:pt>
                <c:pt idx="2">
                  <c:v>13.4</c:v>
                </c:pt>
                <c:pt idx="3">
                  <c:v>13.5</c:v>
                </c:pt>
                <c:pt idx="4">
                  <c:v>13.5</c:v>
                </c:pt>
                <c:pt idx="5">
                  <c:v>13.5</c:v>
                </c:pt>
                <c:pt idx="6">
                  <c:v>13.5</c:v>
                </c:pt>
                <c:pt idx="7">
                  <c:v>13.6</c:v>
                </c:pt>
                <c:pt idx="8">
                  <c:v>13.6</c:v>
                </c:pt>
                <c:pt idx="9">
                  <c:v>13.6</c:v>
                </c:pt>
                <c:pt idx="10">
                  <c:v>13.6</c:v>
                </c:pt>
                <c:pt idx="11">
                  <c:v>13.6</c:v>
                </c:pt>
                <c:pt idx="12">
                  <c:v>13.6</c:v>
                </c:pt>
                <c:pt idx="13">
                  <c:v>13.6</c:v>
                </c:pt>
                <c:pt idx="14">
                  <c:v>13.5</c:v>
                </c:pt>
                <c:pt idx="15">
                  <c:v>13.5</c:v>
                </c:pt>
                <c:pt idx="16">
                  <c:v>13.5</c:v>
                </c:pt>
                <c:pt idx="17">
                  <c:v>13.4</c:v>
                </c:pt>
                <c:pt idx="18">
                  <c:v>13.2</c:v>
                </c:pt>
                <c:pt idx="19">
                  <c:v>13.2</c:v>
                </c:pt>
                <c:pt idx="20">
                  <c:v>13.2</c:v>
                </c:pt>
              </c:numCache>
            </c:numRef>
          </c:val>
          <c:extLst>
            <c:ext xmlns:c16="http://schemas.microsoft.com/office/drawing/2014/chart" uri="{C3380CC4-5D6E-409C-BE32-E72D297353CC}">
              <c16:uniqueId val="{00000015-DC2A-4BD1-BD04-69AB6CAF9D8C}"/>
            </c:ext>
          </c:extLst>
        </c:ser>
        <c:ser>
          <c:idx val="22"/>
          <c:order val="22"/>
          <c:tx>
            <c:strRef>
              <c:f>'Des IAP AFR'!$A$24</c:f>
              <c:strCache>
                <c:ptCount val="1"/>
                <c:pt idx="0">
                  <c:v>5200</c:v>
                </c:pt>
              </c:strCache>
            </c:strRef>
          </c:tx>
          <c:spPr>
            <a:solidFill>
              <a:schemeClr val="accent5">
                <a:lumMod val="8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AFR'!$B$24:$V$24</c:f>
              <c:numCache>
                <c:formatCode>General</c:formatCode>
                <c:ptCount val="21"/>
                <c:pt idx="0">
                  <c:v>13.2</c:v>
                </c:pt>
                <c:pt idx="1">
                  <c:v>13.2</c:v>
                </c:pt>
                <c:pt idx="2">
                  <c:v>13.4</c:v>
                </c:pt>
                <c:pt idx="3">
                  <c:v>13.4</c:v>
                </c:pt>
                <c:pt idx="4">
                  <c:v>13.5</c:v>
                </c:pt>
                <c:pt idx="5">
                  <c:v>13.5</c:v>
                </c:pt>
                <c:pt idx="6">
                  <c:v>13.5</c:v>
                </c:pt>
                <c:pt idx="7">
                  <c:v>13.6</c:v>
                </c:pt>
                <c:pt idx="8">
                  <c:v>13.6</c:v>
                </c:pt>
                <c:pt idx="9">
                  <c:v>13.6</c:v>
                </c:pt>
                <c:pt idx="10">
                  <c:v>13.6</c:v>
                </c:pt>
                <c:pt idx="11">
                  <c:v>13.6</c:v>
                </c:pt>
                <c:pt idx="12">
                  <c:v>13.6</c:v>
                </c:pt>
                <c:pt idx="13">
                  <c:v>13.6</c:v>
                </c:pt>
                <c:pt idx="14">
                  <c:v>13.5</c:v>
                </c:pt>
                <c:pt idx="15">
                  <c:v>13.5</c:v>
                </c:pt>
                <c:pt idx="16">
                  <c:v>13.5</c:v>
                </c:pt>
                <c:pt idx="17">
                  <c:v>13.4</c:v>
                </c:pt>
                <c:pt idx="18">
                  <c:v>13.2</c:v>
                </c:pt>
                <c:pt idx="19">
                  <c:v>13.2</c:v>
                </c:pt>
                <c:pt idx="20">
                  <c:v>13.2</c:v>
                </c:pt>
              </c:numCache>
            </c:numRef>
          </c:val>
          <c:extLst>
            <c:ext xmlns:c16="http://schemas.microsoft.com/office/drawing/2014/chart" uri="{C3380CC4-5D6E-409C-BE32-E72D297353CC}">
              <c16:uniqueId val="{00000016-DC2A-4BD1-BD04-69AB6CAF9D8C}"/>
            </c:ext>
          </c:extLst>
        </c:ser>
        <c:ser>
          <c:idx val="23"/>
          <c:order val="23"/>
          <c:tx>
            <c:strRef>
              <c:f>'Des IAP AFR'!$A$25</c:f>
              <c:strCache>
                <c:ptCount val="1"/>
                <c:pt idx="0">
                  <c:v>5600</c:v>
                </c:pt>
              </c:strCache>
            </c:strRef>
          </c:tx>
          <c:spPr>
            <a:solidFill>
              <a:schemeClr val="accent6">
                <a:lumMod val="8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AFR'!$B$25:$V$25</c:f>
              <c:numCache>
                <c:formatCode>General</c:formatCode>
                <c:ptCount val="21"/>
                <c:pt idx="0">
                  <c:v>13.2</c:v>
                </c:pt>
                <c:pt idx="1">
                  <c:v>13.2</c:v>
                </c:pt>
                <c:pt idx="2">
                  <c:v>13.2</c:v>
                </c:pt>
                <c:pt idx="3">
                  <c:v>13.4</c:v>
                </c:pt>
                <c:pt idx="4">
                  <c:v>13.4</c:v>
                </c:pt>
                <c:pt idx="5">
                  <c:v>13.4</c:v>
                </c:pt>
                <c:pt idx="6">
                  <c:v>13.4</c:v>
                </c:pt>
                <c:pt idx="7">
                  <c:v>13.4</c:v>
                </c:pt>
                <c:pt idx="8">
                  <c:v>13.4</c:v>
                </c:pt>
                <c:pt idx="9">
                  <c:v>13.4</c:v>
                </c:pt>
                <c:pt idx="10">
                  <c:v>13.5</c:v>
                </c:pt>
                <c:pt idx="11">
                  <c:v>13.5</c:v>
                </c:pt>
                <c:pt idx="12">
                  <c:v>13.5</c:v>
                </c:pt>
                <c:pt idx="13">
                  <c:v>13.5</c:v>
                </c:pt>
                <c:pt idx="14">
                  <c:v>13.4</c:v>
                </c:pt>
                <c:pt idx="15">
                  <c:v>13.4</c:v>
                </c:pt>
                <c:pt idx="16">
                  <c:v>13.4</c:v>
                </c:pt>
                <c:pt idx="17">
                  <c:v>13.4</c:v>
                </c:pt>
                <c:pt idx="18">
                  <c:v>13.2</c:v>
                </c:pt>
                <c:pt idx="19">
                  <c:v>13.2</c:v>
                </c:pt>
                <c:pt idx="20">
                  <c:v>13.2</c:v>
                </c:pt>
              </c:numCache>
            </c:numRef>
          </c:val>
          <c:extLst>
            <c:ext xmlns:c16="http://schemas.microsoft.com/office/drawing/2014/chart" uri="{C3380CC4-5D6E-409C-BE32-E72D297353CC}">
              <c16:uniqueId val="{00000017-DC2A-4BD1-BD04-69AB6CAF9D8C}"/>
            </c:ext>
          </c:extLst>
        </c:ser>
        <c:ser>
          <c:idx val="24"/>
          <c:order val="24"/>
          <c:tx>
            <c:strRef>
              <c:f>'Des IAP AFR'!$A$26</c:f>
              <c:strCache>
                <c:ptCount val="1"/>
                <c:pt idx="0">
                  <c:v>6000</c:v>
                </c:pt>
              </c:strCache>
            </c:strRef>
          </c:tx>
          <c:spPr>
            <a:solidFill>
              <a:schemeClr val="accent1">
                <a:lumMod val="60000"/>
                <a:lumOff val="4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AFR'!$B$26:$V$26</c:f>
              <c:numCache>
                <c:formatCode>General</c:formatCode>
                <c:ptCount val="21"/>
                <c:pt idx="0">
                  <c:v>13.2</c:v>
                </c:pt>
                <c:pt idx="1">
                  <c:v>13.2</c:v>
                </c:pt>
                <c:pt idx="2">
                  <c:v>13.2</c:v>
                </c:pt>
                <c:pt idx="3">
                  <c:v>13.2</c:v>
                </c:pt>
                <c:pt idx="4">
                  <c:v>13.2</c:v>
                </c:pt>
                <c:pt idx="5">
                  <c:v>13.2</c:v>
                </c:pt>
                <c:pt idx="6">
                  <c:v>13.2</c:v>
                </c:pt>
                <c:pt idx="7">
                  <c:v>13.2</c:v>
                </c:pt>
                <c:pt idx="8">
                  <c:v>13.2</c:v>
                </c:pt>
                <c:pt idx="9">
                  <c:v>13.4</c:v>
                </c:pt>
                <c:pt idx="10">
                  <c:v>13.4</c:v>
                </c:pt>
                <c:pt idx="11">
                  <c:v>13.4</c:v>
                </c:pt>
                <c:pt idx="12">
                  <c:v>13.4</c:v>
                </c:pt>
                <c:pt idx="13">
                  <c:v>13.4</c:v>
                </c:pt>
                <c:pt idx="14">
                  <c:v>13.4</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18-DC2A-4BD1-BD04-69AB6CAF9D8C}"/>
            </c:ext>
          </c:extLst>
        </c:ser>
        <c:ser>
          <c:idx val="25"/>
          <c:order val="25"/>
          <c:tx>
            <c:strRef>
              <c:f>'Des IAP AFR'!$A$27</c:f>
              <c:strCache>
                <c:ptCount val="1"/>
                <c:pt idx="0">
                  <c:v>6400</c:v>
                </c:pt>
              </c:strCache>
            </c:strRef>
          </c:tx>
          <c:spPr>
            <a:solidFill>
              <a:schemeClr val="accent2">
                <a:lumMod val="60000"/>
                <a:lumOff val="4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AFR'!$B$27:$V$27</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19-DC2A-4BD1-BD04-69AB6CAF9D8C}"/>
            </c:ext>
          </c:extLst>
        </c:ser>
        <c:ser>
          <c:idx val="26"/>
          <c:order val="26"/>
          <c:tx>
            <c:strRef>
              <c:f>'Des IAP AFR'!$A$28</c:f>
              <c:strCache>
                <c:ptCount val="1"/>
                <c:pt idx="0">
                  <c:v>6800</c:v>
                </c:pt>
              </c:strCache>
            </c:strRef>
          </c:tx>
          <c:spPr>
            <a:solidFill>
              <a:schemeClr val="accent3">
                <a:lumMod val="60000"/>
                <a:lumOff val="4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AFR'!$B$28:$V$28</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1A-DC2A-4BD1-BD04-69AB6CAF9D8C}"/>
            </c:ext>
          </c:extLst>
        </c:ser>
        <c:ser>
          <c:idx val="27"/>
          <c:order val="27"/>
          <c:tx>
            <c:strRef>
              <c:f>'Des IAP AFR'!$A$29</c:f>
              <c:strCache>
                <c:ptCount val="1"/>
                <c:pt idx="0">
                  <c:v>7200</c:v>
                </c:pt>
              </c:strCache>
            </c:strRef>
          </c:tx>
          <c:spPr>
            <a:solidFill>
              <a:schemeClr val="accent4">
                <a:lumMod val="60000"/>
                <a:lumOff val="4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AFR'!$B$29:$V$29</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1B-DC2A-4BD1-BD04-69AB6CAF9D8C}"/>
            </c:ext>
          </c:extLst>
        </c:ser>
        <c:ser>
          <c:idx val="28"/>
          <c:order val="28"/>
          <c:tx>
            <c:strRef>
              <c:f>'Des IAP AFR'!$A$30</c:f>
              <c:strCache>
                <c:ptCount val="1"/>
                <c:pt idx="0">
                  <c:v>7600</c:v>
                </c:pt>
              </c:strCache>
            </c:strRef>
          </c:tx>
          <c:spPr>
            <a:solidFill>
              <a:schemeClr val="accent5">
                <a:lumMod val="60000"/>
                <a:lumOff val="4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AFR'!$B$30:$V$30</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1C-DC2A-4BD1-BD04-69AB6CAF9D8C}"/>
            </c:ext>
          </c:extLst>
        </c:ser>
        <c:ser>
          <c:idx val="29"/>
          <c:order val="29"/>
          <c:tx>
            <c:strRef>
              <c:f>'Des IAP AFR'!$A$31</c:f>
              <c:strCache>
                <c:ptCount val="1"/>
                <c:pt idx="0">
                  <c:v>8000</c:v>
                </c:pt>
              </c:strCache>
            </c:strRef>
          </c:tx>
          <c:spPr>
            <a:solidFill>
              <a:schemeClr val="accent6">
                <a:lumMod val="60000"/>
                <a:lumOff val="4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AFR'!$B$31:$V$31</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1D-DC2A-4BD1-BD04-69AB6CAF9D8C}"/>
            </c:ext>
          </c:extLst>
        </c:ser>
        <c:ser>
          <c:idx val="30"/>
          <c:order val="30"/>
          <c:tx>
            <c:strRef>
              <c:f>'Des IAP AFR'!$A$32</c:f>
              <c:strCache>
                <c:ptCount val="1"/>
                <c:pt idx="0">
                  <c:v>8400</c:v>
                </c:pt>
              </c:strCache>
            </c:strRef>
          </c:tx>
          <c:spPr>
            <a:solidFill>
              <a:schemeClr val="accent1">
                <a:lumMod val="5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AFR'!$B$32:$V$32</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1E-DC2A-4BD1-BD04-69AB6CAF9D8C}"/>
            </c:ext>
          </c:extLst>
        </c:ser>
        <c:ser>
          <c:idx val="31"/>
          <c:order val="31"/>
          <c:tx>
            <c:strRef>
              <c:f>'Des IAP AFR'!$A$33</c:f>
              <c:strCache>
                <c:ptCount val="1"/>
                <c:pt idx="0">
                  <c:v>8800</c:v>
                </c:pt>
              </c:strCache>
            </c:strRef>
          </c:tx>
          <c:spPr>
            <a:solidFill>
              <a:schemeClr val="accent2">
                <a:lumMod val="5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AFR'!$B$33:$V$33</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1F-DC2A-4BD1-BD04-69AB6CAF9D8C}"/>
            </c:ext>
          </c:extLst>
        </c:ser>
        <c:ser>
          <c:idx val="32"/>
          <c:order val="32"/>
          <c:tx>
            <c:strRef>
              <c:f>'Des IAP AFR'!$A$34</c:f>
              <c:strCache>
                <c:ptCount val="1"/>
                <c:pt idx="0">
                  <c:v>9200</c:v>
                </c:pt>
              </c:strCache>
            </c:strRef>
          </c:tx>
          <c:spPr>
            <a:solidFill>
              <a:schemeClr val="accent3">
                <a:lumMod val="5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AFR'!$B$34:$V$34</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20-DC2A-4BD1-BD04-69AB6CAF9D8C}"/>
            </c:ext>
          </c:extLst>
        </c:ser>
        <c:ser>
          <c:idx val="33"/>
          <c:order val="33"/>
          <c:tx>
            <c:strRef>
              <c:f>'Des IAP AFR'!$A$35</c:f>
              <c:strCache>
                <c:ptCount val="1"/>
                <c:pt idx="0">
                  <c:v>9600</c:v>
                </c:pt>
              </c:strCache>
            </c:strRef>
          </c:tx>
          <c:spPr>
            <a:solidFill>
              <a:schemeClr val="accent4">
                <a:lumMod val="5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AFR'!$B$35:$V$35</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21-DC2A-4BD1-BD04-69AB6CAF9D8C}"/>
            </c:ext>
          </c:extLst>
        </c:ser>
        <c:ser>
          <c:idx val="34"/>
          <c:order val="34"/>
          <c:tx>
            <c:strRef>
              <c:f>'Des IAP AFR'!$A$36</c:f>
              <c:strCache>
                <c:ptCount val="1"/>
                <c:pt idx="0">
                  <c:v>10000</c:v>
                </c:pt>
              </c:strCache>
            </c:strRef>
          </c:tx>
          <c:spPr>
            <a:solidFill>
              <a:schemeClr val="accent5">
                <a:lumMod val="5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AFR'!$B$36:$V$36</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22-DC2A-4BD1-BD04-69AB6CAF9D8C}"/>
            </c:ext>
          </c:extLst>
        </c:ser>
        <c:ser>
          <c:idx val="35"/>
          <c:order val="35"/>
          <c:tx>
            <c:strRef>
              <c:f>'Des IAP AFR'!$A$37</c:f>
              <c:strCache>
                <c:ptCount val="1"/>
                <c:pt idx="0">
                  <c:v>10400</c:v>
                </c:pt>
              </c:strCache>
            </c:strRef>
          </c:tx>
          <c:spPr>
            <a:solidFill>
              <a:schemeClr val="accent6">
                <a:lumMod val="5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AFR'!$B$37:$V$37</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23-DC2A-4BD1-BD04-69AB6CAF9D8C}"/>
            </c:ext>
          </c:extLst>
        </c:ser>
        <c:ser>
          <c:idx val="36"/>
          <c:order val="36"/>
          <c:tx>
            <c:strRef>
              <c:f>'Des IAP AFR'!$A$38</c:f>
              <c:strCache>
                <c:ptCount val="1"/>
                <c:pt idx="0">
                  <c:v>10800</c:v>
                </c:pt>
              </c:strCache>
            </c:strRef>
          </c:tx>
          <c:spPr>
            <a:solidFill>
              <a:schemeClr val="accent1">
                <a:lumMod val="70000"/>
                <a:lumOff val="3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AFR'!$B$38:$V$38</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24-DC2A-4BD1-BD04-69AB6CAF9D8C}"/>
            </c:ext>
          </c:extLst>
        </c:ser>
        <c:ser>
          <c:idx val="37"/>
          <c:order val="37"/>
          <c:tx>
            <c:strRef>
              <c:f>'Des IAP AFR'!$A$39</c:f>
              <c:strCache>
                <c:ptCount val="1"/>
                <c:pt idx="0">
                  <c:v>11200</c:v>
                </c:pt>
              </c:strCache>
            </c:strRef>
          </c:tx>
          <c:spPr>
            <a:solidFill>
              <a:schemeClr val="accent2">
                <a:lumMod val="70000"/>
                <a:lumOff val="3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AFR'!$B$39:$V$39</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25-DC2A-4BD1-BD04-69AB6CAF9D8C}"/>
            </c:ext>
          </c:extLst>
        </c:ser>
        <c:ser>
          <c:idx val="38"/>
          <c:order val="38"/>
          <c:tx>
            <c:strRef>
              <c:f>'Des IAP AFR'!$A$40</c:f>
              <c:strCache>
                <c:ptCount val="1"/>
                <c:pt idx="0">
                  <c:v>11600</c:v>
                </c:pt>
              </c:strCache>
            </c:strRef>
          </c:tx>
          <c:spPr>
            <a:solidFill>
              <a:schemeClr val="accent3">
                <a:lumMod val="70000"/>
                <a:lumOff val="3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AFR'!$B$40:$V$40</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26-DC2A-4BD1-BD04-69AB6CAF9D8C}"/>
            </c:ext>
          </c:extLst>
        </c:ser>
        <c:ser>
          <c:idx val="39"/>
          <c:order val="39"/>
          <c:tx>
            <c:strRef>
              <c:f>'Des IAP AFR'!$A$41</c:f>
              <c:strCache>
                <c:ptCount val="1"/>
                <c:pt idx="0">
                  <c:v>12000</c:v>
                </c:pt>
              </c:strCache>
            </c:strRef>
          </c:tx>
          <c:spPr>
            <a:solidFill>
              <a:schemeClr val="accent4">
                <a:lumMod val="70000"/>
                <a:lumOff val="3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AFR'!$B$41:$V$41</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27-DC2A-4BD1-BD04-69AB6CAF9D8C}"/>
            </c:ext>
          </c:extLst>
        </c:ser>
        <c:ser>
          <c:idx val="40"/>
          <c:order val="40"/>
          <c:tx>
            <c:strRef>
              <c:f>'Des IAP AFR'!$A$42</c:f>
              <c:strCache>
                <c:ptCount val="1"/>
                <c:pt idx="0">
                  <c:v>12400</c:v>
                </c:pt>
              </c:strCache>
            </c:strRef>
          </c:tx>
          <c:spPr>
            <a:solidFill>
              <a:schemeClr val="accent5">
                <a:lumMod val="70000"/>
                <a:lumOff val="3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AFR'!$B$42:$V$42</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28-DC2A-4BD1-BD04-69AB6CAF9D8C}"/>
            </c:ext>
          </c:extLst>
        </c:ser>
        <c:ser>
          <c:idx val="41"/>
          <c:order val="41"/>
          <c:tx>
            <c:strRef>
              <c:f>'Des IAP AFR'!$A$43</c:f>
              <c:strCache>
                <c:ptCount val="1"/>
                <c:pt idx="0">
                  <c:v>12800</c:v>
                </c:pt>
              </c:strCache>
            </c:strRef>
          </c:tx>
          <c:spPr>
            <a:solidFill>
              <a:schemeClr val="accent6">
                <a:lumMod val="70000"/>
                <a:lumOff val="3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AFR'!$B$43:$V$43</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29-DC2A-4BD1-BD04-69AB6CAF9D8C}"/>
            </c:ext>
          </c:extLst>
        </c:ser>
        <c:bandFmts>
          <c:bandFmt>
            <c:idx val="0"/>
            <c:spPr>
              <a:solidFill>
                <a:schemeClr val="accent1"/>
              </a:solidFill>
              <a:ln/>
              <a:effectLst/>
              <a:sp3d/>
            </c:spPr>
          </c:bandFmt>
          <c:bandFmt>
            <c:idx val="1"/>
            <c:spPr>
              <a:solidFill>
                <a:schemeClr val="accent2"/>
              </a:solidFill>
              <a:ln/>
              <a:effectLst/>
              <a:sp3d/>
            </c:spPr>
          </c:bandFmt>
          <c:bandFmt>
            <c:idx val="2"/>
            <c:spPr>
              <a:solidFill>
                <a:schemeClr val="accent3"/>
              </a:solidFill>
              <a:ln/>
              <a:effectLst/>
              <a:sp3d/>
            </c:spPr>
          </c:bandFmt>
          <c:bandFmt>
            <c:idx val="3"/>
            <c:spPr>
              <a:solidFill>
                <a:schemeClr val="accent4"/>
              </a:solidFill>
              <a:ln/>
              <a:effectLst/>
              <a:sp3d/>
            </c:spPr>
          </c:bandFmt>
          <c:bandFmt>
            <c:idx val="4"/>
            <c:spPr>
              <a:solidFill>
                <a:schemeClr val="accent5"/>
              </a:solidFill>
              <a:ln/>
              <a:effectLst/>
              <a:sp3d/>
            </c:spPr>
          </c:bandFmt>
          <c:bandFmt>
            <c:idx val="5"/>
            <c:spPr>
              <a:solidFill>
                <a:schemeClr val="accent6"/>
              </a:solidFill>
              <a:ln/>
              <a:effectLst/>
              <a:sp3d/>
            </c:spPr>
          </c:bandFmt>
          <c:bandFmt>
            <c:idx val="6"/>
            <c:spPr>
              <a:solidFill>
                <a:schemeClr val="accent1">
                  <a:lumMod val="60000"/>
                </a:schemeClr>
              </a:solidFill>
              <a:ln/>
              <a:effectLst/>
              <a:sp3d/>
            </c:spPr>
          </c:bandFmt>
          <c:bandFmt>
            <c:idx val="7"/>
            <c:spPr>
              <a:solidFill>
                <a:schemeClr val="accent2">
                  <a:lumMod val="60000"/>
                </a:schemeClr>
              </a:solidFill>
              <a:ln/>
              <a:effectLst/>
              <a:sp3d/>
            </c:spPr>
          </c:bandFmt>
          <c:bandFmt>
            <c:idx val="8"/>
            <c:spPr>
              <a:solidFill>
                <a:schemeClr val="accent3">
                  <a:lumMod val="60000"/>
                </a:schemeClr>
              </a:solidFill>
              <a:ln/>
              <a:effectLst/>
              <a:sp3d/>
            </c:spPr>
          </c:bandFmt>
          <c:bandFmt>
            <c:idx val="9"/>
            <c:spPr>
              <a:solidFill>
                <a:schemeClr val="accent4">
                  <a:lumMod val="60000"/>
                </a:schemeClr>
              </a:solidFill>
              <a:ln/>
              <a:effectLst/>
              <a:sp3d/>
            </c:spPr>
          </c:bandFmt>
          <c:bandFmt>
            <c:idx val="10"/>
            <c:spPr>
              <a:solidFill>
                <a:schemeClr val="accent5">
                  <a:lumMod val="60000"/>
                </a:schemeClr>
              </a:solidFill>
              <a:ln/>
              <a:effectLst/>
              <a:sp3d/>
            </c:spPr>
          </c:bandFmt>
          <c:bandFmt>
            <c:idx val="11"/>
            <c:spPr>
              <a:solidFill>
                <a:schemeClr val="accent6">
                  <a:lumMod val="60000"/>
                </a:schemeClr>
              </a:solidFill>
              <a:ln/>
              <a:effectLst/>
              <a:sp3d/>
            </c:spPr>
          </c:bandFmt>
          <c:bandFmt>
            <c:idx val="12"/>
            <c:spPr>
              <a:solidFill>
                <a:schemeClr val="accent1">
                  <a:lumMod val="80000"/>
                  <a:lumOff val="20000"/>
                </a:schemeClr>
              </a:solidFill>
              <a:ln/>
              <a:effectLst/>
              <a:sp3d/>
            </c:spPr>
          </c:bandFmt>
          <c:bandFmt>
            <c:idx val="13"/>
            <c:spPr>
              <a:solidFill>
                <a:schemeClr val="accent2">
                  <a:lumMod val="80000"/>
                  <a:lumOff val="20000"/>
                </a:schemeClr>
              </a:solidFill>
              <a:ln/>
              <a:effectLst/>
              <a:sp3d/>
            </c:spPr>
          </c:bandFmt>
          <c:bandFmt>
            <c:idx val="14"/>
            <c:spPr>
              <a:solidFill>
                <a:schemeClr val="accent3">
                  <a:lumMod val="80000"/>
                  <a:lumOff val="20000"/>
                </a:schemeClr>
              </a:solidFill>
              <a:ln/>
              <a:effectLst/>
              <a:sp3d/>
            </c:spPr>
          </c:bandFmt>
        </c:bandFmts>
        <c:axId val="349646784"/>
        <c:axId val="349644704"/>
        <c:axId val="336978976"/>
      </c:surface3DChart>
      <c:catAx>
        <c:axId val="3496467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644704"/>
        <c:crosses val="autoZero"/>
        <c:auto val="1"/>
        <c:lblAlgn val="ctr"/>
        <c:lblOffset val="100"/>
        <c:noMultiLvlLbl val="0"/>
      </c:catAx>
      <c:valAx>
        <c:axId val="349644704"/>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646784"/>
        <c:crosses val="autoZero"/>
        <c:crossBetween val="midCat"/>
      </c:valAx>
      <c:serAx>
        <c:axId val="336978976"/>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644704"/>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IAP</a:t>
            </a:r>
            <a:r>
              <a:rPr lang="en-US" baseline="0"/>
              <a:t> Fuel Correction Factor</a:t>
            </a:r>
            <a:endParaRPr lang="en-US"/>
          </a:p>
        </c:rich>
      </c:tx>
      <c:overlay val="0"/>
      <c:spPr>
        <a:noFill/>
        <a:ln>
          <a:noFill/>
        </a:ln>
        <a:effectLst/>
      </c:spPr>
    </c:title>
    <c:autoTitleDeleted val="0"/>
    <c:view3D>
      <c:rotX val="10"/>
      <c:rotY val="31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'TPS Correction'!$B$1</c:f>
              <c:strCache>
                <c:ptCount val="1"/>
                <c:pt idx="0">
                  <c:v>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Correction'!$B$2:$B$43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0-AEC0-418F-9556-182B4E94A04B}"/>
            </c:ext>
          </c:extLst>
        </c:ser>
        <c:ser>
          <c:idx val="1"/>
          <c:order val="1"/>
          <c:tx>
            <c:strRef>
              <c:f>'TPS Correction'!$C$1</c:f>
              <c:strCache>
                <c:ptCount val="1"/>
                <c:pt idx="0">
                  <c:v>0.6</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Correction'!$C$2:$C$43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1-AEC0-418F-9556-182B4E94A04B}"/>
            </c:ext>
          </c:extLst>
        </c:ser>
        <c:ser>
          <c:idx val="2"/>
          <c:order val="2"/>
          <c:tx>
            <c:strRef>
              <c:f>'TPS Correction'!$D$1</c:f>
              <c:strCache>
                <c:ptCount val="1"/>
                <c:pt idx="0">
                  <c:v>1.2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Correction'!$D$2:$D$43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2-AEC0-418F-9556-182B4E94A04B}"/>
            </c:ext>
          </c:extLst>
        </c:ser>
        <c:ser>
          <c:idx val="3"/>
          <c:order val="3"/>
          <c:tx>
            <c:strRef>
              <c:f>'TPS Correction'!$E$1</c:f>
              <c:strCache>
                <c:ptCount val="1"/>
                <c:pt idx="0">
                  <c:v>1.9</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Correction'!$E$2:$E$43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3-AEC0-418F-9556-182B4E94A04B}"/>
            </c:ext>
          </c:extLst>
        </c:ser>
        <c:ser>
          <c:idx val="4"/>
          <c:order val="4"/>
          <c:tx>
            <c:strRef>
              <c:f>'TPS Correction'!$F$1</c:f>
              <c:strCache>
                <c:ptCount val="1"/>
                <c:pt idx="0">
                  <c:v>2.5</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Correction'!$F$2:$F$43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4-AEC0-418F-9556-182B4E94A04B}"/>
            </c:ext>
          </c:extLst>
        </c:ser>
        <c:ser>
          <c:idx val="5"/>
          <c:order val="5"/>
          <c:tx>
            <c:strRef>
              <c:f>'TPS Correction'!$G$1</c:f>
              <c:strCache>
                <c:ptCount val="1"/>
                <c:pt idx="0">
                  <c:v>3.1</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Correction'!$G$2:$G$43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5-AEC0-418F-9556-182B4E94A04B}"/>
            </c:ext>
          </c:extLst>
        </c:ser>
        <c:ser>
          <c:idx val="6"/>
          <c:order val="6"/>
          <c:tx>
            <c:strRef>
              <c:f>'TPS Correction'!$H$1</c:f>
              <c:strCache>
                <c:ptCount val="1"/>
                <c:pt idx="0">
                  <c:v>3.7</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Correction'!$H$2:$H$43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6-AEC0-418F-9556-182B4E94A04B}"/>
            </c:ext>
          </c:extLst>
        </c:ser>
        <c:ser>
          <c:idx val="7"/>
          <c:order val="7"/>
          <c:tx>
            <c:strRef>
              <c:f>'TPS Correction'!$I$1</c:f>
              <c:strCache>
                <c:ptCount val="1"/>
                <c:pt idx="0">
                  <c:v>4.4</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Correction'!$I$2:$I$43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7-AEC0-418F-9556-182B4E94A04B}"/>
            </c:ext>
          </c:extLst>
        </c:ser>
        <c:ser>
          <c:idx val="8"/>
          <c:order val="8"/>
          <c:tx>
            <c:strRef>
              <c:f>'TPS Correction'!$J$1</c:f>
              <c:strCache>
                <c:ptCount val="1"/>
                <c:pt idx="0">
                  <c:v>5.6</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Correction'!$J$2:$J$43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8-AEC0-418F-9556-182B4E94A04B}"/>
            </c:ext>
          </c:extLst>
        </c:ser>
        <c:ser>
          <c:idx val="9"/>
          <c:order val="9"/>
          <c:tx>
            <c:strRef>
              <c:f>'TPS Correction'!$K$1</c:f>
              <c:strCache>
                <c:ptCount val="1"/>
                <c:pt idx="0">
                  <c:v>6.8</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Correction'!$K$2:$K$43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9-AEC0-418F-9556-182B4E94A04B}"/>
            </c:ext>
          </c:extLst>
        </c:ser>
        <c:ser>
          <c:idx val="10"/>
          <c:order val="10"/>
          <c:tx>
            <c:strRef>
              <c:f>'TPS Correction'!$L$1</c:f>
              <c:strCache>
                <c:ptCount val="1"/>
                <c:pt idx="0">
                  <c:v>8.1</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Correction'!$L$2:$L$43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A-AEC0-418F-9556-182B4E94A04B}"/>
            </c:ext>
          </c:extLst>
        </c:ser>
        <c:ser>
          <c:idx val="11"/>
          <c:order val="11"/>
          <c:tx>
            <c:strRef>
              <c:f>'TPS Correction'!$M$1</c:f>
              <c:strCache>
                <c:ptCount val="1"/>
                <c:pt idx="0">
                  <c:v>9.3</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Correction'!$M$2:$M$43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B-AEC0-418F-9556-182B4E94A04B}"/>
            </c:ext>
          </c:extLst>
        </c:ser>
        <c:ser>
          <c:idx val="12"/>
          <c:order val="12"/>
          <c:tx>
            <c:strRef>
              <c:f>'TPS Correction'!$N$1</c:f>
              <c:strCache>
                <c:ptCount val="1"/>
                <c:pt idx="0">
                  <c:v>10.6</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Correction'!$N$2:$N$43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0.4015151515151516</c:v>
                </c:pt>
              </c:numCache>
            </c:numRef>
          </c:val>
          <c:extLst>
            <c:ext xmlns:c16="http://schemas.microsoft.com/office/drawing/2014/chart" uri="{C3380CC4-5D6E-409C-BE32-E72D297353CC}">
              <c16:uniqueId val="{0000000C-AEC0-418F-9556-182B4E94A04B}"/>
            </c:ext>
          </c:extLst>
        </c:ser>
        <c:ser>
          <c:idx val="13"/>
          <c:order val="13"/>
          <c:tx>
            <c:strRef>
              <c:f>'TPS Correction'!$O$1</c:f>
              <c:strCache>
                <c:ptCount val="1"/>
                <c:pt idx="0">
                  <c:v>15.5</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Correction'!$O$2:$O$43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0.4015151515151516</c:v>
                </c:pt>
              </c:numCache>
            </c:numRef>
          </c:val>
          <c:extLst>
            <c:ext xmlns:c16="http://schemas.microsoft.com/office/drawing/2014/chart" uri="{C3380CC4-5D6E-409C-BE32-E72D297353CC}">
              <c16:uniqueId val="{0000000D-AEC0-418F-9556-182B4E94A04B}"/>
            </c:ext>
          </c:extLst>
        </c:ser>
        <c:ser>
          <c:idx val="14"/>
          <c:order val="14"/>
          <c:tx>
            <c:strRef>
              <c:f>'TPS Correction'!$P$1</c:f>
              <c:strCache>
                <c:ptCount val="1"/>
                <c:pt idx="0">
                  <c:v>20.5</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Correction'!$P$2:$P$43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0.4015151515151516</c:v>
                </c:pt>
              </c:numCache>
            </c:numRef>
          </c:val>
          <c:extLst>
            <c:ext xmlns:c16="http://schemas.microsoft.com/office/drawing/2014/chart" uri="{C3380CC4-5D6E-409C-BE32-E72D297353CC}">
              <c16:uniqueId val="{0000000E-AEC0-418F-9556-182B4E94A04B}"/>
            </c:ext>
          </c:extLst>
        </c:ser>
        <c:ser>
          <c:idx val="15"/>
          <c:order val="15"/>
          <c:tx>
            <c:strRef>
              <c:f>'TPS Correction'!$Q$1</c:f>
              <c:strCache>
                <c:ptCount val="1"/>
                <c:pt idx="0">
                  <c:v>25.5</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Correction'!$Q$2:$Q$43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0.25757575757575779</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0.4015151515151516</c:v>
                </c:pt>
              </c:numCache>
            </c:numRef>
          </c:val>
          <c:extLst>
            <c:ext xmlns:c16="http://schemas.microsoft.com/office/drawing/2014/chart" uri="{C3380CC4-5D6E-409C-BE32-E72D297353CC}">
              <c16:uniqueId val="{0000000F-AEC0-418F-9556-182B4E94A04B}"/>
            </c:ext>
          </c:extLst>
        </c:ser>
        <c:ser>
          <c:idx val="16"/>
          <c:order val="16"/>
          <c:tx>
            <c:strRef>
              <c:f>'TPS Correction'!$R$1</c:f>
              <c:strCache>
                <c:ptCount val="1"/>
                <c:pt idx="0">
                  <c:v>30.5</c:v>
                </c:pt>
              </c:strCache>
            </c:strRef>
          </c:tx>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Correction'!$R$2:$R$43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0.4015151515151516</c:v>
                </c:pt>
              </c:numCache>
            </c:numRef>
          </c:val>
          <c:extLst>
            <c:ext xmlns:c16="http://schemas.microsoft.com/office/drawing/2014/chart" uri="{C3380CC4-5D6E-409C-BE32-E72D297353CC}">
              <c16:uniqueId val="{00000010-AEC0-418F-9556-182B4E94A04B}"/>
            </c:ext>
          </c:extLst>
        </c:ser>
        <c:ser>
          <c:idx val="17"/>
          <c:order val="17"/>
          <c:tx>
            <c:strRef>
              <c:f>'TPS Correction'!$S$1</c:f>
              <c:strCache>
                <c:ptCount val="1"/>
                <c:pt idx="0">
                  <c:v>40.4</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Correction'!$S$2:$S$43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0.24449035812672171</c:v>
                </c:pt>
              </c:numCache>
            </c:numRef>
          </c:val>
          <c:extLst>
            <c:ext xmlns:c16="http://schemas.microsoft.com/office/drawing/2014/chart" uri="{C3380CC4-5D6E-409C-BE32-E72D297353CC}">
              <c16:uniqueId val="{00000011-AEC0-418F-9556-182B4E94A04B}"/>
            </c:ext>
          </c:extLst>
        </c:ser>
        <c:ser>
          <c:idx val="18"/>
          <c:order val="18"/>
          <c:tx>
            <c:strRef>
              <c:f>'TPS Correction'!$T$1</c:f>
              <c:strCache>
                <c:ptCount val="1"/>
                <c:pt idx="0">
                  <c:v>50.4</c:v>
                </c:pt>
              </c:strCache>
            </c:strRef>
          </c:tx>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Correction'!$T$2:$T$43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0.4015151515151516</c:v>
                </c:pt>
              </c:numCache>
            </c:numRef>
          </c:val>
          <c:extLst>
            <c:ext xmlns:c16="http://schemas.microsoft.com/office/drawing/2014/chart" uri="{C3380CC4-5D6E-409C-BE32-E72D297353CC}">
              <c16:uniqueId val="{00000012-AEC0-418F-9556-182B4E94A04B}"/>
            </c:ext>
          </c:extLst>
        </c:ser>
        <c:ser>
          <c:idx val="19"/>
          <c:order val="19"/>
          <c:tx>
            <c:strRef>
              <c:f>'TPS Correction'!$U$1</c:f>
              <c:strCache>
                <c:ptCount val="1"/>
                <c:pt idx="0">
                  <c:v>60.3</c:v>
                </c:pt>
              </c:strCache>
            </c:strRef>
          </c:tx>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Correction'!$U$2:$U$43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13-AEC0-418F-9556-182B4E94A04B}"/>
            </c:ext>
          </c:extLst>
        </c:ser>
        <c:ser>
          <c:idx val="20"/>
          <c:order val="20"/>
          <c:tx>
            <c:strRef>
              <c:f>'TPS Correction'!$V$1</c:f>
              <c:strCache>
                <c:ptCount val="1"/>
                <c:pt idx="0">
                  <c:v>70.3</c:v>
                </c:pt>
              </c:strCache>
            </c:strRef>
          </c:tx>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Correction'!$V$2:$V$43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14-AEC0-418F-9556-182B4E94A04B}"/>
            </c:ext>
          </c:extLst>
        </c:ser>
        <c:ser>
          <c:idx val="21"/>
          <c:order val="21"/>
          <c:tx>
            <c:strRef>
              <c:f>'TPS Correction'!$W$1</c:f>
              <c:strCache>
                <c:ptCount val="1"/>
                <c:pt idx="0">
                  <c:v>90.2</c:v>
                </c:pt>
              </c:strCache>
            </c:strRef>
          </c:tx>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Correction'!$W$2:$W$43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15-AEC0-418F-9556-182B4E94A04B}"/>
            </c:ext>
          </c:extLst>
        </c:ser>
        <c:ser>
          <c:idx val="22"/>
          <c:order val="22"/>
          <c:tx>
            <c:strRef>
              <c:f>'TPS Correction'!$X$1</c:f>
              <c:strCache>
                <c:ptCount val="1"/>
                <c:pt idx="0">
                  <c:v>100</c:v>
                </c:pt>
              </c:strCache>
            </c:strRef>
          </c:tx>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Correction'!$X$2:$X$43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16-AEC0-418F-9556-182B4E94A04B}"/>
            </c:ext>
          </c:extLst>
        </c:ser>
        <c:bandFmts>
          <c:band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7"/>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8"/>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9"/>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1"/>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2"/>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3"/>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4"/>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s>
        <c:axId val="328456640"/>
        <c:axId val="328460800"/>
        <c:axId val="350275152"/>
      </c:surface3DChart>
      <c:catAx>
        <c:axId val="328456640"/>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28460800"/>
        <c:crosses val="autoZero"/>
        <c:auto val="1"/>
        <c:lblAlgn val="ctr"/>
        <c:lblOffset val="100"/>
        <c:noMultiLvlLbl val="0"/>
      </c:catAx>
      <c:valAx>
        <c:axId val="328460800"/>
        <c:scaling>
          <c:orientation val="minMax"/>
        </c:scaling>
        <c:delete val="0"/>
        <c:axPos val="l"/>
        <c:majorGridlines>
          <c:spPr>
            <a:ln w="9525" cap="flat" cmpd="sng" algn="ctr">
              <a:solidFill>
                <a:schemeClr val="dk1">
                  <a:lumMod val="50000"/>
                  <a:lumOff val="5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28456640"/>
        <c:crosses val="autoZero"/>
        <c:crossBetween val="midCat"/>
      </c:valAx>
      <c:serAx>
        <c:axId val="350275152"/>
        <c:scaling>
          <c:orientation val="minMax"/>
        </c:scaling>
        <c:delete val="0"/>
        <c:axPos val="b"/>
        <c:majorGridlines>
          <c:spPr>
            <a:ln w="9525" cap="flat" cmpd="sng" algn="ctr">
              <a:solidFill>
                <a:schemeClr val="dk1">
                  <a:lumMod val="50000"/>
                  <a:lumOff val="50000"/>
                </a:schemeClr>
              </a:solidFill>
              <a:round/>
            </a:ln>
            <a:effectLst/>
          </c:spPr>
        </c:majorGridlines>
        <c:majorTickMark val="none"/>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28460800"/>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IAP Fuel</a:t>
            </a:r>
            <a:r>
              <a:rPr lang="en-US" baseline="0"/>
              <a:t> Correction Factor</a:t>
            </a:r>
          </a:p>
        </c:rich>
      </c:tx>
      <c:overlay val="0"/>
      <c:spPr>
        <a:noFill/>
        <a:ln>
          <a:noFill/>
        </a:ln>
        <a:effectLst/>
      </c:spPr>
    </c:title>
    <c:autoTitleDeleted val="0"/>
    <c:view3D>
      <c:rotX val="20"/>
      <c:rotY val="23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'IAP Correction'!$B$1</c:f>
              <c:strCache>
                <c:ptCount val="1"/>
                <c:pt idx="0">
                  <c:v>120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Correction'!$B$2:$B$43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0-9A95-41DE-9F44-CF8F62D31A3D}"/>
            </c:ext>
          </c:extLst>
        </c:ser>
        <c:ser>
          <c:idx val="1"/>
          <c:order val="1"/>
          <c:tx>
            <c:strRef>
              <c:f>'IAP Correction'!$C$1</c:f>
              <c:strCache>
                <c:ptCount val="1"/>
                <c:pt idx="0">
                  <c:v>104</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Correction'!$C$2:$C$43</c:f>
              <c:numCache>
                <c:formatCode>0.00</c:formatCode>
                <c:ptCount val="42"/>
                <c:pt idx="0">
                  <c:v>0</c:v>
                </c:pt>
                <c:pt idx="1">
                  <c:v>0.25641025641025639</c:v>
                </c:pt>
                <c:pt idx="2">
                  <c:v>0.30625000000000013</c:v>
                </c:pt>
                <c:pt idx="3">
                  <c:v>0.32307692307692304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1-9A95-41DE-9F44-CF8F62D31A3D}"/>
            </c:ext>
          </c:extLst>
        </c:ser>
        <c:ser>
          <c:idx val="2"/>
          <c:order val="2"/>
          <c:tx>
            <c:strRef>
              <c:f>'IAP Correction'!$D$1</c:f>
              <c:strCache>
                <c:ptCount val="1"/>
                <c:pt idx="0">
                  <c:v>88</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Correction'!$D$2:$D$43</c:f>
              <c:numCache>
                <c:formatCode>0.00</c:formatCode>
                <c:ptCount val="42"/>
                <c:pt idx="0">
                  <c:v>0</c:v>
                </c:pt>
                <c:pt idx="1">
                  <c:v>0.29514170040485821</c:v>
                </c:pt>
                <c:pt idx="2">
                  <c:v>0.28316008316008334</c:v>
                </c:pt>
                <c:pt idx="3">
                  <c:v>0.36923076923076925</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2-9A95-41DE-9F44-CF8F62D31A3D}"/>
            </c:ext>
          </c:extLst>
        </c:ser>
        <c:ser>
          <c:idx val="3"/>
          <c:order val="3"/>
          <c:tx>
            <c:strRef>
              <c:f>'IAP Correction'!$E$1</c:f>
              <c:strCache>
                <c:ptCount val="1"/>
                <c:pt idx="0">
                  <c:v>72</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Correction'!$E$2:$E$43</c:f>
              <c:numCache>
                <c:formatCode>0.00</c:formatCode>
                <c:ptCount val="42"/>
                <c:pt idx="0">
                  <c:v>0</c:v>
                </c:pt>
                <c:pt idx="1">
                  <c:v>0.23589743589743595</c:v>
                </c:pt>
                <c:pt idx="2">
                  <c:v>0.25384615384615383</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3-9A95-41DE-9F44-CF8F62D31A3D}"/>
            </c:ext>
          </c:extLst>
        </c:ser>
        <c:ser>
          <c:idx val="4"/>
          <c:order val="4"/>
          <c:tx>
            <c:strRef>
              <c:f>'IAP Correction'!$F$1</c:f>
              <c:strCache>
                <c:ptCount val="1"/>
                <c:pt idx="0">
                  <c:v>68</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Correction'!$F$2:$F$43</c:f>
              <c:numCache>
                <c:formatCode>0.00</c:formatCode>
                <c:ptCount val="42"/>
                <c:pt idx="0">
                  <c:v>0</c:v>
                </c:pt>
                <c:pt idx="1">
                  <c:v>0.26346153846153841</c:v>
                </c:pt>
                <c:pt idx="2">
                  <c:v>0.29538461538461513</c:v>
                </c:pt>
                <c:pt idx="3">
                  <c:v>0.42307692307692313</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4-9A95-41DE-9F44-CF8F62D31A3D}"/>
            </c:ext>
          </c:extLst>
        </c:ser>
        <c:ser>
          <c:idx val="5"/>
          <c:order val="5"/>
          <c:tx>
            <c:strRef>
              <c:f>'IAP Correction'!$G$1</c:f>
              <c:strCache>
                <c:ptCount val="1"/>
                <c:pt idx="0">
                  <c:v>64</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Correction'!$G$2:$G$43</c:f>
              <c:numCache>
                <c:formatCode>0.00</c:formatCode>
                <c:ptCount val="42"/>
                <c:pt idx="0">
                  <c:v>0</c:v>
                </c:pt>
                <c:pt idx="1">
                  <c:v>0.21766169154228843</c:v>
                </c:pt>
                <c:pt idx="2">
                  <c:v>0.27078891257995741</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5-9A95-41DE-9F44-CF8F62D31A3D}"/>
            </c:ext>
          </c:extLst>
        </c:ser>
        <c:ser>
          <c:idx val="6"/>
          <c:order val="6"/>
          <c:tx>
            <c:strRef>
              <c:f>'IAP Correction'!$H$1</c:f>
              <c:strCache>
                <c:ptCount val="1"/>
                <c:pt idx="0">
                  <c:v>60</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Correction'!$H$2:$H$43</c:f>
              <c:numCache>
                <c:formatCode>0.00</c:formatCode>
                <c:ptCount val="42"/>
                <c:pt idx="0">
                  <c:v>0.33582089552238781</c:v>
                </c:pt>
                <c:pt idx="1">
                  <c:v>0.29664179104477606</c:v>
                </c:pt>
                <c:pt idx="2">
                  <c:v>0.33582089552238781</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6-9A95-41DE-9F44-CF8F62D31A3D}"/>
            </c:ext>
          </c:extLst>
        </c:ser>
        <c:ser>
          <c:idx val="7"/>
          <c:order val="7"/>
          <c:tx>
            <c:strRef>
              <c:f>'IAP Correction'!$I$1</c:f>
              <c:strCache>
                <c:ptCount val="1"/>
                <c:pt idx="0">
                  <c:v>56</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Correction'!$I$2:$I$43</c:f>
              <c:numCache>
                <c:formatCode>0.00</c:formatCode>
                <c:ptCount val="42"/>
                <c:pt idx="0">
                  <c:v>0.32462686567164178</c:v>
                </c:pt>
                <c:pt idx="1">
                  <c:v>0.25576662143826323</c:v>
                </c:pt>
                <c:pt idx="2">
                  <c:v>0.27815468113975594</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7-9A95-41DE-9F44-CF8F62D31A3D}"/>
            </c:ext>
          </c:extLst>
        </c:ser>
        <c:ser>
          <c:idx val="8"/>
          <c:order val="8"/>
          <c:tx>
            <c:strRef>
              <c:f>'IAP Correction'!$J$1</c:f>
              <c:strCache>
                <c:ptCount val="1"/>
                <c:pt idx="0">
                  <c:v>52</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Correction'!$J$2:$J$43</c:f>
              <c:numCache>
                <c:formatCode>0.00</c:formatCode>
                <c:ptCount val="42"/>
                <c:pt idx="0">
                  <c:v>0.25</c:v>
                </c:pt>
                <c:pt idx="1">
                  <c:v>0.24830393487109892</c:v>
                </c:pt>
                <c:pt idx="2">
                  <c:v>0.27761194029850733</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8-9A95-41DE-9F44-CF8F62D31A3D}"/>
            </c:ext>
          </c:extLst>
        </c:ser>
        <c:ser>
          <c:idx val="9"/>
          <c:order val="9"/>
          <c:tx>
            <c:strRef>
              <c:f>'IAP Correction'!$K$1</c:f>
              <c:strCache>
                <c:ptCount val="1"/>
                <c:pt idx="0">
                  <c:v>48</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Correction'!$K$2:$K$43</c:f>
              <c:numCache>
                <c:formatCode>0.00</c:formatCode>
                <c:ptCount val="42"/>
                <c:pt idx="0">
                  <c:v>0.19402985074626855</c:v>
                </c:pt>
                <c:pt idx="1">
                  <c:v>0.25</c:v>
                </c:pt>
                <c:pt idx="2">
                  <c:v>0.26343283582089572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9-9A95-41DE-9F44-CF8F62D31A3D}"/>
            </c:ext>
          </c:extLst>
        </c:ser>
        <c:ser>
          <c:idx val="10"/>
          <c:order val="10"/>
          <c:tx>
            <c:strRef>
              <c:f>'IAP Correction'!$L$1</c:f>
              <c:strCache>
                <c:ptCount val="1"/>
                <c:pt idx="0">
                  <c:v>44</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Correction'!$L$2:$L$43</c:f>
              <c:numCache>
                <c:formatCode>0.00</c:formatCode>
                <c:ptCount val="42"/>
                <c:pt idx="0">
                  <c:v>0.31343283582089554</c:v>
                </c:pt>
                <c:pt idx="1">
                  <c:v>0.23631840796019898</c:v>
                </c:pt>
                <c:pt idx="2">
                  <c:v>0.28482587064676612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A-9A95-41DE-9F44-CF8F62D31A3D}"/>
            </c:ext>
          </c:extLst>
        </c:ser>
        <c:ser>
          <c:idx val="11"/>
          <c:order val="11"/>
          <c:tx>
            <c:strRef>
              <c:f>'IAP Correction'!$M$1</c:f>
              <c:strCache>
                <c:ptCount val="1"/>
                <c:pt idx="0">
                  <c:v>40</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Correction'!$M$2:$M$43</c:f>
              <c:numCache>
                <c:formatCode>0.00</c:formatCode>
                <c:ptCount val="42"/>
                <c:pt idx="0">
                  <c:v>0.2947761194029852</c:v>
                </c:pt>
                <c:pt idx="1">
                  <c:v>0.27425373134328357</c:v>
                </c:pt>
                <c:pt idx="2">
                  <c:v>0.312366737739872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B-9A95-41DE-9F44-CF8F62D31A3D}"/>
            </c:ext>
          </c:extLst>
        </c:ser>
        <c:ser>
          <c:idx val="12"/>
          <c:order val="12"/>
          <c:tx>
            <c:strRef>
              <c:f>'IAP Correction'!$N$1</c:f>
              <c:strCache>
                <c:ptCount val="1"/>
                <c:pt idx="0">
                  <c:v>36</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Correction'!$N$2:$N$43</c:f>
              <c:numCache>
                <c:formatCode>0.00</c:formatCode>
                <c:ptCount val="42"/>
                <c:pt idx="0">
                  <c:v>0.25870646766169147</c:v>
                </c:pt>
                <c:pt idx="1">
                  <c:v>0.18869936034115131</c:v>
                </c:pt>
                <c:pt idx="2">
                  <c:v>0.26368159203980102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C-9A95-41DE-9F44-CF8F62D31A3D}"/>
            </c:ext>
          </c:extLst>
        </c:ser>
        <c:ser>
          <c:idx val="13"/>
          <c:order val="13"/>
          <c:tx>
            <c:strRef>
              <c:f>'IAP Correction'!$O$1</c:f>
              <c:strCache>
                <c:ptCount val="1"/>
                <c:pt idx="0">
                  <c:v>32</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Correction'!$O$2:$O$43</c:f>
              <c:numCache>
                <c:formatCode>0.00</c:formatCode>
                <c:ptCount val="42"/>
                <c:pt idx="0">
                  <c:v>0.38059701492537301</c:v>
                </c:pt>
                <c:pt idx="1">
                  <c:v>0.28251599147121542</c:v>
                </c:pt>
                <c:pt idx="2">
                  <c:v>0.29944029850746245</c:v>
                </c:pt>
                <c:pt idx="3">
                  <c:v>0.26865671641791034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D-9A95-41DE-9F44-CF8F62D31A3D}"/>
            </c:ext>
          </c:extLst>
        </c:ser>
        <c:ser>
          <c:idx val="14"/>
          <c:order val="14"/>
          <c:tx>
            <c:strRef>
              <c:f>'IAP Correction'!$P$1</c:f>
              <c:strCache>
                <c:ptCount val="1"/>
                <c:pt idx="0">
                  <c:v>24</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Correction'!$P$2:$P$43</c:f>
              <c:numCache>
                <c:formatCode>0.00</c:formatCode>
                <c:ptCount val="42"/>
                <c:pt idx="0">
                  <c:v>0</c:v>
                </c:pt>
                <c:pt idx="1">
                  <c:v>0.25870646766169192</c:v>
                </c:pt>
                <c:pt idx="2">
                  <c:v>0.22947761194029859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E-9A95-41DE-9F44-CF8F62D31A3D}"/>
            </c:ext>
          </c:extLst>
        </c:ser>
        <c:ser>
          <c:idx val="15"/>
          <c:order val="15"/>
          <c:tx>
            <c:strRef>
              <c:f>'IAP Correction'!$Q$1</c:f>
              <c:strCache>
                <c:ptCount val="1"/>
                <c:pt idx="0">
                  <c:v>20</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Correction'!$Q$2:$Q$43</c:f>
              <c:numCache>
                <c:formatCode>0.00</c:formatCode>
                <c:ptCount val="42"/>
                <c:pt idx="0">
                  <c:v>0</c:v>
                </c:pt>
                <c:pt idx="1">
                  <c:v>0</c:v>
                </c:pt>
                <c:pt idx="2">
                  <c:v>0.19278606965174139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F-9A95-41DE-9F44-CF8F62D31A3D}"/>
            </c:ext>
          </c:extLst>
        </c:ser>
        <c:ser>
          <c:idx val="16"/>
          <c:order val="16"/>
          <c:tx>
            <c:strRef>
              <c:f>'IAP Correction'!$R$1</c:f>
              <c:strCache>
                <c:ptCount val="1"/>
                <c:pt idx="0">
                  <c:v>16</c:v>
                </c:pt>
              </c:strCache>
            </c:strRef>
          </c:tx>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Correction'!$R$2:$R$43</c:f>
              <c:numCache>
                <c:formatCode>0.00</c:formatCode>
                <c:ptCount val="42"/>
                <c:pt idx="0">
                  <c:v>0</c:v>
                </c:pt>
                <c:pt idx="1">
                  <c:v>0</c:v>
                </c:pt>
                <c:pt idx="2">
                  <c:v>0.24776119402985053</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10-9A95-41DE-9F44-CF8F62D31A3D}"/>
            </c:ext>
          </c:extLst>
        </c:ser>
        <c:ser>
          <c:idx val="17"/>
          <c:order val="17"/>
          <c:tx>
            <c:strRef>
              <c:f>'IAP Correction'!$S$1</c:f>
              <c:strCache>
                <c:ptCount val="1"/>
                <c:pt idx="0">
                  <c:v>12</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Correction'!$S$2:$S$43</c:f>
              <c:numCache>
                <c:formatCode>0.00</c:formatCode>
                <c:ptCount val="42"/>
                <c:pt idx="0">
                  <c:v>0</c:v>
                </c:pt>
                <c:pt idx="1">
                  <c:v>0.3233830845771144</c:v>
                </c:pt>
                <c:pt idx="2">
                  <c:v>0.30970149253731316</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11-9A95-41DE-9F44-CF8F62D31A3D}"/>
            </c:ext>
          </c:extLst>
        </c:ser>
        <c:ser>
          <c:idx val="18"/>
          <c:order val="18"/>
          <c:tx>
            <c:strRef>
              <c:f>'IAP Correction'!$T$1</c:f>
              <c:strCache>
                <c:ptCount val="1"/>
                <c:pt idx="0">
                  <c:v>8</c:v>
                </c:pt>
              </c:strCache>
            </c:strRef>
          </c:tx>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Correction'!$T$2:$T$43</c:f>
              <c:numCache>
                <c:formatCode>0.00</c:formatCode>
                <c:ptCount val="42"/>
                <c:pt idx="0">
                  <c:v>0</c:v>
                </c:pt>
                <c:pt idx="1">
                  <c:v>0.38059701492537301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12-9A95-41DE-9F44-CF8F62D31A3D}"/>
            </c:ext>
          </c:extLst>
        </c:ser>
        <c:ser>
          <c:idx val="19"/>
          <c:order val="19"/>
          <c:tx>
            <c:strRef>
              <c:f>'IAP Correction'!$U$1</c:f>
              <c:strCache>
                <c:ptCount val="1"/>
                <c:pt idx="0">
                  <c:v>4</c:v>
                </c:pt>
              </c:strCache>
            </c:strRef>
          </c:tx>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Correction'!$U$2:$U$43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0.34337822671156015</c:v>
                </c:pt>
              </c:numCache>
            </c:numRef>
          </c:val>
          <c:extLst>
            <c:ext xmlns:c16="http://schemas.microsoft.com/office/drawing/2014/chart" uri="{C3380CC4-5D6E-409C-BE32-E72D297353CC}">
              <c16:uniqueId val="{00000013-9A95-41DE-9F44-CF8F62D31A3D}"/>
            </c:ext>
          </c:extLst>
        </c:ser>
        <c:ser>
          <c:idx val="20"/>
          <c:order val="20"/>
          <c:tx>
            <c:strRef>
              <c:f>'IAP Correction'!$V$1</c:f>
              <c:strCache>
                <c:ptCount val="1"/>
                <c:pt idx="0">
                  <c:v>0</c:v>
                </c:pt>
              </c:strCache>
            </c:strRef>
          </c:tx>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Correction'!$V$2:$V$43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14-9A95-41DE-9F44-CF8F62D31A3D}"/>
            </c:ext>
          </c:extLst>
        </c:ser>
        <c:bandFmts>
          <c:band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7"/>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8"/>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9"/>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1"/>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2"/>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3"/>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4"/>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s>
        <c:axId val="340405696"/>
        <c:axId val="340406112"/>
        <c:axId val="350265728"/>
      </c:surface3DChart>
      <c:catAx>
        <c:axId val="340405696"/>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0406112"/>
        <c:crosses val="autoZero"/>
        <c:auto val="1"/>
        <c:lblAlgn val="ctr"/>
        <c:lblOffset val="100"/>
        <c:noMultiLvlLbl val="0"/>
      </c:catAx>
      <c:valAx>
        <c:axId val="340406112"/>
        <c:scaling>
          <c:orientation val="minMax"/>
        </c:scaling>
        <c:delete val="0"/>
        <c:axPos val="r"/>
        <c:majorGridlines>
          <c:spPr>
            <a:ln w="9525" cap="flat" cmpd="sng" algn="ctr">
              <a:solidFill>
                <a:schemeClr val="dk1">
                  <a:lumMod val="50000"/>
                  <a:lumOff val="5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0405696"/>
        <c:crosses val="autoZero"/>
        <c:crossBetween val="midCat"/>
      </c:valAx>
      <c:serAx>
        <c:axId val="350265728"/>
        <c:scaling>
          <c:orientation val="minMax"/>
        </c:scaling>
        <c:delete val="0"/>
        <c:axPos val="b"/>
        <c:majorGridlines>
          <c:spPr>
            <a:ln w="9525" cap="flat" cmpd="sng" algn="ctr">
              <a:solidFill>
                <a:schemeClr val="dk1">
                  <a:lumMod val="50000"/>
                  <a:lumOff val="50000"/>
                </a:schemeClr>
              </a:solidFill>
              <a:round/>
            </a:ln>
            <a:effectLst/>
          </c:spPr>
        </c:majorGridlines>
        <c:majorTickMark val="none"/>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0406112"/>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Corrected TPS Fuel Map</a:t>
            </a:r>
          </a:p>
        </c:rich>
      </c:tx>
      <c:overlay val="0"/>
      <c:spPr>
        <a:noFill/>
        <a:ln>
          <a:noFill/>
        </a:ln>
        <a:effectLst/>
      </c:spPr>
    </c:title>
    <c:autoTitleDeleted val="0"/>
    <c:view3D>
      <c:rotX val="10"/>
      <c:rotY val="330"/>
      <c:rAngAx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'Auto Correct TPS'!$B$1</c:f>
              <c:strCache>
                <c:ptCount val="1"/>
                <c:pt idx="0">
                  <c:v>0</c:v>
                </c:pt>
              </c:strCache>
            </c:strRef>
          </c:tx>
          <c:spPr>
            <a:solidFill>
              <a:schemeClr val="accent4">
                <a:shade val="35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TPS'!$B$2:$B$43</c:f>
              <c:numCache>
                <c:formatCode>0.0</c:formatCode>
                <c:ptCount val="42"/>
                <c:pt idx="0">
                  <c:v>46</c:v>
                </c:pt>
                <c:pt idx="1">
                  <c:v>46</c:v>
                </c:pt>
                <c:pt idx="2">
                  <c:v>42</c:v>
                </c:pt>
                <c:pt idx="3">
                  <c:v>41</c:v>
                </c:pt>
                <c:pt idx="4">
                  <c:v>41</c:v>
                </c:pt>
                <c:pt idx="5">
                  <c:v>40</c:v>
                </c:pt>
                <c:pt idx="6">
                  <c:v>36</c:v>
                </c:pt>
                <c:pt idx="7">
                  <c:v>34</c:v>
                </c:pt>
                <c:pt idx="8">
                  <c:v>32</c:v>
                </c:pt>
                <c:pt idx="9">
                  <c:v>32</c:v>
                </c:pt>
                <c:pt idx="10">
                  <c:v>32</c:v>
                </c:pt>
                <c:pt idx="11">
                  <c:v>30</c:v>
                </c:pt>
                <c:pt idx="12">
                  <c:v>30</c:v>
                </c:pt>
                <c:pt idx="13">
                  <c:v>30</c:v>
                </c:pt>
                <c:pt idx="14">
                  <c:v>30</c:v>
                </c:pt>
                <c:pt idx="15">
                  <c:v>30</c:v>
                </c:pt>
                <c:pt idx="16">
                  <c:v>30</c:v>
                </c:pt>
                <c:pt idx="17">
                  <c:v>30</c:v>
                </c:pt>
                <c:pt idx="18">
                  <c:v>30</c:v>
                </c:pt>
                <c:pt idx="19">
                  <c:v>30</c:v>
                </c:pt>
                <c:pt idx="20">
                  <c:v>28</c:v>
                </c:pt>
                <c:pt idx="21">
                  <c:v>28</c:v>
                </c:pt>
                <c:pt idx="22">
                  <c:v>28</c:v>
                </c:pt>
                <c:pt idx="23">
                  <c:v>28</c:v>
                </c:pt>
                <c:pt idx="24">
                  <c:v>28</c:v>
                </c:pt>
                <c:pt idx="25">
                  <c:v>28</c:v>
                </c:pt>
                <c:pt idx="26">
                  <c:v>27</c:v>
                </c:pt>
                <c:pt idx="27">
                  <c:v>26</c:v>
                </c:pt>
                <c:pt idx="28">
                  <c:v>26</c:v>
                </c:pt>
                <c:pt idx="29">
                  <c:v>24</c:v>
                </c:pt>
                <c:pt idx="30">
                  <c:v>23</c:v>
                </c:pt>
                <c:pt idx="31">
                  <c:v>23</c:v>
                </c:pt>
                <c:pt idx="32">
                  <c:v>20</c:v>
                </c:pt>
                <c:pt idx="33">
                  <c:v>20</c:v>
                </c:pt>
                <c:pt idx="34">
                  <c:v>20</c:v>
                </c:pt>
                <c:pt idx="35">
                  <c:v>19</c:v>
                </c:pt>
                <c:pt idx="36">
                  <c:v>19</c:v>
                </c:pt>
                <c:pt idx="37">
                  <c:v>19</c:v>
                </c:pt>
                <c:pt idx="38">
                  <c:v>19</c:v>
                </c:pt>
                <c:pt idx="39">
                  <c:v>19</c:v>
                </c:pt>
                <c:pt idx="40">
                  <c:v>19</c:v>
                </c:pt>
                <c:pt idx="41">
                  <c:v>19</c:v>
                </c:pt>
              </c:numCache>
            </c:numRef>
          </c:val>
          <c:extLst>
            <c:ext xmlns:c16="http://schemas.microsoft.com/office/drawing/2014/chart" uri="{C3380CC4-5D6E-409C-BE32-E72D297353CC}">
              <c16:uniqueId val="{00000000-F3CC-47E8-B0A6-F463BE105F51}"/>
            </c:ext>
          </c:extLst>
        </c:ser>
        <c:ser>
          <c:idx val="1"/>
          <c:order val="1"/>
          <c:tx>
            <c:strRef>
              <c:f>'Auto Correct TPS'!$C$1</c:f>
              <c:strCache>
                <c:ptCount val="1"/>
                <c:pt idx="0">
                  <c:v>0.6</c:v>
                </c:pt>
              </c:strCache>
            </c:strRef>
          </c:tx>
          <c:spPr>
            <a:solidFill>
              <a:schemeClr val="accent4">
                <a:shade val="41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TPS'!$C$2:$C$43</c:f>
              <c:numCache>
                <c:formatCode>0.0</c:formatCode>
                <c:ptCount val="42"/>
                <c:pt idx="0">
                  <c:v>47</c:v>
                </c:pt>
                <c:pt idx="1">
                  <c:v>47</c:v>
                </c:pt>
                <c:pt idx="2">
                  <c:v>41</c:v>
                </c:pt>
                <c:pt idx="3">
                  <c:v>39</c:v>
                </c:pt>
                <c:pt idx="4">
                  <c:v>39</c:v>
                </c:pt>
                <c:pt idx="5">
                  <c:v>37</c:v>
                </c:pt>
                <c:pt idx="6">
                  <c:v>36</c:v>
                </c:pt>
                <c:pt idx="7">
                  <c:v>34</c:v>
                </c:pt>
                <c:pt idx="8">
                  <c:v>32</c:v>
                </c:pt>
                <c:pt idx="9">
                  <c:v>32</c:v>
                </c:pt>
                <c:pt idx="10">
                  <c:v>32</c:v>
                </c:pt>
                <c:pt idx="11">
                  <c:v>30</c:v>
                </c:pt>
                <c:pt idx="12">
                  <c:v>30</c:v>
                </c:pt>
                <c:pt idx="13">
                  <c:v>30</c:v>
                </c:pt>
                <c:pt idx="14">
                  <c:v>30</c:v>
                </c:pt>
                <c:pt idx="15">
                  <c:v>30</c:v>
                </c:pt>
                <c:pt idx="16">
                  <c:v>30</c:v>
                </c:pt>
                <c:pt idx="17">
                  <c:v>30</c:v>
                </c:pt>
                <c:pt idx="18">
                  <c:v>30</c:v>
                </c:pt>
                <c:pt idx="19">
                  <c:v>30</c:v>
                </c:pt>
                <c:pt idx="20">
                  <c:v>28</c:v>
                </c:pt>
                <c:pt idx="21">
                  <c:v>28</c:v>
                </c:pt>
                <c:pt idx="22">
                  <c:v>28</c:v>
                </c:pt>
                <c:pt idx="23">
                  <c:v>28</c:v>
                </c:pt>
                <c:pt idx="24">
                  <c:v>28</c:v>
                </c:pt>
                <c:pt idx="25">
                  <c:v>28</c:v>
                </c:pt>
                <c:pt idx="26">
                  <c:v>27</c:v>
                </c:pt>
                <c:pt idx="27">
                  <c:v>26</c:v>
                </c:pt>
                <c:pt idx="28">
                  <c:v>26</c:v>
                </c:pt>
                <c:pt idx="29">
                  <c:v>24</c:v>
                </c:pt>
                <c:pt idx="30">
                  <c:v>23</c:v>
                </c:pt>
                <c:pt idx="31">
                  <c:v>23</c:v>
                </c:pt>
                <c:pt idx="32">
                  <c:v>20</c:v>
                </c:pt>
                <c:pt idx="33">
                  <c:v>20</c:v>
                </c:pt>
                <c:pt idx="34">
                  <c:v>20</c:v>
                </c:pt>
                <c:pt idx="35">
                  <c:v>19</c:v>
                </c:pt>
                <c:pt idx="36">
                  <c:v>19</c:v>
                </c:pt>
                <c:pt idx="37">
                  <c:v>19</c:v>
                </c:pt>
                <c:pt idx="38">
                  <c:v>19</c:v>
                </c:pt>
                <c:pt idx="39">
                  <c:v>19</c:v>
                </c:pt>
                <c:pt idx="40">
                  <c:v>19</c:v>
                </c:pt>
                <c:pt idx="41">
                  <c:v>19</c:v>
                </c:pt>
              </c:numCache>
            </c:numRef>
          </c:val>
          <c:extLst>
            <c:ext xmlns:c16="http://schemas.microsoft.com/office/drawing/2014/chart" uri="{C3380CC4-5D6E-409C-BE32-E72D297353CC}">
              <c16:uniqueId val="{00000001-F3CC-47E8-B0A6-F463BE105F51}"/>
            </c:ext>
          </c:extLst>
        </c:ser>
        <c:ser>
          <c:idx val="2"/>
          <c:order val="2"/>
          <c:tx>
            <c:strRef>
              <c:f>'Auto Correct TPS'!$D$1</c:f>
              <c:strCache>
                <c:ptCount val="1"/>
                <c:pt idx="0">
                  <c:v>1.2</c:v>
                </c:pt>
              </c:strCache>
            </c:strRef>
          </c:tx>
          <c:spPr>
            <a:solidFill>
              <a:schemeClr val="accent4">
                <a:shade val="47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TPS'!$D$2:$D$43</c:f>
              <c:numCache>
                <c:formatCode>0.0</c:formatCode>
                <c:ptCount val="42"/>
                <c:pt idx="0">
                  <c:v>71</c:v>
                </c:pt>
                <c:pt idx="1">
                  <c:v>71</c:v>
                </c:pt>
                <c:pt idx="2">
                  <c:v>64</c:v>
                </c:pt>
                <c:pt idx="3">
                  <c:v>51</c:v>
                </c:pt>
                <c:pt idx="4">
                  <c:v>49</c:v>
                </c:pt>
                <c:pt idx="5">
                  <c:v>44</c:v>
                </c:pt>
                <c:pt idx="6">
                  <c:v>41</c:v>
                </c:pt>
                <c:pt idx="7">
                  <c:v>41</c:v>
                </c:pt>
                <c:pt idx="8">
                  <c:v>40</c:v>
                </c:pt>
                <c:pt idx="9">
                  <c:v>37</c:v>
                </c:pt>
                <c:pt idx="10">
                  <c:v>32</c:v>
                </c:pt>
                <c:pt idx="11">
                  <c:v>30</c:v>
                </c:pt>
                <c:pt idx="12">
                  <c:v>30</c:v>
                </c:pt>
                <c:pt idx="13">
                  <c:v>30</c:v>
                </c:pt>
                <c:pt idx="14">
                  <c:v>30</c:v>
                </c:pt>
                <c:pt idx="15">
                  <c:v>30</c:v>
                </c:pt>
                <c:pt idx="16">
                  <c:v>30</c:v>
                </c:pt>
                <c:pt idx="17">
                  <c:v>30</c:v>
                </c:pt>
                <c:pt idx="18">
                  <c:v>30</c:v>
                </c:pt>
                <c:pt idx="19">
                  <c:v>30</c:v>
                </c:pt>
                <c:pt idx="20">
                  <c:v>28</c:v>
                </c:pt>
                <c:pt idx="21">
                  <c:v>28</c:v>
                </c:pt>
                <c:pt idx="22">
                  <c:v>28</c:v>
                </c:pt>
                <c:pt idx="23">
                  <c:v>28</c:v>
                </c:pt>
                <c:pt idx="24">
                  <c:v>28</c:v>
                </c:pt>
                <c:pt idx="25">
                  <c:v>28</c:v>
                </c:pt>
                <c:pt idx="26">
                  <c:v>27</c:v>
                </c:pt>
                <c:pt idx="27">
                  <c:v>26</c:v>
                </c:pt>
                <c:pt idx="28">
                  <c:v>26</c:v>
                </c:pt>
                <c:pt idx="29">
                  <c:v>24</c:v>
                </c:pt>
                <c:pt idx="30">
                  <c:v>23</c:v>
                </c:pt>
                <c:pt idx="31">
                  <c:v>23</c:v>
                </c:pt>
                <c:pt idx="32">
                  <c:v>20</c:v>
                </c:pt>
                <c:pt idx="33">
                  <c:v>20</c:v>
                </c:pt>
                <c:pt idx="34">
                  <c:v>20</c:v>
                </c:pt>
                <c:pt idx="35">
                  <c:v>19</c:v>
                </c:pt>
                <c:pt idx="36">
                  <c:v>19</c:v>
                </c:pt>
                <c:pt idx="37">
                  <c:v>19</c:v>
                </c:pt>
                <c:pt idx="38">
                  <c:v>19</c:v>
                </c:pt>
                <c:pt idx="39">
                  <c:v>19</c:v>
                </c:pt>
                <c:pt idx="40">
                  <c:v>19</c:v>
                </c:pt>
                <c:pt idx="41">
                  <c:v>19</c:v>
                </c:pt>
              </c:numCache>
            </c:numRef>
          </c:val>
          <c:extLst>
            <c:ext xmlns:c16="http://schemas.microsoft.com/office/drawing/2014/chart" uri="{C3380CC4-5D6E-409C-BE32-E72D297353CC}">
              <c16:uniqueId val="{00000002-F3CC-47E8-B0A6-F463BE105F51}"/>
            </c:ext>
          </c:extLst>
        </c:ser>
        <c:ser>
          <c:idx val="3"/>
          <c:order val="3"/>
          <c:tx>
            <c:strRef>
              <c:f>'Auto Correct TPS'!$E$1</c:f>
              <c:strCache>
                <c:ptCount val="1"/>
                <c:pt idx="0">
                  <c:v>1.9</c:v>
                </c:pt>
              </c:strCache>
            </c:strRef>
          </c:tx>
          <c:spPr>
            <a:solidFill>
              <a:schemeClr val="accent4">
                <a:shade val="53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TPS'!$E$2:$E$43</c:f>
              <c:numCache>
                <c:formatCode>0.0</c:formatCode>
                <c:ptCount val="42"/>
                <c:pt idx="0">
                  <c:v>82</c:v>
                </c:pt>
                <c:pt idx="1">
                  <c:v>82</c:v>
                </c:pt>
                <c:pt idx="2">
                  <c:v>78</c:v>
                </c:pt>
                <c:pt idx="3">
                  <c:v>72</c:v>
                </c:pt>
                <c:pt idx="4">
                  <c:v>63</c:v>
                </c:pt>
                <c:pt idx="5">
                  <c:v>59</c:v>
                </c:pt>
                <c:pt idx="6">
                  <c:v>52</c:v>
                </c:pt>
                <c:pt idx="7">
                  <c:v>47</c:v>
                </c:pt>
                <c:pt idx="8">
                  <c:v>45</c:v>
                </c:pt>
                <c:pt idx="9">
                  <c:v>42</c:v>
                </c:pt>
                <c:pt idx="10">
                  <c:v>40</c:v>
                </c:pt>
                <c:pt idx="11">
                  <c:v>38</c:v>
                </c:pt>
                <c:pt idx="12">
                  <c:v>36</c:v>
                </c:pt>
                <c:pt idx="13">
                  <c:v>34</c:v>
                </c:pt>
                <c:pt idx="14">
                  <c:v>32</c:v>
                </c:pt>
                <c:pt idx="15">
                  <c:v>32</c:v>
                </c:pt>
                <c:pt idx="16">
                  <c:v>32</c:v>
                </c:pt>
                <c:pt idx="17">
                  <c:v>32</c:v>
                </c:pt>
                <c:pt idx="18">
                  <c:v>32</c:v>
                </c:pt>
                <c:pt idx="19">
                  <c:v>30</c:v>
                </c:pt>
                <c:pt idx="20">
                  <c:v>28</c:v>
                </c:pt>
                <c:pt idx="21">
                  <c:v>32</c:v>
                </c:pt>
                <c:pt idx="22">
                  <c:v>32</c:v>
                </c:pt>
                <c:pt idx="23">
                  <c:v>32</c:v>
                </c:pt>
                <c:pt idx="24">
                  <c:v>30</c:v>
                </c:pt>
                <c:pt idx="25">
                  <c:v>28</c:v>
                </c:pt>
                <c:pt idx="26">
                  <c:v>27</c:v>
                </c:pt>
                <c:pt idx="27">
                  <c:v>26</c:v>
                </c:pt>
                <c:pt idx="28">
                  <c:v>26</c:v>
                </c:pt>
                <c:pt idx="29">
                  <c:v>24</c:v>
                </c:pt>
                <c:pt idx="30">
                  <c:v>24</c:v>
                </c:pt>
                <c:pt idx="31">
                  <c:v>24</c:v>
                </c:pt>
                <c:pt idx="32">
                  <c:v>23</c:v>
                </c:pt>
                <c:pt idx="33">
                  <c:v>22</c:v>
                </c:pt>
                <c:pt idx="34">
                  <c:v>22</c:v>
                </c:pt>
                <c:pt idx="35">
                  <c:v>22</c:v>
                </c:pt>
                <c:pt idx="36">
                  <c:v>22</c:v>
                </c:pt>
                <c:pt idx="37">
                  <c:v>22</c:v>
                </c:pt>
                <c:pt idx="38">
                  <c:v>22</c:v>
                </c:pt>
                <c:pt idx="39">
                  <c:v>22</c:v>
                </c:pt>
                <c:pt idx="40">
                  <c:v>22</c:v>
                </c:pt>
                <c:pt idx="41">
                  <c:v>22</c:v>
                </c:pt>
              </c:numCache>
            </c:numRef>
          </c:val>
          <c:extLst>
            <c:ext xmlns:c16="http://schemas.microsoft.com/office/drawing/2014/chart" uri="{C3380CC4-5D6E-409C-BE32-E72D297353CC}">
              <c16:uniqueId val="{00000003-F3CC-47E8-B0A6-F463BE105F51}"/>
            </c:ext>
          </c:extLst>
        </c:ser>
        <c:ser>
          <c:idx val="4"/>
          <c:order val="4"/>
          <c:tx>
            <c:strRef>
              <c:f>'Auto Correct TPS'!$F$1</c:f>
              <c:strCache>
                <c:ptCount val="1"/>
                <c:pt idx="0">
                  <c:v>2.5</c:v>
                </c:pt>
              </c:strCache>
            </c:strRef>
          </c:tx>
          <c:spPr>
            <a:solidFill>
              <a:schemeClr val="accent4">
                <a:shade val="59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TPS'!$F$2:$F$43</c:f>
              <c:numCache>
                <c:formatCode>0.0</c:formatCode>
                <c:ptCount val="42"/>
                <c:pt idx="0">
                  <c:v>92</c:v>
                </c:pt>
                <c:pt idx="1">
                  <c:v>92</c:v>
                </c:pt>
                <c:pt idx="2">
                  <c:v>84</c:v>
                </c:pt>
                <c:pt idx="3">
                  <c:v>79</c:v>
                </c:pt>
                <c:pt idx="4">
                  <c:v>71</c:v>
                </c:pt>
                <c:pt idx="5">
                  <c:v>68</c:v>
                </c:pt>
                <c:pt idx="6">
                  <c:v>64</c:v>
                </c:pt>
                <c:pt idx="7">
                  <c:v>61</c:v>
                </c:pt>
                <c:pt idx="8">
                  <c:v>58</c:v>
                </c:pt>
                <c:pt idx="9">
                  <c:v>54</c:v>
                </c:pt>
                <c:pt idx="10">
                  <c:v>51</c:v>
                </c:pt>
                <c:pt idx="11">
                  <c:v>47</c:v>
                </c:pt>
                <c:pt idx="12">
                  <c:v>43</c:v>
                </c:pt>
                <c:pt idx="13">
                  <c:v>41</c:v>
                </c:pt>
                <c:pt idx="14">
                  <c:v>39</c:v>
                </c:pt>
                <c:pt idx="15">
                  <c:v>38</c:v>
                </c:pt>
                <c:pt idx="16">
                  <c:v>38</c:v>
                </c:pt>
                <c:pt idx="17">
                  <c:v>37</c:v>
                </c:pt>
                <c:pt idx="18">
                  <c:v>35</c:v>
                </c:pt>
                <c:pt idx="19">
                  <c:v>34</c:v>
                </c:pt>
                <c:pt idx="20">
                  <c:v>32</c:v>
                </c:pt>
                <c:pt idx="21">
                  <c:v>32</c:v>
                </c:pt>
                <c:pt idx="22">
                  <c:v>32</c:v>
                </c:pt>
                <c:pt idx="23">
                  <c:v>32</c:v>
                </c:pt>
                <c:pt idx="24">
                  <c:v>30</c:v>
                </c:pt>
                <c:pt idx="25">
                  <c:v>28</c:v>
                </c:pt>
                <c:pt idx="26">
                  <c:v>27</c:v>
                </c:pt>
                <c:pt idx="27">
                  <c:v>26</c:v>
                </c:pt>
                <c:pt idx="28">
                  <c:v>26</c:v>
                </c:pt>
                <c:pt idx="29">
                  <c:v>24</c:v>
                </c:pt>
                <c:pt idx="30">
                  <c:v>24</c:v>
                </c:pt>
                <c:pt idx="31">
                  <c:v>24</c:v>
                </c:pt>
                <c:pt idx="32">
                  <c:v>24</c:v>
                </c:pt>
                <c:pt idx="33">
                  <c:v>24</c:v>
                </c:pt>
                <c:pt idx="34">
                  <c:v>24</c:v>
                </c:pt>
                <c:pt idx="35">
                  <c:v>24</c:v>
                </c:pt>
                <c:pt idx="36">
                  <c:v>24</c:v>
                </c:pt>
                <c:pt idx="37">
                  <c:v>24</c:v>
                </c:pt>
                <c:pt idx="38">
                  <c:v>24</c:v>
                </c:pt>
                <c:pt idx="39">
                  <c:v>24</c:v>
                </c:pt>
                <c:pt idx="40">
                  <c:v>24</c:v>
                </c:pt>
                <c:pt idx="41">
                  <c:v>24</c:v>
                </c:pt>
              </c:numCache>
            </c:numRef>
          </c:val>
          <c:extLst>
            <c:ext xmlns:c16="http://schemas.microsoft.com/office/drawing/2014/chart" uri="{C3380CC4-5D6E-409C-BE32-E72D297353CC}">
              <c16:uniqueId val="{00000004-F3CC-47E8-B0A6-F463BE105F51}"/>
            </c:ext>
          </c:extLst>
        </c:ser>
        <c:ser>
          <c:idx val="5"/>
          <c:order val="5"/>
          <c:tx>
            <c:strRef>
              <c:f>'Auto Correct TPS'!$G$1</c:f>
              <c:strCache>
                <c:ptCount val="1"/>
                <c:pt idx="0">
                  <c:v>3.1</c:v>
                </c:pt>
              </c:strCache>
            </c:strRef>
          </c:tx>
          <c:spPr>
            <a:solidFill>
              <a:schemeClr val="accent4">
                <a:shade val="65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TPS'!$G$2:$G$43</c:f>
              <c:numCache>
                <c:formatCode>0.0</c:formatCode>
                <c:ptCount val="42"/>
                <c:pt idx="0">
                  <c:v>96</c:v>
                </c:pt>
                <c:pt idx="1">
                  <c:v>96</c:v>
                </c:pt>
                <c:pt idx="2">
                  <c:v>90</c:v>
                </c:pt>
                <c:pt idx="3">
                  <c:v>84</c:v>
                </c:pt>
                <c:pt idx="4">
                  <c:v>80</c:v>
                </c:pt>
                <c:pt idx="5">
                  <c:v>76</c:v>
                </c:pt>
                <c:pt idx="6">
                  <c:v>74</c:v>
                </c:pt>
                <c:pt idx="7">
                  <c:v>69</c:v>
                </c:pt>
                <c:pt idx="8">
                  <c:v>65</c:v>
                </c:pt>
                <c:pt idx="9">
                  <c:v>60</c:v>
                </c:pt>
                <c:pt idx="10">
                  <c:v>55</c:v>
                </c:pt>
                <c:pt idx="11">
                  <c:v>52</c:v>
                </c:pt>
                <c:pt idx="12">
                  <c:v>50</c:v>
                </c:pt>
                <c:pt idx="13">
                  <c:v>47</c:v>
                </c:pt>
                <c:pt idx="14">
                  <c:v>46</c:v>
                </c:pt>
                <c:pt idx="15">
                  <c:v>46</c:v>
                </c:pt>
                <c:pt idx="16">
                  <c:v>46</c:v>
                </c:pt>
                <c:pt idx="17">
                  <c:v>45</c:v>
                </c:pt>
                <c:pt idx="18">
                  <c:v>42</c:v>
                </c:pt>
                <c:pt idx="19">
                  <c:v>41</c:v>
                </c:pt>
                <c:pt idx="20">
                  <c:v>38</c:v>
                </c:pt>
                <c:pt idx="21">
                  <c:v>36</c:v>
                </c:pt>
                <c:pt idx="22">
                  <c:v>34</c:v>
                </c:pt>
                <c:pt idx="23">
                  <c:v>32</c:v>
                </c:pt>
                <c:pt idx="24">
                  <c:v>29</c:v>
                </c:pt>
                <c:pt idx="25">
                  <c:v>32</c:v>
                </c:pt>
                <c:pt idx="26">
                  <c:v>32</c:v>
                </c:pt>
                <c:pt idx="27">
                  <c:v>30</c:v>
                </c:pt>
                <c:pt idx="28">
                  <c:v>28</c:v>
                </c:pt>
                <c:pt idx="29">
                  <c:v>28</c:v>
                </c:pt>
                <c:pt idx="30">
                  <c:v>28</c:v>
                </c:pt>
                <c:pt idx="31">
                  <c:v>28</c:v>
                </c:pt>
                <c:pt idx="32">
                  <c:v>28</c:v>
                </c:pt>
                <c:pt idx="33">
                  <c:v>28</c:v>
                </c:pt>
                <c:pt idx="34">
                  <c:v>27</c:v>
                </c:pt>
                <c:pt idx="35">
                  <c:v>27</c:v>
                </c:pt>
                <c:pt idx="36">
                  <c:v>27</c:v>
                </c:pt>
                <c:pt idx="37">
                  <c:v>27</c:v>
                </c:pt>
                <c:pt idx="38">
                  <c:v>27</c:v>
                </c:pt>
                <c:pt idx="39">
                  <c:v>27</c:v>
                </c:pt>
                <c:pt idx="40">
                  <c:v>27</c:v>
                </c:pt>
                <c:pt idx="41">
                  <c:v>27</c:v>
                </c:pt>
              </c:numCache>
            </c:numRef>
          </c:val>
          <c:extLst>
            <c:ext xmlns:c16="http://schemas.microsoft.com/office/drawing/2014/chart" uri="{C3380CC4-5D6E-409C-BE32-E72D297353CC}">
              <c16:uniqueId val="{00000005-F3CC-47E8-B0A6-F463BE105F51}"/>
            </c:ext>
          </c:extLst>
        </c:ser>
        <c:ser>
          <c:idx val="6"/>
          <c:order val="6"/>
          <c:tx>
            <c:strRef>
              <c:f>'Auto Correct TPS'!$H$1</c:f>
              <c:strCache>
                <c:ptCount val="1"/>
                <c:pt idx="0">
                  <c:v>3.7</c:v>
                </c:pt>
              </c:strCache>
            </c:strRef>
          </c:tx>
          <c:spPr>
            <a:solidFill>
              <a:schemeClr val="accent4">
                <a:shade val="70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TPS'!$H$2:$H$43</c:f>
              <c:numCache>
                <c:formatCode>0.0</c:formatCode>
                <c:ptCount val="42"/>
                <c:pt idx="0">
                  <c:v>104</c:v>
                </c:pt>
                <c:pt idx="1">
                  <c:v>104</c:v>
                </c:pt>
                <c:pt idx="2">
                  <c:v>94</c:v>
                </c:pt>
                <c:pt idx="3">
                  <c:v>87</c:v>
                </c:pt>
                <c:pt idx="4">
                  <c:v>84</c:v>
                </c:pt>
                <c:pt idx="5">
                  <c:v>82</c:v>
                </c:pt>
                <c:pt idx="6">
                  <c:v>81</c:v>
                </c:pt>
                <c:pt idx="7">
                  <c:v>75</c:v>
                </c:pt>
                <c:pt idx="8">
                  <c:v>70</c:v>
                </c:pt>
                <c:pt idx="9">
                  <c:v>66</c:v>
                </c:pt>
                <c:pt idx="10">
                  <c:v>63</c:v>
                </c:pt>
                <c:pt idx="11">
                  <c:v>61</c:v>
                </c:pt>
                <c:pt idx="12">
                  <c:v>60</c:v>
                </c:pt>
                <c:pt idx="13">
                  <c:v>58</c:v>
                </c:pt>
                <c:pt idx="14">
                  <c:v>54</c:v>
                </c:pt>
                <c:pt idx="15">
                  <c:v>54</c:v>
                </c:pt>
                <c:pt idx="16">
                  <c:v>54</c:v>
                </c:pt>
                <c:pt idx="17">
                  <c:v>52</c:v>
                </c:pt>
                <c:pt idx="18">
                  <c:v>52</c:v>
                </c:pt>
                <c:pt idx="19">
                  <c:v>49</c:v>
                </c:pt>
                <c:pt idx="20">
                  <c:v>47</c:v>
                </c:pt>
                <c:pt idx="21">
                  <c:v>43</c:v>
                </c:pt>
                <c:pt idx="22">
                  <c:v>39</c:v>
                </c:pt>
                <c:pt idx="23">
                  <c:v>37</c:v>
                </c:pt>
                <c:pt idx="24">
                  <c:v>35</c:v>
                </c:pt>
                <c:pt idx="25">
                  <c:v>34</c:v>
                </c:pt>
                <c:pt idx="26">
                  <c:v>32</c:v>
                </c:pt>
                <c:pt idx="27">
                  <c:v>32</c:v>
                </c:pt>
                <c:pt idx="28">
                  <c:v>30</c:v>
                </c:pt>
                <c:pt idx="29">
                  <c:v>30</c:v>
                </c:pt>
                <c:pt idx="30">
                  <c:v>30</c:v>
                </c:pt>
                <c:pt idx="31">
                  <c:v>30</c:v>
                </c:pt>
                <c:pt idx="32">
                  <c:v>30</c:v>
                </c:pt>
                <c:pt idx="33">
                  <c:v>30</c:v>
                </c:pt>
                <c:pt idx="34">
                  <c:v>28</c:v>
                </c:pt>
                <c:pt idx="35">
                  <c:v>28</c:v>
                </c:pt>
                <c:pt idx="36">
                  <c:v>27</c:v>
                </c:pt>
                <c:pt idx="37">
                  <c:v>27</c:v>
                </c:pt>
                <c:pt idx="38">
                  <c:v>27</c:v>
                </c:pt>
                <c:pt idx="39">
                  <c:v>27</c:v>
                </c:pt>
                <c:pt idx="40">
                  <c:v>27</c:v>
                </c:pt>
                <c:pt idx="41">
                  <c:v>27</c:v>
                </c:pt>
              </c:numCache>
            </c:numRef>
          </c:val>
          <c:extLst>
            <c:ext xmlns:c16="http://schemas.microsoft.com/office/drawing/2014/chart" uri="{C3380CC4-5D6E-409C-BE32-E72D297353CC}">
              <c16:uniqueId val="{00000006-F3CC-47E8-B0A6-F463BE105F51}"/>
            </c:ext>
          </c:extLst>
        </c:ser>
        <c:ser>
          <c:idx val="7"/>
          <c:order val="7"/>
          <c:tx>
            <c:strRef>
              <c:f>'Auto Correct TPS'!$I$1</c:f>
              <c:strCache>
                <c:ptCount val="1"/>
                <c:pt idx="0">
                  <c:v>4.4</c:v>
                </c:pt>
              </c:strCache>
            </c:strRef>
          </c:tx>
          <c:spPr>
            <a:solidFill>
              <a:schemeClr val="accent4">
                <a:shade val="76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TPS'!$I$2:$I$43</c:f>
              <c:numCache>
                <c:formatCode>0.0</c:formatCode>
                <c:ptCount val="42"/>
                <c:pt idx="0">
                  <c:v>107</c:v>
                </c:pt>
                <c:pt idx="1">
                  <c:v>107</c:v>
                </c:pt>
                <c:pt idx="2">
                  <c:v>97</c:v>
                </c:pt>
                <c:pt idx="3">
                  <c:v>91</c:v>
                </c:pt>
                <c:pt idx="4">
                  <c:v>86</c:v>
                </c:pt>
                <c:pt idx="5">
                  <c:v>85</c:v>
                </c:pt>
                <c:pt idx="6">
                  <c:v>84</c:v>
                </c:pt>
                <c:pt idx="7">
                  <c:v>79</c:v>
                </c:pt>
                <c:pt idx="8">
                  <c:v>72</c:v>
                </c:pt>
                <c:pt idx="9">
                  <c:v>70</c:v>
                </c:pt>
                <c:pt idx="10">
                  <c:v>68</c:v>
                </c:pt>
                <c:pt idx="11">
                  <c:v>66</c:v>
                </c:pt>
                <c:pt idx="12">
                  <c:v>64</c:v>
                </c:pt>
                <c:pt idx="13">
                  <c:v>63</c:v>
                </c:pt>
                <c:pt idx="14">
                  <c:v>61</c:v>
                </c:pt>
                <c:pt idx="15">
                  <c:v>60</c:v>
                </c:pt>
                <c:pt idx="16">
                  <c:v>59</c:v>
                </c:pt>
                <c:pt idx="17">
                  <c:v>58</c:v>
                </c:pt>
                <c:pt idx="18">
                  <c:v>59</c:v>
                </c:pt>
                <c:pt idx="19">
                  <c:v>57</c:v>
                </c:pt>
                <c:pt idx="20">
                  <c:v>51</c:v>
                </c:pt>
                <c:pt idx="21">
                  <c:v>48</c:v>
                </c:pt>
                <c:pt idx="22">
                  <c:v>44</c:v>
                </c:pt>
                <c:pt idx="23">
                  <c:v>42</c:v>
                </c:pt>
                <c:pt idx="24">
                  <c:v>40</c:v>
                </c:pt>
                <c:pt idx="25">
                  <c:v>37</c:v>
                </c:pt>
                <c:pt idx="26">
                  <c:v>34</c:v>
                </c:pt>
                <c:pt idx="27">
                  <c:v>32</c:v>
                </c:pt>
                <c:pt idx="28">
                  <c:v>30</c:v>
                </c:pt>
                <c:pt idx="29">
                  <c:v>30</c:v>
                </c:pt>
                <c:pt idx="30">
                  <c:v>30</c:v>
                </c:pt>
                <c:pt idx="31">
                  <c:v>30</c:v>
                </c:pt>
                <c:pt idx="32">
                  <c:v>30</c:v>
                </c:pt>
                <c:pt idx="33">
                  <c:v>30</c:v>
                </c:pt>
                <c:pt idx="34">
                  <c:v>28</c:v>
                </c:pt>
                <c:pt idx="35">
                  <c:v>28</c:v>
                </c:pt>
                <c:pt idx="36">
                  <c:v>28</c:v>
                </c:pt>
                <c:pt idx="37">
                  <c:v>28</c:v>
                </c:pt>
                <c:pt idx="38">
                  <c:v>28</c:v>
                </c:pt>
                <c:pt idx="39">
                  <c:v>28</c:v>
                </c:pt>
                <c:pt idx="40">
                  <c:v>28</c:v>
                </c:pt>
                <c:pt idx="41">
                  <c:v>28</c:v>
                </c:pt>
              </c:numCache>
            </c:numRef>
          </c:val>
          <c:extLst>
            <c:ext xmlns:c16="http://schemas.microsoft.com/office/drawing/2014/chart" uri="{C3380CC4-5D6E-409C-BE32-E72D297353CC}">
              <c16:uniqueId val="{00000007-F3CC-47E8-B0A6-F463BE105F51}"/>
            </c:ext>
          </c:extLst>
        </c:ser>
        <c:ser>
          <c:idx val="8"/>
          <c:order val="8"/>
          <c:tx>
            <c:strRef>
              <c:f>'Auto Correct TPS'!$J$1</c:f>
              <c:strCache>
                <c:ptCount val="1"/>
                <c:pt idx="0">
                  <c:v>5.6</c:v>
                </c:pt>
              </c:strCache>
            </c:strRef>
          </c:tx>
          <c:spPr>
            <a:solidFill>
              <a:schemeClr val="accent4">
                <a:shade val="82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TPS'!$J$2:$J$43</c:f>
              <c:numCache>
                <c:formatCode>0.0</c:formatCode>
                <c:ptCount val="42"/>
                <c:pt idx="0">
                  <c:v>117</c:v>
                </c:pt>
                <c:pt idx="1">
                  <c:v>117</c:v>
                </c:pt>
                <c:pt idx="2">
                  <c:v>107</c:v>
                </c:pt>
                <c:pt idx="3">
                  <c:v>98</c:v>
                </c:pt>
                <c:pt idx="4">
                  <c:v>92</c:v>
                </c:pt>
                <c:pt idx="5">
                  <c:v>91</c:v>
                </c:pt>
                <c:pt idx="6">
                  <c:v>91</c:v>
                </c:pt>
                <c:pt idx="7">
                  <c:v>87</c:v>
                </c:pt>
                <c:pt idx="8">
                  <c:v>82</c:v>
                </c:pt>
                <c:pt idx="9">
                  <c:v>78</c:v>
                </c:pt>
                <c:pt idx="10">
                  <c:v>75</c:v>
                </c:pt>
                <c:pt idx="11">
                  <c:v>74</c:v>
                </c:pt>
                <c:pt idx="12">
                  <c:v>74</c:v>
                </c:pt>
                <c:pt idx="13">
                  <c:v>72</c:v>
                </c:pt>
                <c:pt idx="14">
                  <c:v>71</c:v>
                </c:pt>
                <c:pt idx="15">
                  <c:v>71</c:v>
                </c:pt>
                <c:pt idx="16">
                  <c:v>74</c:v>
                </c:pt>
                <c:pt idx="17">
                  <c:v>72</c:v>
                </c:pt>
                <c:pt idx="18">
                  <c:v>72</c:v>
                </c:pt>
                <c:pt idx="19">
                  <c:v>68</c:v>
                </c:pt>
                <c:pt idx="20">
                  <c:v>63</c:v>
                </c:pt>
                <c:pt idx="21">
                  <c:v>59</c:v>
                </c:pt>
                <c:pt idx="22">
                  <c:v>57</c:v>
                </c:pt>
                <c:pt idx="23">
                  <c:v>51</c:v>
                </c:pt>
                <c:pt idx="24">
                  <c:v>48</c:v>
                </c:pt>
                <c:pt idx="25">
                  <c:v>41</c:v>
                </c:pt>
                <c:pt idx="26">
                  <c:v>37</c:v>
                </c:pt>
                <c:pt idx="27">
                  <c:v>34</c:v>
                </c:pt>
                <c:pt idx="28">
                  <c:v>34</c:v>
                </c:pt>
                <c:pt idx="29">
                  <c:v>32</c:v>
                </c:pt>
                <c:pt idx="30">
                  <c:v>32</c:v>
                </c:pt>
                <c:pt idx="31">
                  <c:v>32</c:v>
                </c:pt>
                <c:pt idx="32">
                  <c:v>32</c:v>
                </c:pt>
                <c:pt idx="33">
                  <c:v>30</c:v>
                </c:pt>
                <c:pt idx="34">
                  <c:v>30</c:v>
                </c:pt>
                <c:pt idx="35">
                  <c:v>30</c:v>
                </c:pt>
                <c:pt idx="36">
                  <c:v>28</c:v>
                </c:pt>
                <c:pt idx="37">
                  <c:v>28</c:v>
                </c:pt>
                <c:pt idx="38">
                  <c:v>28</c:v>
                </c:pt>
                <c:pt idx="39">
                  <c:v>28</c:v>
                </c:pt>
                <c:pt idx="40">
                  <c:v>28</c:v>
                </c:pt>
                <c:pt idx="41">
                  <c:v>28</c:v>
                </c:pt>
              </c:numCache>
            </c:numRef>
          </c:val>
          <c:extLst>
            <c:ext xmlns:c16="http://schemas.microsoft.com/office/drawing/2014/chart" uri="{C3380CC4-5D6E-409C-BE32-E72D297353CC}">
              <c16:uniqueId val="{00000008-F3CC-47E8-B0A6-F463BE105F51}"/>
            </c:ext>
          </c:extLst>
        </c:ser>
        <c:ser>
          <c:idx val="9"/>
          <c:order val="9"/>
          <c:tx>
            <c:strRef>
              <c:f>'Auto Correct TPS'!$K$1</c:f>
              <c:strCache>
                <c:ptCount val="1"/>
                <c:pt idx="0">
                  <c:v>6.8</c:v>
                </c:pt>
              </c:strCache>
            </c:strRef>
          </c:tx>
          <c:spPr>
            <a:solidFill>
              <a:schemeClr val="accent4">
                <a:shade val="88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TPS'!$K$2:$K$43</c:f>
              <c:numCache>
                <c:formatCode>0.0</c:formatCode>
                <c:ptCount val="42"/>
                <c:pt idx="0">
                  <c:v>126</c:v>
                </c:pt>
                <c:pt idx="1">
                  <c:v>126</c:v>
                </c:pt>
                <c:pt idx="2">
                  <c:v>112</c:v>
                </c:pt>
                <c:pt idx="3">
                  <c:v>104</c:v>
                </c:pt>
                <c:pt idx="4">
                  <c:v>99</c:v>
                </c:pt>
                <c:pt idx="5">
                  <c:v>97</c:v>
                </c:pt>
                <c:pt idx="6">
                  <c:v>96</c:v>
                </c:pt>
                <c:pt idx="7">
                  <c:v>91</c:v>
                </c:pt>
                <c:pt idx="8">
                  <c:v>87</c:v>
                </c:pt>
                <c:pt idx="9">
                  <c:v>82</c:v>
                </c:pt>
                <c:pt idx="10">
                  <c:v>80</c:v>
                </c:pt>
                <c:pt idx="11">
                  <c:v>80</c:v>
                </c:pt>
                <c:pt idx="12">
                  <c:v>80</c:v>
                </c:pt>
                <c:pt idx="13">
                  <c:v>80</c:v>
                </c:pt>
                <c:pt idx="14">
                  <c:v>81</c:v>
                </c:pt>
                <c:pt idx="15">
                  <c:v>82</c:v>
                </c:pt>
                <c:pt idx="16">
                  <c:v>84</c:v>
                </c:pt>
                <c:pt idx="17">
                  <c:v>84</c:v>
                </c:pt>
                <c:pt idx="18">
                  <c:v>83</c:v>
                </c:pt>
                <c:pt idx="19">
                  <c:v>79</c:v>
                </c:pt>
                <c:pt idx="20">
                  <c:v>72</c:v>
                </c:pt>
                <c:pt idx="21">
                  <c:v>68</c:v>
                </c:pt>
                <c:pt idx="22">
                  <c:v>65</c:v>
                </c:pt>
                <c:pt idx="23">
                  <c:v>62</c:v>
                </c:pt>
                <c:pt idx="24">
                  <c:v>58</c:v>
                </c:pt>
                <c:pt idx="25">
                  <c:v>46</c:v>
                </c:pt>
                <c:pt idx="26">
                  <c:v>43</c:v>
                </c:pt>
                <c:pt idx="27">
                  <c:v>40</c:v>
                </c:pt>
                <c:pt idx="28">
                  <c:v>38</c:v>
                </c:pt>
                <c:pt idx="29">
                  <c:v>37</c:v>
                </c:pt>
                <c:pt idx="30">
                  <c:v>37</c:v>
                </c:pt>
                <c:pt idx="31">
                  <c:v>36</c:v>
                </c:pt>
                <c:pt idx="32">
                  <c:v>36</c:v>
                </c:pt>
                <c:pt idx="33">
                  <c:v>34</c:v>
                </c:pt>
                <c:pt idx="34">
                  <c:v>34</c:v>
                </c:pt>
                <c:pt idx="35">
                  <c:v>32</c:v>
                </c:pt>
                <c:pt idx="36">
                  <c:v>30</c:v>
                </c:pt>
                <c:pt idx="37">
                  <c:v>30</c:v>
                </c:pt>
                <c:pt idx="38">
                  <c:v>28</c:v>
                </c:pt>
                <c:pt idx="39">
                  <c:v>28</c:v>
                </c:pt>
                <c:pt idx="40">
                  <c:v>28</c:v>
                </c:pt>
                <c:pt idx="41">
                  <c:v>28</c:v>
                </c:pt>
              </c:numCache>
            </c:numRef>
          </c:val>
          <c:extLst>
            <c:ext xmlns:c16="http://schemas.microsoft.com/office/drawing/2014/chart" uri="{C3380CC4-5D6E-409C-BE32-E72D297353CC}">
              <c16:uniqueId val="{00000009-F3CC-47E8-B0A6-F463BE105F51}"/>
            </c:ext>
          </c:extLst>
        </c:ser>
        <c:ser>
          <c:idx val="10"/>
          <c:order val="10"/>
          <c:tx>
            <c:strRef>
              <c:f>'Auto Correct TPS'!$L$1</c:f>
              <c:strCache>
                <c:ptCount val="1"/>
                <c:pt idx="0">
                  <c:v>8.1</c:v>
                </c:pt>
              </c:strCache>
            </c:strRef>
          </c:tx>
          <c:spPr>
            <a:solidFill>
              <a:schemeClr val="accent4">
                <a:shade val="94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TPS'!$L$2:$L$43</c:f>
              <c:numCache>
                <c:formatCode>0.0</c:formatCode>
                <c:ptCount val="42"/>
                <c:pt idx="0">
                  <c:v>129</c:v>
                </c:pt>
                <c:pt idx="1">
                  <c:v>129</c:v>
                </c:pt>
                <c:pt idx="2">
                  <c:v>119</c:v>
                </c:pt>
                <c:pt idx="3">
                  <c:v>112</c:v>
                </c:pt>
                <c:pt idx="4">
                  <c:v>104</c:v>
                </c:pt>
                <c:pt idx="5">
                  <c:v>103</c:v>
                </c:pt>
                <c:pt idx="6">
                  <c:v>102</c:v>
                </c:pt>
                <c:pt idx="7">
                  <c:v>97</c:v>
                </c:pt>
                <c:pt idx="8">
                  <c:v>91</c:v>
                </c:pt>
                <c:pt idx="9">
                  <c:v>88</c:v>
                </c:pt>
                <c:pt idx="10">
                  <c:v>86</c:v>
                </c:pt>
                <c:pt idx="11">
                  <c:v>86</c:v>
                </c:pt>
                <c:pt idx="12">
                  <c:v>85</c:v>
                </c:pt>
                <c:pt idx="13">
                  <c:v>85</c:v>
                </c:pt>
                <c:pt idx="14">
                  <c:v>86</c:v>
                </c:pt>
                <c:pt idx="15">
                  <c:v>87</c:v>
                </c:pt>
                <c:pt idx="16">
                  <c:v>89</c:v>
                </c:pt>
                <c:pt idx="17">
                  <c:v>89</c:v>
                </c:pt>
                <c:pt idx="18">
                  <c:v>89</c:v>
                </c:pt>
                <c:pt idx="19">
                  <c:v>85</c:v>
                </c:pt>
                <c:pt idx="20">
                  <c:v>81</c:v>
                </c:pt>
                <c:pt idx="21">
                  <c:v>75</c:v>
                </c:pt>
                <c:pt idx="22">
                  <c:v>71</c:v>
                </c:pt>
                <c:pt idx="23">
                  <c:v>68</c:v>
                </c:pt>
                <c:pt idx="24">
                  <c:v>65</c:v>
                </c:pt>
                <c:pt idx="25">
                  <c:v>57</c:v>
                </c:pt>
                <c:pt idx="26">
                  <c:v>50</c:v>
                </c:pt>
                <c:pt idx="27">
                  <c:v>46</c:v>
                </c:pt>
                <c:pt idx="28">
                  <c:v>45</c:v>
                </c:pt>
                <c:pt idx="29">
                  <c:v>44</c:v>
                </c:pt>
                <c:pt idx="30">
                  <c:v>44</c:v>
                </c:pt>
                <c:pt idx="31">
                  <c:v>42</c:v>
                </c:pt>
                <c:pt idx="32">
                  <c:v>41</c:v>
                </c:pt>
                <c:pt idx="33">
                  <c:v>40</c:v>
                </c:pt>
                <c:pt idx="34">
                  <c:v>40</c:v>
                </c:pt>
                <c:pt idx="35">
                  <c:v>38</c:v>
                </c:pt>
                <c:pt idx="36">
                  <c:v>37</c:v>
                </c:pt>
                <c:pt idx="37">
                  <c:v>36</c:v>
                </c:pt>
                <c:pt idx="38">
                  <c:v>34</c:v>
                </c:pt>
                <c:pt idx="39">
                  <c:v>34</c:v>
                </c:pt>
                <c:pt idx="40">
                  <c:v>34</c:v>
                </c:pt>
                <c:pt idx="41">
                  <c:v>34</c:v>
                </c:pt>
              </c:numCache>
            </c:numRef>
          </c:val>
          <c:extLst>
            <c:ext xmlns:c16="http://schemas.microsoft.com/office/drawing/2014/chart" uri="{C3380CC4-5D6E-409C-BE32-E72D297353CC}">
              <c16:uniqueId val="{0000000A-F3CC-47E8-B0A6-F463BE105F51}"/>
            </c:ext>
          </c:extLst>
        </c:ser>
        <c:ser>
          <c:idx val="11"/>
          <c:order val="11"/>
          <c:tx>
            <c:strRef>
              <c:f>'Auto Correct TPS'!$M$1</c:f>
              <c:strCache>
                <c:ptCount val="1"/>
                <c:pt idx="0">
                  <c:v>9.3</c:v>
                </c:pt>
              </c:strCache>
            </c:strRef>
          </c:tx>
          <c:spPr>
            <a:solidFill>
              <a:schemeClr val="accent4"/>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TPS'!$M$2:$M$43</c:f>
              <c:numCache>
                <c:formatCode>0.0</c:formatCode>
                <c:ptCount val="42"/>
                <c:pt idx="0">
                  <c:v>135</c:v>
                </c:pt>
                <c:pt idx="1">
                  <c:v>135</c:v>
                </c:pt>
                <c:pt idx="2">
                  <c:v>126</c:v>
                </c:pt>
                <c:pt idx="3">
                  <c:v>116</c:v>
                </c:pt>
                <c:pt idx="4">
                  <c:v>109</c:v>
                </c:pt>
                <c:pt idx="5">
                  <c:v>108</c:v>
                </c:pt>
                <c:pt idx="6">
                  <c:v>107</c:v>
                </c:pt>
                <c:pt idx="7">
                  <c:v>102</c:v>
                </c:pt>
                <c:pt idx="8">
                  <c:v>96</c:v>
                </c:pt>
                <c:pt idx="9">
                  <c:v>92</c:v>
                </c:pt>
                <c:pt idx="10">
                  <c:v>91</c:v>
                </c:pt>
                <c:pt idx="11">
                  <c:v>91</c:v>
                </c:pt>
                <c:pt idx="12">
                  <c:v>90</c:v>
                </c:pt>
                <c:pt idx="13">
                  <c:v>91</c:v>
                </c:pt>
                <c:pt idx="14">
                  <c:v>91</c:v>
                </c:pt>
                <c:pt idx="15">
                  <c:v>92</c:v>
                </c:pt>
                <c:pt idx="16">
                  <c:v>92</c:v>
                </c:pt>
                <c:pt idx="17">
                  <c:v>93</c:v>
                </c:pt>
                <c:pt idx="18">
                  <c:v>93</c:v>
                </c:pt>
                <c:pt idx="19">
                  <c:v>89</c:v>
                </c:pt>
                <c:pt idx="20">
                  <c:v>84</c:v>
                </c:pt>
                <c:pt idx="21">
                  <c:v>80</c:v>
                </c:pt>
                <c:pt idx="22">
                  <c:v>78</c:v>
                </c:pt>
                <c:pt idx="23">
                  <c:v>75</c:v>
                </c:pt>
                <c:pt idx="24">
                  <c:v>72</c:v>
                </c:pt>
                <c:pt idx="25">
                  <c:v>64</c:v>
                </c:pt>
                <c:pt idx="26">
                  <c:v>60</c:v>
                </c:pt>
                <c:pt idx="27">
                  <c:v>58</c:v>
                </c:pt>
                <c:pt idx="28">
                  <c:v>54</c:v>
                </c:pt>
                <c:pt idx="29">
                  <c:v>52</c:v>
                </c:pt>
                <c:pt idx="30">
                  <c:v>52</c:v>
                </c:pt>
                <c:pt idx="31">
                  <c:v>49</c:v>
                </c:pt>
                <c:pt idx="32">
                  <c:v>49</c:v>
                </c:pt>
                <c:pt idx="33">
                  <c:v>48</c:v>
                </c:pt>
                <c:pt idx="34">
                  <c:v>46</c:v>
                </c:pt>
                <c:pt idx="35">
                  <c:v>45</c:v>
                </c:pt>
                <c:pt idx="36">
                  <c:v>44</c:v>
                </c:pt>
                <c:pt idx="37">
                  <c:v>42</c:v>
                </c:pt>
                <c:pt idx="38">
                  <c:v>41</c:v>
                </c:pt>
                <c:pt idx="39">
                  <c:v>40</c:v>
                </c:pt>
                <c:pt idx="40">
                  <c:v>40</c:v>
                </c:pt>
                <c:pt idx="41">
                  <c:v>40</c:v>
                </c:pt>
              </c:numCache>
            </c:numRef>
          </c:val>
          <c:extLst>
            <c:ext xmlns:c16="http://schemas.microsoft.com/office/drawing/2014/chart" uri="{C3380CC4-5D6E-409C-BE32-E72D297353CC}">
              <c16:uniqueId val="{0000000B-F3CC-47E8-B0A6-F463BE105F51}"/>
            </c:ext>
          </c:extLst>
        </c:ser>
        <c:ser>
          <c:idx val="12"/>
          <c:order val="12"/>
          <c:tx>
            <c:strRef>
              <c:f>'Auto Correct TPS'!$N$1</c:f>
              <c:strCache>
                <c:ptCount val="1"/>
                <c:pt idx="0">
                  <c:v>10.6</c:v>
                </c:pt>
              </c:strCache>
            </c:strRef>
          </c:tx>
          <c:spPr>
            <a:solidFill>
              <a:schemeClr val="accent4">
                <a:tint val="95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TPS'!$N$2:$N$43</c:f>
              <c:numCache>
                <c:formatCode>0.0</c:formatCode>
                <c:ptCount val="42"/>
                <c:pt idx="0">
                  <c:v>135</c:v>
                </c:pt>
                <c:pt idx="1">
                  <c:v>135</c:v>
                </c:pt>
                <c:pt idx="2">
                  <c:v>131</c:v>
                </c:pt>
                <c:pt idx="3">
                  <c:v>122</c:v>
                </c:pt>
                <c:pt idx="4">
                  <c:v>116</c:v>
                </c:pt>
                <c:pt idx="5">
                  <c:v>114</c:v>
                </c:pt>
                <c:pt idx="6">
                  <c:v>113</c:v>
                </c:pt>
                <c:pt idx="7">
                  <c:v>108</c:v>
                </c:pt>
                <c:pt idx="8">
                  <c:v>99</c:v>
                </c:pt>
                <c:pt idx="9">
                  <c:v>97</c:v>
                </c:pt>
                <c:pt idx="10">
                  <c:v>94</c:v>
                </c:pt>
                <c:pt idx="11">
                  <c:v>96</c:v>
                </c:pt>
                <c:pt idx="12">
                  <c:v>97</c:v>
                </c:pt>
                <c:pt idx="13">
                  <c:v>97</c:v>
                </c:pt>
                <c:pt idx="14">
                  <c:v>98</c:v>
                </c:pt>
                <c:pt idx="15">
                  <c:v>97</c:v>
                </c:pt>
                <c:pt idx="16">
                  <c:v>97</c:v>
                </c:pt>
                <c:pt idx="17">
                  <c:v>98</c:v>
                </c:pt>
                <c:pt idx="18">
                  <c:v>97</c:v>
                </c:pt>
                <c:pt idx="19">
                  <c:v>93</c:v>
                </c:pt>
                <c:pt idx="20">
                  <c:v>88</c:v>
                </c:pt>
                <c:pt idx="21">
                  <c:v>83</c:v>
                </c:pt>
                <c:pt idx="22">
                  <c:v>81</c:v>
                </c:pt>
                <c:pt idx="23">
                  <c:v>79</c:v>
                </c:pt>
                <c:pt idx="24">
                  <c:v>75</c:v>
                </c:pt>
                <c:pt idx="25">
                  <c:v>70</c:v>
                </c:pt>
                <c:pt idx="26">
                  <c:v>68</c:v>
                </c:pt>
                <c:pt idx="27">
                  <c:v>67</c:v>
                </c:pt>
                <c:pt idx="28">
                  <c:v>66</c:v>
                </c:pt>
                <c:pt idx="29">
                  <c:v>63</c:v>
                </c:pt>
                <c:pt idx="30">
                  <c:v>62</c:v>
                </c:pt>
                <c:pt idx="31">
                  <c:v>60</c:v>
                </c:pt>
                <c:pt idx="32">
                  <c:v>59</c:v>
                </c:pt>
                <c:pt idx="33">
                  <c:v>59</c:v>
                </c:pt>
                <c:pt idx="34">
                  <c:v>58</c:v>
                </c:pt>
                <c:pt idx="35">
                  <c:v>58</c:v>
                </c:pt>
                <c:pt idx="36">
                  <c:v>54</c:v>
                </c:pt>
                <c:pt idx="37">
                  <c:v>50</c:v>
                </c:pt>
                <c:pt idx="38">
                  <c:v>48</c:v>
                </c:pt>
                <c:pt idx="39">
                  <c:v>46</c:v>
                </c:pt>
                <c:pt idx="40">
                  <c:v>46</c:v>
                </c:pt>
                <c:pt idx="41">
                  <c:v>64.469696969696969</c:v>
                </c:pt>
              </c:numCache>
            </c:numRef>
          </c:val>
          <c:extLst>
            <c:ext xmlns:c16="http://schemas.microsoft.com/office/drawing/2014/chart" uri="{C3380CC4-5D6E-409C-BE32-E72D297353CC}">
              <c16:uniqueId val="{0000000C-F3CC-47E8-B0A6-F463BE105F51}"/>
            </c:ext>
          </c:extLst>
        </c:ser>
        <c:ser>
          <c:idx val="13"/>
          <c:order val="13"/>
          <c:tx>
            <c:strRef>
              <c:f>'Auto Correct TPS'!$O$1</c:f>
              <c:strCache>
                <c:ptCount val="1"/>
                <c:pt idx="0">
                  <c:v>15.5</c:v>
                </c:pt>
              </c:strCache>
            </c:strRef>
          </c:tx>
          <c:spPr>
            <a:solidFill>
              <a:schemeClr val="accent4">
                <a:tint val="89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TPS'!$O$2:$O$43</c:f>
              <c:numCache>
                <c:formatCode>0.0</c:formatCode>
                <c:ptCount val="42"/>
                <c:pt idx="0">
                  <c:v>138</c:v>
                </c:pt>
                <c:pt idx="1">
                  <c:v>138</c:v>
                </c:pt>
                <c:pt idx="2">
                  <c:v>140</c:v>
                </c:pt>
                <c:pt idx="3">
                  <c:v>134</c:v>
                </c:pt>
                <c:pt idx="4">
                  <c:v>134</c:v>
                </c:pt>
                <c:pt idx="5">
                  <c:v>133</c:v>
                </c:pt>
                <c:pt idx="6">
                  <c:v>133</c:v>
                </c:pt>
                <c:pt idx="7">
                  <c:v>123</c:v>
                </c:pt>
                <c:pt idx="8">
                  <c:v>113</c:v>
                </c:pt>
                <c:pt idx="9">
                  <c:v>109</c:v>
                </c:pt>
                <c:pt idx="10">
                  <c:v>108</c:v>
                </c:pt>
                <c:pt idx="11">
                  <c:v>112</c:v>
                </c:pt>
                <c:pt idx="12">
                  <c:v>117</c:v>
                </c:pt>
                <c:pt idx="13">
                  <c:v>116</c:v>
                </c:pt>
                <c:pt idx="14">
                  <c:v>114</c:v>
                </c:pt>
                <c:pt idx="15">
                  <c:v>112</c:v>
                </c:pt>
                <c:pt idx="16">
                  <c:v>111</c:v>
                </c:pt>
                <c:pt idx="17">
                  <c:v>110</c:v>
                </c:pt>
                <c:pt idx="18">
                  <c:v>109</c:v>
                </c:pt>
                <c:pt idx="19">
                  <c:v>105</c:v>
                </c:pt>
                <c:pt idx="20">
                  <c:v>99</c:v>
                </c:pt>
                <c:pt idx="21">
                  <c:v>93</c:v>
                </c:pt>
                <c:pt idx="22">
                  <c:v>89</c:v>
                </c:pt>
                <c:pt idx="23">
                  <c:v>88</c:v>
                </c:pt>
                <c:pt idx="24">
                  <c:v>87</c:v>
                </c:pt>
                <c:pt idx="25">
                  <c:v>84</c:v>
                </c:pt>
                <c:pt idx="26">
                  <c:v>82</c:v>
                </c:pt>
                <c:pt idx="27">
                  <c:v>80</c:v>
                </c:pt>
                <c:pt idx="28">
                  <c:v>76</c:v>
                </c:pt>
                <c:pt idx="29">
                  <c:v>75</c:v>
                </c:pt>
                <c:pt idx="30">
                  <c:v>75</c:v>
                </c:pt>
                <c:pt idx="31">
                  <c:v>75</c:v>
                </c:pt>
                <c:pt idx="32">
                  <c:v>72</c:v>
                </c:pt>
                <c:pt idx="33">
                  <c:v>71</c:v>
                </c:pt>
                <c:pt idx="34">
                  <c:v>71</c:v>
                </c:pt>
                <c:pt idx="35">
                  <c:v>71</c:v>
                </c:pt>
                <c:pt idx="36">
                  <c:v>68</c:v>
                </c:pt>
                <c:pt idx="37">
                  <c:v>64</c:v>
                </c:pt>
                <c:pt idx="38">
                  <c:v>62</c:v>
                </c:pt>
                <c:pt idx="39">
                  <c:v>60</c:v>
                </c:pt>
                <c:pt idx="40">
                  <c:v>60</c:v>
                </c:pt>
                <c:pt idx="41">
                  <c:v>84.090909090909093</c:v>
                </c:pt>
              </c:numCache>
            </c:numRef>
          </c:val>
          <c:extLst>
            <c:ext xmlns:c16="http://schemas.microsoft.com/office/drawing/2014/chart" uri="{C3380CC4-5D6E-409C-BE32-E72D297353CC}">
              <c16:uniqueId val="{0000000D-F3CC-47E8-B0A6-F463BE105F51}"/>
            </c:ext>
          </c:extLst>
        </c:ser>
        <c:ser>
          <c:idx val="14"/>
          <c:order val="14"/>
          <c:tx>
            <c:strRef>
              <c:f>'Auto Correct TPS'!$P$1</c:f>
              <c:strCache>
                <c:ptCount val="1"/>
                <c:pt idx="0">
                  <c:v>20.5</c:v>
                </c:pt>
              </c:strCache>
            </c:strRef>
          </c:tx>
          <c:spPr>
            <a:solidFill>
              <a:schemeClr val="accent4">
                <a:tint val="83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TPS'!$P$2:$P$43</c:f>
              <c:numCache>
                <c:formatCode>0.0</c:formatCode>
                <c:ptCount val="42"/>
                <c:pt idx="0">
                  <c:v>142</c:v>
                </c:pt>
                <c:pt idx="1">
                  <c:v>142</c:v>
                </c:pt>
                <c:pt idx="2">
                  <c:v>140</c:v>
                </c:pt>
                <c:pt idx="3">
                  <c:v>139</c:v>
                </c:pt>
                <c:pt idx="4">
                  <c:v>138</c:v>
                </c:pt>
                <c:pt idx="5">
                  <c:v>142</c:v>
                </c:pt>
                <c:pt idx="6">
                  <c:v>143</c:v>
                </c:pt>
                <c:pt idx="7">
                  <c:v>133</c:v>
                </c:pt>
                <c:pt idx="8">
                  <c:v>124</c:v>
                </c:pt>
                <c:pt idx="9">
                  <c:v>122</c:v>
                </c:pt>
                <c:pt idx="10">
                  <c:v>120</c:v>
                </c:pt>
                <c:pt idx="11">
                  <c:v>127</c:v>
                </c:pt>
                <c:pt idx="12">
                  <c:v>132</c:v>
                </c:pt>
                <c:pt idx="13">
                  <c:v>132</c:v>
                </c:pt>
                <c:pt idx="14">
                  <c:v>128</c:v>
                </c:pt>
                <c:pt idx="15">
                  <c:v>128</c:v>
                </c:pt>
                <c:pt idx="16">
                  <c:v>126</c:v>
                </c:pt>
                <c:pt idx="17">
                  <c:v>124</c:v>
                </c:pt>
                <c:pt idx="18">
                  <c:v>122</c:v>
                </c:pt>
                <c:pt idx="19">
                  <c:v>116</c:v>
                </c:pt>
                <c:pt idx="20">
                  <c:v>111</c:v>
                </c:pt>
                <c:pt idx="21">
                  <c:v>105</c:v>
                </c:pt>
                <c:pt idx="22">
                  <c:v>101</c:v>
                </c:pt>
                <c:pt idx="23">
                  <c:v>99</c:v>
                </c:pt>
                <c:pt idx="24">
                  <c:v>98</c:v>
                </c:pt>
                <c:pt idx="25">
                  <c:v>94</c:v>
                </c:pt>
                <c:pt idx="26">
                  <c:v>92</c:v>
                </c:pt>
                <c:pt idx="27">
                  <c:v>90</c:v>
                </c:pt>
                <c:pt idx="28">
                  <c:v>89</c:v>
                </c:pt>
                <c:pt idx="29">
                  <c:v>88</c:v>
                </c:pt>
                <c:pt idx="30">
                  <c:v>88</c:v>
                </c:pt>
                <c:pt idx="31">
                  <c:v>85</c:v>
                </c:pt>
                <c:pt idx="32">
                  <c:v>84</c:v>
                </c:pt>
                <c:pt idx="33">
                  <c:v>82</c:v>
                </c:pt>
                <c:pt idx="34">
                  <c:v>81</c:v>
                </c:pt>
                <c:pt idx="35">
                  <c:v>81</c:v>
                </c:pt>
                <c:pt idx="36">
                  <c:v>80</c:v>
                </c:pt>
                <c:pt idx="37">
                  <c:v>75</c:v>
                </c:pt>
                <c:pt idx="38">
                  <c:v>72</c:v>
                </c:pt>
                <c:pt idx="39">
                  <c:v>70</c:v>
                </c:pt>
                <c:pt idx="40">
                  <c:v>70</c:v>
                </c:pt>
                <c:pt idx="41">
                  <c:v>98.106060606060609</c:v>
                </c:pt>
              </c:numCache>
            </c:numRef>
          </c:val>
          <c:extLst>
            <c:ext xmlns:c16="http://schemas.microsoft.com/office/drawing/2014/chart" uri="{C3380CC4-5D6E-409C-BE32-E72D297353CC}">
              <c16:uniqueId val="{0000000E-F3CC-47E8-B0A6-F463BE105F51}"/>
            </c:ext>
          </c:extLst>
        </c:ser>
        <c:ser>
          <c:idx val="15"/>
          <c:order val="15"/>
          <c:tx>
            <c:strRef>
              <c:f>'Auto Correct TPS'!$Q$1</c:f>
              <c:strCache>
                <c:ptCount val="1"/>
                <c:pt idx="0">
                  <c:v>25.5</c:v>
                </c:pt>
              </c:strCache>
            </c:strRef>
          </c:tx>
          <c:spPr>
            <a:solidFill>
              <a:schemeClr val="accent4">
                <a:tint val="77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TPS'!$Q$2:$Q$43</c:f>
              <c:numCache>
                <c:formatCode>0.0</c:formatCode>
                <c:ptCount val="42"/>
                <c:pt idx="0">
                  <c:v>147</c:v>
                </c:pt>
                <c:pt idx="1">
                  <c:v>147</c:v>
                </c:pt>
                <c:pt idx="2">
                  <c:v>140</c:v>
                </c:pt>
                <c:pt idx="3">
                  <c:v>139</c:v>
                </c:pt>
                <c:pt idx="4">
                  <c:v>140</c:v>
                </c:pt>
                <c:pt idx="5">
                  <c:v>145</c:v>
                </c:pt>
                <c:pt idx="6">
                  <c:v>150</c:v>
                </c:pt>
                <c:pt idx="7">
                  <c:v>141</c:v>
                </c:pt>
                <c:pt idx="8">
                  <c:v>134</c:v>
                </c:pt>
                <c:pt idx="9">
                  <c:v>132</c:v>
                </c:pt>
                <c:pt idx="10">
                  <c:v>130</c:v>
                </c:pt>
                <c:pt idx="11">
                  <c:v>135</c:v>
                </c:pt>
                <c:pt idx="12">
                  <c:v>141</c:v>
                </c:pt>
                <c:pt idx="13">
                  <c:v>143</c:v>
                </c:pt>
                <c:pt idx="14">
                  <c:v>143</c:v>
                </c:pt>
                <c:pt idx="15">
                  <c:v>141</c:v>
                </c:pt>
                <c:pt idx="16">
                  <c:v>139</c:v>
                </c:pt>
                <c:pt idx="17">
                  <c:v>135</c:v>
                </c:pt>
                <c:pt idx="18">
                  <c:v>132</c:v>
                </c:pt>
                <c:pt idx="19">
                  <c:v>126</c:v>
                </c:pt>
                <c:pt idx="20">
                  <c:v>120</c:v>
                </c:pt>
                <c:pt idx="21">
                  <c:v>114</c:v>
                </c:pt>
                <c:pt idx="22">
                  <c:v>111</c:v>
                </c:pt>
                <c:pt idx="23">
                  <c:v>139.59090909090912</c:v>
                </c:pt>
                <c:pt idx="24">
                  <c:v>109</c:v>
                </c:pt>
                <c:pt idx="25">
                  <c:v>107</c:v>
                </c:pt>
                <c:pt idx="26">
                  <c:v>106</c:v>
                </c:pt>
                <c:pt idx="27">
                  <c:v>104</c:v>
                </c:pt>
                <c:pt idx="28">
                  <c:v>103</c:v>
                </c:pt>
                <c:pt idx="29">
                  <c:v>102</c:v>
                </c:pt>
                <c:pt idx="30">
                  <c:v>98</c:v>
                </c:pt>
                <c:pt idx="31">
                  <c:v>93</c:v>
                </c:pt>
                <c:pt idx="32">
                  <c:v>92</c:v>
                </c:pt>
                <c:pt idx="33">
                  <c:v>90</c:v>
                </c:pt>
                <c:pt idx="34">
                  <c:v>89</c:v>
                </c:pt>
                <c:pt idx="35">
                  <c:v>88</c:v>
                </c:pt>
                <c:pt idx="36">
                  <c:v>86</c:v>
                </c:pt>
                <c:pt idx="37">
                  <c:v>85</c:v>
                </c:pt>
                <c:pt idx="38">
                  <c:v>82</c:v>
                </c:pt>
                <c:pt idx="39">
                  <c:v>80</c:v>
                </c:pt>
                <c:pt idx="40">
                  <c:v>80</c:v>
                </c:pt>
                <c:pt idx="41">
                  <c:v>112.12121212121212</c:v>
                </c:pt>
              </c:numCache>
            </c:numRef>
          </c:val>
          <c:extLst>
            <c:ext xmlns:c16="http://schemas.microsoft.com/office/drawing/2014/chart" uri="{C3380CC4-5D6E-409C-BE32-E72D297353CC}">
              <c16:uniqueId val="{0000000F-F3CC-47E8-B0A6-F463BE105F51}"/>
            </c:ext>
          </c:extLst>
        </c:ser>
        <c:ser>
          <c:idx val="16"/>
          <c:order val="16"/>
          <c:tx>
            <c:strRef>
              <c:f>'Auto Correct TPS'!$R$1</c:f>
              <c:strCache>
                <c:ptCount val="1"/>
                <c:pt idx="0">
                  <c:v>30.5</c:v>
                </c:pt>
              </c:strCache>
            </c:strRef>
          </c:tx>
          <c:spPr>
            <a:solidFill>
              <a:schemeClr val="accent4">
                <a:tint val="71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TPS'!$R$2:$R$43</c:f>
              <c:numCache>
                <c:formatCode>0.0</c:formatCode>
                <c:ptCount val="42"/>
                <c:pt idx="0">
                  <c:v>148</c:v>
                </c:pt>
                <c:pt idx="1">
                  <c:v>148</c:v>
                </c:pt>
                <c:pt idx="2">
                  <c:v>135</c:v>
                </c:pt>
                <c:pt idx="3">
                  <c:v>139</c:v>
                </c:pt>
                <c:pt idx="4">
                  <c:v>140</c:v>
                </c:pt>
                <c:pt idx="5">
                  <c:v>146</c:v>
                </c:pt>
                <c:pt idx="6">
                  <c:v>152</c:v>
                </c:pt>
                <c:pt idx="7">
                  <c:v>145</c:v>
                </c:pt>
                <c:pt idx="8">
                  <c:v>139</c:v>
                </c:pt>
                <c:pt idx="9">
                  <c:v>138</c:v>
                </c:pt>
                <c:pt idx="10">
                  <c:v>138</c:v>
                </c:pt>
                <c:pt idx="11">
                  <c:v>146</c:v>
                </c:pt>
                <c:pt idx="12">
                  <c:v>152</c:v>
                </c:pt>
                <c:pt idx="13">
                  <c:v>155</c:v>
                </c:pt>
                <c:pt idx="14">
                  <c:v>158</c:v>
                </c:pt>
                <c:pt idx="15">
                  <c:v>155</c:v>
                </c:pt>
                <c:pt idx="16">
                  <c:v>152</c:v>
                </c:pt>
                <c:pt idx="17">
                  <c:v>148</c:v>
                </c:pt>
                <c:pt idx="18">
                  <c:v>143</c:v>
                </c:pt>
                <c:pt idx="19">
                  <c:v>140</c:v>
                </c:pt>
                <c:pt idx="20">
                  <c:v>133</c:v>
                </c:pt>
                <c:pt idx="21">
                  <c:v>128</c:v>
                </c:pt>
                <c:pt idx="22">
                  <c:v>123</c:v>
                </c:pt>
                <c:pt idx="23">
                  <c:v>123</c:v>
                </c:pt>
                <c:pt idx="24">
                  <c:v>125</c:v>
                </c:pt>
                <c:pt idx="25">
                  <c:v>125</c:v>
                </c:pt>
                <c:pt idx="26">
                  <c:v>124</c:v>
                </c:pt>
                <c:pt idx="27">
                  <c:v>120</c:v>
                </c:pt>
                <c:pt idx="28">
                  <c:v>117</c:v>
                </c:pt>
                <c:pt idx="29">
                  <c:v>116</c:v>
                </c:pt>
                <c:pt idx="30">
                  <c:v>112</c:v>
                </c:pt>
                <c:pt idx="31">
                  <c:v>111</c:v>
                </c:pt>
                <c:pt idx="32">
                  <c:v>108</c:v>
                </c:pt>
                <c:pt idx="33">
                  <c:v>106</c:v>
                </c:pt>
                <c:pt idx="34">
                  <c:v>104</c:v>
                </c:pt>
                <c:pt idx="35">
                  <c:v>103</c:v>
                </c:pt>
                <c:pt idx="36">
                  <c:v>98</c:v>
                </c:pt>
                <c:pt idx="37">
                  <c:v>94</c:v>
                </c:pt>
                <c:pt idx="38">
                  <c:v>92</c:v>
                </c:pt>
                <c:pt idx="39">
                  <c:v>90</c:v>
                </c:pt>
                <c:pt idx="40">
                  <c:v>90</c:v>
                </c:pt>
                <c:pt idx="41">
                  <c:v>126.13636363636364</c:v>
                </c:pt>
              </c:numCache>
            </c:numRef>
          </c:val>
          <c:extLst>
            <c:ext xmlns:c16="http://schemas.microsoft.com/office/drawing/2014/chart" uri="{C3380CC4-5D6E-409C-BE32-E72D297353CC}">
              <c16:uniqueId val="{00000010-F3CC-47E8-B0A6-F463BE105F51}"/>
            </c:ext>
          </c:extLst>
        </c:ser>
        <c:ser>
          <c:idx val="17"/>
          <c:order val="17"/>
          <c:tx>
            <c:strRef>
              <c:f>'Auto Correct TPS'!$S$1</c:f>
              <c:strCache>
                <c:ptCount val="1"/>
                <c:pt idx="0">
                  <c:v>40.4</c:v>
                </c:pt>
              </c:strCache>
            </c:strRef>
          </c:tx>
          <c:spPr>
            <a:solidFill>
              <a:schemeClr val="accent4">
                <a:tint val="65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TPS'!$S$2:$S$43</c:f>
              <c:numCache>
                <c:formatCode>0.0</c:formatCode>
                <c:ptCount val="42"/>
                <c:pt idx="0">
                  <c:v>151</c:v>
                </c:pt>
                <c:pt idx="1">
                  <c:v>151</c:v>
                </c:pt>
                <c:pt idx="2">
                  <c:v>134</c:v>
                </c:pt>
                <c:pt idx="3">
                  <c:v>139</c:v>
                </c:pt>
                <c:pt idx="4">
                  <c:v>140</c:v>
                </c:pt>
                <c:pt idx="5">
                  <c:v>146</c:v>
                </c:pt>
                <c:pt idx="6">
                  <c:v>152</c:v>
                </c:pt>
                <c:pt idx="7">
                  <c:v>146</c:v>
                </c:pt>
                <c:pt idx="8">
                  <c:v>140</c:v>
                </c:pt>
                <c:pt idx="9">
                  <c:v>142</c:v>
                </c:pt>
                <c:pt idx="10">
                  <c:v>145</c:v>
                </c:pt>
                <c:pt idx="11">
                  <c:v>153</c:v>
                </c:pt>
                <c:pt idx="12">
                  <c:v>161</c:v>
                </c:pt>
                <c:pt idx="13">
                  <c:v>166</c:v>
                </c:pt>
                <c:pt idx="14">
                  <c:v>172</c:v>
                </c:pt>
                <c:pt idx="15">
                  <c:v>172</c:v>
                </c:pt>
                <c:pt idx="16">
                  <c:v>172</c:v>
                </c:pt>
                <c:pt idx="17">
                  <c:v>171</c:v>
                </c:pt>
                <c:pt idx="18">
                  <c:v>170</c:v>
                </c:pt>
                <c:pt idx="19">
                  <c:v>166</c:v>
                </c:pt>
                <c:pt idx="20">
                  <c:v>161</c:v>
                </c:pt>
                <c:pt idx="21">
                  <c:v>154</c:v>
                </c:pt>
                <c:pt idx="22">
                  <c:v>151</c:v>
                </c:pt>
                <c:pt idx="23">
                  <c:v>151</c:v>
                </c:pt>
                <c:pt idx="24">
                  <c:v>152</c:v>
                </c:pt>
                <c:pt idx="25">
                  <c:v>151</c:v>
                </c:pt>
                <c:pt idx="26">
                  <c:v>149</c:v>
                </c:pt>
                <c:pt idx="27">
                  <c:v>147</c:v>
                </c:pt>
                <c:pt idx="28">
                  <c:v>143</c:v>
                </c:pt>
                <c:pt idx="29">
                  <c:v>142</c:v>
                </c:pt>
                <c:pt idx="30">
                  <c:v>139</c:v>
                </c:pt>
                <c:pt idx="31">
                  <c:v>136</c:v>
                </c:pt>
                <c:pt idx="32">
                  <c:v>133</c:v>
                </c:pt>
                <c:pt idx="33">
                  <c:v>130</c:v>
                </c:pt>
                <c:pt idx="34">
                  <c:v>124</c:v>
                </c:pt>
                <c:pt idx="35">
                  <c:v>120</c:v>
                </c:pt>
                <c:pt idx="36">
                  <c:v>117</c:v>
                </c:pt>
                <c:pt idx="37">
                  <c:v>114</c:v>
                </c:pt>
                <c:pt idx="38">
                  <c:v>111</c:v>
                </c:pt>
                <c:pt idx="39">
                  <c:v>107</c:v>
                </c:pt>
                <c:pt idx="40">
                  <c:v>107</c:v>
                </c:pt>
                <c:pt idx="41">
                  <c:v>133.16046831955921</c:v>
                </c:pt>
              </c:numCache>
            </c:numRef>
          </c:val>
          <c:extLst>
            <c:ext xmlns:c16="http://schemas.microsoft.com/office/drawing/2014/chart" uri="{C3380CC4-5D6E-409C-BE32-E72D297353CC}">
              <c16:uniqueId val="{00000011-F3CC-47E8-B0A6-F463BE105F51}"/>
            </c:ext>
          </c:extLst>
        </c:ser>
        <c:ser>
          <c:idx val="18"/>
          <c:order val="18"/>
          <c:tx>
            <c:strRef>
              <c:f>'Auto Correct TPS'!$T$1</c:f>
              <c:strCache>
                <c:ptCount val="1"/>
                <c:pt idx="0">
                  <c:v>50.4</c:v>
                </c:pt>
              </c:strCache>
            </c:strRef>
          </c:tx>
          <c:spPr>
            <a:solidFill>
              <a:schemeClr val="accent4">
                <a:tint val="60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TPS'!$T$2:$T$43</c:f>
              <c:numCache>
                <c:formatCode>0.0</c:formatCode>
                <c:ptCount val="42"/>
                <c:pt idx="0">
                  <c:v>151</c:v>
                </c:pt>
                <c:pt idx="1">
                  <c:v>151</c:v>
                </c:pt>
                <c:pt idx="2">
                  <c:v>135</c:v>
                </c:pt>
                <c:pt idx="3">
                  <c:v>139</c:v>
                </c:pt>
                <c:pt idx="4">
                  <c:v>140</c:v>
                </c:pt>
                <c:pt idx="5">
                  <c:v>146</c:v>
                </c:pt>
                <c:pt idx="6">
                  <c:v>153</c:v>
                </c:pt>
                <c:pt idx="7">
                  <c:v>146</c:v>
                </c:pt>
                <c:pt idx="8">
                  <c:v>141</c:v>
                </c:pt>
                <c:pt idx="9">
                  <c:v>143</c:v>
                </c:pt>
                <c:pt idx="10">
                  <c:v>145</c:v>
                </c:pt>
                <c:pt idx="11">
                  <c:v>153</c:v>
                </c:pt>
                <c:pt idx="12">
                  <c:v>161</c:v>
                </c:pt>
                <c:pt idx="13">
                  <c:v>169</c:v>
                </c:pt>
                <c:pt idx="14">
                  <c:v>174</c:v>
                </c:pt>
                <c:pt idx="15">
                  <c:v>176</c:v>
                </c:pt>
                <c:pt idx="16">
                  <c:v>181</c:v>
                </c:pt>
                <c:pt idx="17">
                  <c:v>181</c:v>
                </c:pt>
                <c:pt idx="18">
                  <c:v>183</c:v>
                </c:pt>
                <c:pt idx="19">
                  <c:v>181</c:v>
                </c:pt>
                <c:pt idx="20">
                  <c:v>178</c:v>
                </c:pt>
                <c:pt idx="21">
                  <c:v>175</c:v>
                </c:pt>
                <c:pt idx="22">
                  <c:v>172</c:v>
                </c:pt>
                <c:pt idx="23">
                  <c:v>174</c:v>
                </c:pt>
                <c:pt idx="24">
                  <c:v>177</c:v>
                </c:pt>
                <c:pt idx="25">
                  <c:v>176</c:v>
                </c:pt>
                <c:pt idx="26">
                  <c:v>174</c:v>
                </c:pt>
                <c:pt idx="27">
                  <c:v>173</c:v>
                </c:pt>
                <c:pt idx="28">
                  <c:v>172</c:v>
                </c:pt>
                <c:pt idx="29">
                  <c:v>170</c:v>
                </c:pt>
                <c:pt idx="30">
                  <c:v>169</c:v>
                </c:pt>
                <c:pt idx="31">
                  <c:v>166</c:v>
                </c:pt>
                <c:pt idx="32">
                  <c:v>163</c:v>
                </c:pt>
                <c:pt idx="33">
                  <c:v>159</c:v>
                </c:pt>
                <c:pt idx="34">
                  <c:v>152</c:v>
                </c:pt>
                <c:pt idx="35">
                  <c:v>148</c:v>
                </c:pt>
                <c:pt idx="36">
                  <c:v>147</c:v>
                </c:pt>
                <c:pt idx="37">
                  <c:v>142</c:v>
                </c:pt>
                <c:pt idx="38">
                  <c:v>136</c:v>
                </c:pt>
                <c:pt idx="39">
                  <c:v>130</c:v>
                </c:pt>
                <c:pt idx="40">
                  <c:v>130</c:v>
                </c:pt>
                <c:pt idx="41">
                  <c:v>182.19696969696972</c:v>
                </c:pt>
              </c:numCache>
            </c:numRef>
          </c:val>
          <c:extLst>
            <c:ext xmlns:c16="http://schemas.microsoft.com/office/drawing/2014/chart" uri="{C3380CC4-5D6E-409C-BE32-E72D297353CC}">
              <c16:uniqueId val="{00000012-F3CC-47E8-B0A6-F463BE105F51}"/>
            </c:ext>
          </c:extLst>
        </c:ser>
        <c:ser>
          <c:idx val="19"/>
          <c:order val="19"/>
          <c:tx>
            <c:strRef>
              <c:f>'Auto Correct TPS'!$U$1</c:f>
              <c:strCache>
                <c:ptCount val="1"/>
                <c:pt idx="0">
                  <c:v>60.3</c:v>
                </c:pt>
              </c:strCache>
            </c:strRef>
          </c:tx>
          <c:spPr>
            <a:solidFill>
              <a:schemeClr val="accent4">
                <a:tint val="54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TPS'!$U$2:$U$43</c:f>
              <c:numCache>
                <c:formatCode>0.0</c:formatCode>
                <c:ptCount val="42"/>
                <c:pt idx="0">
                  <c:v>152</c:v>
                </c:pt>
                <c:pt idx="1">
                  <c:v>152</c:v>
                </c:pt>
                <c:pt idx="2">
                  <c:v>136</c:v>
                </c:pt>
                <c:pt idx="3">
                  <c:v>140</c:v>
                </c:pt>
                <c:pt idx="4">
                  <c:v>140</c:v>
                </c:pt>
                <c:pt idx="5">
                  <c:v>148</c:v>
                </c:pt>
                <c:pt idx="6">
                  <c:v>153</c:v>
                </c:pt>
                <c:pt idx="7">
                  <c:v>147</c:v>
                </c:pt>
                <c:pt idx="8">
                  <c:v>142</c:v>
                </c:pt>
                <c:pt idx="9">
                  <c:v>143</c:v>
                </c:pt>
                <c:pt idx="10">
                  <c:v>147</c:v>
                </c:pt>
                <c:pt idx="11">
                  <c:v>154</c:v>
                </c:pt>
                <c:pt idx="12">
                  <c:v>162</c:v>
                </c:pt>
                <c:pt idx="13">
                  <c:v>170</c:v>
                </c:pt>
                <c:pt idx="14">
                  <c:v>174</c:v>
                </c:pt>
                <c:pt idx="15">
                  <c:v>177</c:v>
                </c:pt>
                <c:pt idx="16">
                  <c:v>178</c:v>
                </c:pt>
                <c:pt idx="17">
                  <c:v>181</c:v>
                </c:pt>
                <c:pt idx="18">
                  <c:v>184</c:v>
                </c:pt>
                <c:pt idx="19">
                  <c:v>185</c:v>
                </c:pt>
                <c:pt idx="20">
                  <c:v>186</c:v>
                </c:pt>
                <c:pt idx="21">
                  <c:v>185</c:v>
                </c:pt>
                <c:pt idx="22">
                  <c:v>183</c:v>
                </c:pt>
                <c:pt idx="23">
                  <c:v>186</c:v>
                </c:pt>
                <c:pt idx="24">
                  <c:v>193</c:v>
                </c:pt>
                <c:pt idx="25">
                  <c:v>194</c:v>
                </c:pt>
                <c:pt idx="26">
                  <c:v>195</c:v>
                </c:pt>
                <c:pt idx="27">
                  <c:v>196</c:v>
                </c:pt>
                <c:pt idx="28">
                  <c:v>196</c:v>
                </c:pt>
                <c:pt idx="29">
                  <c:v>194</c:v>
                </c:pt>
                <c:pt idx="30">
                  <c:v>191</c:v>
                </c:pt>
                <c:pt idx="31">
                  <c:v>190</c:v>
                </c:pt>
                <c:pt idx="32">
                  <c:v>185</c:v>
                </c:pt>
                <c:pt idx="33">
                  <c:v>182</c:v>
                </c:pt>
                <c:pt idx="34">
                  <c:v>176</c:v>
                </c:pt>
                <c:pt idx="35">
                  <c:v>172</c:v>
                </c:pt>
                <c:pt idx="36">
                  <c:v>169</c:v>
                </c:pt>
                <c:pt idx="37">
                  <c:v>163</c:v>
                </c:pt>
                <c:pt idx="38">
                  <c:v>155</c:v>
                </c:pt>
                <c:pt idx="39">
                  <c:v>147</c:v>
                </c:pt>
                <c:pt idx="40">
                  <c:v>147</c:v>
                </c:pt>
                <c:pt idx="41">
                  <c:v>147</c:v>
                </c:pt>
              </c:numCache>
            </c:numRef>
          </c:val>
          <c:extLst>
            <c:ext xmlns:c16="http://schemas.microsoft.com/office/drawing/2014/chart" uri="{C3380CC4-5D6E-409C-BE32-E72D297353CC}">
              <c16:uniqueId val="{00000013-F3CC-47E8-B0A6-F463BE105F51}"/>
            </c:ext>
          </c:extLst>
        </c:ser>
        <c:ser>
          <c:idx val="20"/>
          <c:order val="20"/>
          <c:tx>
            <c:strRef>
              <c:f>'Auto Correct TPS'!$V$1</c:f>
              <c:strCache>
                <c:ptCount val="1"/>
                <c:pt idx="0">
                  <c:v>70.3</c:v>
                </c:pt>
              </c:strCache>
            </c:strRef>
          </c:tx>
          <c:spPr>
            <a:solidFill>
              <a:schemeClr val="accent4">
                <a:tint val="48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TPS'!$V$2:$V$43</c:f>
              <c:numCache>
                <c:formatCode>0.0</c:formatCode>
                <c:ptCount val="42"/>
                <c:pt idx="0">
                  <c:v>156</c:v>
                </c:pt>
                <c:pt idx="1">
                  <c:v>156</c:v>
                </c:pt>
                <c:pt idx="2">
                  <c:v>141</c:v>
                </c:pt>
                <c:pt idx="3">
                  <c:v>140</c:v>
                </c:pt>
                <c:pt idx="4">
                  <c:v>140</c:v>
                </c:pt>
                <c:pt idx="5">
                  <c:v>148</c:v>
                </c:pt>
                <c:pt idx="6">
                  <c:v>153</c:v>
                </c:pt>
                <c:pt idx="7">
                  <c:v>148</c:v>
                </c:pt>
                <c:pt idx="8">
                  <c:v>143</c:v>
                </c:pt>
                <c:pt idx="9">
                  <c:v>147</c:v>
                </c:pt>
                <c:pt idx="10">
                  <c:v>150</c:v>
                </c:pt>
                <c:pt idx="11">
                  <c:v>159</c:v>
                </c:pt>
                <c:pt idx="12">
                  <c:v>166</c:v>
                </c:pt>
                <c:pt idx="13">
                  <c:v>173</c:v>
                </c:pt>
                <c:pt idx="14">
                  <c:v>178</c:v>
                </c:pt>
                <c:pt idx="15">
                  <c:v>182</c:v>
                </c:pt>
                <c:pt idx="16">
                  <c:v>183</c:v>
                </c:pt>
                <c:pt idx="17">
                  <c:v>183</c:v>
                </c:pt>
                <c:pt idx="18">
                  <c:v>183</c:v>
                </c:pt>
                <c:pt idx="19">
                  <c:v>187</c:v>
                </c:pt>
                <c:pt idx="20">
                  <c:v>190</c:v>
                </c:pt>
                <c:pt idx="21">
                  <c:v>189</c:v>
                </c:pt>
                <c:pt idx="22">
                  <c:v>186</c:v>
                </c:pt>
                <c:pt idx="23">
                  <c:v>191</c:v>
                </c:pt>
                <c:pt idx="24">
                  <c:v>202</c:v>
                </c:pt>
                <c:pt idx="25">
                  <c:v>202</c:v>
                </c:pt>
                <c:pt idx="26">
                  <c:v>205</c:v>
                </c:pt>
                <c:pt idx="27">
                  <c:v>210</c:v>
                </c:pt>
                <c:pt idx="28">
                  <c:v>212</c:v>
                </c:pt>
                <c:pt idx="29">
                  <c:v>210</c:v>
                </c:pt>
                <c:pt idx="30">
                  <c:v>207</c:v>
                </c:pt>
                <c:pt idx="31">
                  <c:v>207</c:v>
                </c:pt>
                <c:pt idx="32">
                  <c:v>204</c:v>
                </c:pt>
                <c:pt idx="33">
                  <c:v>201</c:v>
                </c:pt>
                <c:pt idx="34">
                  <c:v>194</c:v>
                </c:pt>
                <c:pt idx="35">
                  <c:v>192</c:v>
                </c:pt>
                <c:pt idx="36">
                  <c:v>187</c:v>
                </c:pt>
                <c:pt idx="37">
                  <c:v>181</c:v>
                </c:pt>
                <c:pt idx="38">
                  <c:v>173</c:v>
                </c:pt>
                <c:pt idx="39">
                  <c:v>166</c:v>
                </c:pt>
                <c:pt idx="40">
                  <c:v>166</c:v>
                </c:pt>
                <c:pt idx="41">
                  <c:v>166</c:v>
                </c:pt>
              </c:numCache>
            </c:numRef>
          </c:val>
          <c:extLst>
            <c:ext xmlns:c16="http://schemas.microsoft.com/office/drawing/2014/chart" uri="{C3380CC4-5D6E-409C-BE32-E72D297353CC}">
              <c16:uniqueId val="{00000014-F3CC-47E8-B0A6-F463BE105F51}"/>
            </c:ext>
          </c:extLst>
        </c:ser>
        <c:ser>
          <c:idx val="21"/>
          <c:order val="21"/>
          <c:tx>
            <c:strRef>
              <c:f>'Auto Correct TPS'!$W$1</c:f>
              <c:strCache>
                <c:ptCount val="1"/>
                <c:pt idx="0">
                  <c:v>90.2</c:v>
                </c:pt>
              </c:strCache>
            </c:strRef>
          </c:tx>
          <c:spPr>
            <a:solidFill>
              <a:schemeClr val="accent4">
                <a:tint val="42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TPS'!$W$2:$W$43</c:f>
              <c:numCache>
                <c:formatCode>0.0</c:formatCode>
                <c:ptCount val="42"/>
                <c:pt idx="0">
                  <c:v>159</c:v>
                </c:pt>
                <c:pt idx="1">
                  <c:v>159</c:v>
                </c:pt>
                <c:pt idx="2">
                  <c:v>142</c:v>
                </c:pt>
                <c:pt idx="3">
                  <c:v>140</c:v>
                </c:pt>
                <c:pt idx="4">
                  <c:v>142</c:v>
                </c:pt>
                <c:pt idx="5">
                  <c:v>151</c:v>
                </c:pt>
                <c:pt idx="6">
                  <c:v>154</c:v>
                </c:pt>
                <c:pt idx="7">
                  <c:v>150</c:v>
                </c:pt>
                <c:pt idx="8">
                  <c:v>146</c:v>
                </c:pt>
                <c:pt idx="9">
                  <c:v>150</c:v>
                </c:pt>
                <c:pt idx="10">
                  <c:v>154</c:v>
                </c:pt>
                <c:pt idx="11">
                  <c:v>163</c:v>
                </c:pt>
                <c:pt idx="12">
                  <c:v>171</c:v>
                </c:pt>
                <c:pt idx="13">
                  <c:v>178</c:v>
                </c:pt>
                <c:pt idx="14">
                  <c:v>185</c:v>
                </c:pt>
                <c:pt idx="15">
                  <c:v>184</c:v>
                </c:pt>
                <c:pt idx="16">
                  <c:v>184</c:v>
                </c:pt>
                <c:pt idx="17">
                  <c:v>184</c:v>
                </c:pt>
                <c:pt idx="18">
                  <c:v>186</c:v>
                </c:pt>
                <c:pt idx="19">
                  <c:v>191</c:v>
                </c:pt>
                <c:pt idx="20">
                  <c:v>195</c:v>
                </c:pt>
                <c:pt idx="21">
                  <c:v>193</c:v>
                </c:pt>
                <c:pt idx="22">
                  <c:v>190</c:v>
                </c:pt>
                <c:pt idx="23">
                  <c:v>194</c:v>
                </c:pt>
                <c:pt idx="24">
                  <c:v>206</c:v>
                </c:pt>
                <c:pt idx="25">
                  <c:v>206</c:v>
                </c:pt>
                <c:pt idx="26">
                  <c:v>257</c:v>
                </c:pt>
                <c:pt idx="27">
                  <c:v>262</c:v>
                </c:pt>
                <c:pt idx="28">
                  <c:v>268</c:v>
                </c:pt>
                <c:pt idx="29">
                  <c:v>255</c:v>
                </c:pt>
                <c:pt idx="30">
                  <c:v>252</c:v>
                </c:pt>
                <c:pt idx="31">
                  <c:v>243</c:v>
                </c:pt>
                <c:pt idx="32">
                  <c:v>240</c:v>
                </c:pt>
                <c:pt idx="33">
                  <c:v>238</c:v>
                </c:pt>
                <c:pt idx="34">
                  <c:v>231</c:v>
                </c:pt>
                <c:pt idx="35">
                  <c:v>225</c:v>
                </c:pt>
                <c:pt idx="36">
                  <c:v>220</c:v>
                </c:pt>
                <c:pt idx="37">
                  <c:v>214</c:v>
                </c:pt>
                <c:pt idx="38">
                  <c:v>204</c:v>
                </c:pt>
                <c:pt idx="39">
                  <c:v>195</c:v>
                </c:pt>
                <c:pt idx="40">
                  <c:v>195</c:v>
                </c:pt>
                <c:pt idx="41">
                  <c:v>195</c:v>
                </c:pt>
              </c:numCache>
            </c:numRef>
          </c:val>
          <c:extLst>
            <c:ext xmlns:c16="http://schemas.microsoft.com/office/drawing/2014/chart" uri="{C3380CC4-5D6E-409C-BE32-E72D297353CC}">
              <c16:uniqueId val="{00000015-F3CC-47E8-B0A6-F463BE105F51}"/>
            </c:ext>
          </c:extLst>
        </c:ser>
        <c:ser>
          <c:idx val="22"/>
          <c:order val="22"/>
          <c:tx>
            <c:strRef>
              <c:f>'Auto Correct TPS'!$X$1</c:f>
              <c:strCache>
                <c:ptCount val="1"/>
                <c:pt idx="0">
                  <c:v>100</c:v>
                </c:pt>
              </c:strCache>
            </c:strRef>
          </c:tx>
          <c:spPr>
            <a:solidFill>
              <a:schemeClr val="accent4">
                <a:tint val="36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TPS'!$X$2:$X$43</c:f>
              <c:numCache>
                <c:formatCode>0.0</c:formatCode>
                <c:ptCount val="42"/>
                <c:pt idx="0">
                  <c:v>159</c:v>
                </c:pt>
                <c:pt idx="1">
                  <c:v>159</c:v>
                </c:pt>
                <c:pt idx="2">
                  <c:v>147</c:v>
                </c:pt>
                <c:pt idx="3">
                  <c:v>140</c:v>
                </c:pt>
                <c:pt idx="4">
                  <c:v>142</c:v>
                </c:pt>
                <c:pt idx="5">
                  <c:v>159</c:v>
                </c:pt>
                <c:pt idx="6">
                  <c:v>168</c:v>
                </c:pt>
                <c:pt idx="7">
                  <c:v>159</c:v>
                </c:pt>
                <c:pt idx="8">
                  <c:v>155</c:v>
                </c:pt>
                <c:pt idx="9">
                  <c:v>158</c:v>
                </c:pt>
                <c:pt idx="10">
                  <c:v>160</c:v>
                </c:pt>
                <c:pt idx="11">
                  <c:v>167</c:v>
                </c:pt>
                <c:pt idx="12">
                  <c:v>172</c:v>
                </c:pt>
                <c:pt idx="13">
                  <c:v>186</c:v>
                </c:pt>
                <c:pt idx="14">
                  <c:v>195</c:v>
                </c:pt>
                <c:pt idx="15">
                  <c:v>198</c:v>
                </c:pt>
                <c:pt idx="16">
                  <c:v>201</c:v>
                </c:pt>
                <c:pt idx="17">
                  <c:v>200</c:v>
                </c:pt>
                <c:pt idx="18">
                  <c:v>198</c:v>
                </c:pt>
                <c:pt idx="19">
                  <c:v>201</c:v>
                </c:pt>
                <c:pt idx="20">
                  <c:v>206</c:v>
                </c:pt>
                <c:pt idx="21">
                  <c:v>203</c:v>
                </c:pt>
                <c:pt idx="22">
                  <c:v>198</c:v>
                </c:pt>
                <c:pt idx="23">
                  <c:v>202</c:v>
                </c:pt>
                <c:pt idx="24">
                  <c:v>213</c:v>
                </c:pt>
                <c:pt idx="25">
                  <c:v>212</c:v>
                </c:pt>
                <c:pt idx="26">
                  <c:v>261</c:v>
                </c:pt>
                <c:pt idx="27">
                  <c:v>268</c:v>
                </c:pt>
                <c:pt idx="28">
                  <c:v>273</c:v>
                </c:pt>
                <c:pt idx="29">
                  <c:v>260</c:v>
                </c:pt>
                <c:pt idx="30">
                  <c:v>258</c:v>
                </c:pt>
                <c:pt idx="31">
                  <c:v>249</c:v>
                </c:pt>
                <c:pt idx="32">
                  <c:v>248</c:v>
                </c:pt>
                <c:pt idx="33">
                  <c:v>248</c:v>
                </c:pt>
                <c:pt idx="34">
                  <c:v>236</c:v>
                </c:pt>
                <c:pt idx="35">
                  <c:v>229</c:v>
                </c:pt>
                <c:pt idx="36">
                  <c:v>224</c:v>
                </c:pt>
                <c:pt idx="37">
                  <c:v>215</c:v>
                </c:pt>
                <c:pt idx="38">
                  <c:v>206</c:v>
                </c:pt>
                <c:pt idx="39">
                  <c:v>200</c:v>
                </c:pt>
                <c:pt idx="40">
                  <c:v>200</c:v>
                </c:pt>
                <c:pt idx="41">
                  <c:v>200</c:v>
                </c:pt>
              </c:numCache>
            </c:numRef>
          </c:val>
          <c:extLst>
            <c:ext xmlns:c16="http://schemas.microsoft.com/office/drawing/2014/chart" uri="{C3380CC4-5D6E-409C-BE32-E72D297353CC}">
              <c16:uniqueId val="{00000016-F3CC-47E8-B0A6-F463BE105F51}"/>
            </c:ext>
          </c:extLst>
        </c:ser>
        <c:bandFmts>
          <c:bandFmt>
            <c:idx val="0"/>
            <c:spPr>
              <a:solidFill>
                <a:schemeClr val="accent4">
                  <a:shade val="45000"/>
                </a:schemeClr>
              </a:solidFill>
              <a:ln/>
              <a:effectLst>
                <a:outerShdw blurRad="57150" dist="19050" dir="5400000" algn="ctr" rotWithShape="0">
                  <a:srgbClr val="000000">
                    <a:alpha val="63000"/>
                  </a:srgbClr>
                </a:outerShdw>
              </a:effectLst>
              <a:sp3d/>
            </c:spPr>
          </c:bandFmt>
          <c:bandFmt>
            <c:idx val="1"/>
            <c:spPr>
              <a:solidFill>
                <a:schemeClr val="accent4">
                  <a:shade val="61000"/>
                </a:schemeClr>
              </a:solidFill>
              <a:ln/>
              <a:effectLst>
                <a:outerShdw blurRad="57150" dist="19050" dir="5400000" algn="ctr" rotWithShape="0">
                  <a:srgbClr val="000000">
                    <a:alpha val="63000"/>
                  </a:srgbClr>
                </a:outerShdw>
              </a:effectLst>
              <a:sp3d/>
            </c:spPr>
          </c:bandFmt>
          <c:bandFmt>
            <c:idx val="2"/>
            <c:spPr>
              <a:solidFill>
                <a:schemeClr val="accent4">
                  <a:shade val="76000"/>
                </a:schemeClr>
              </a:solidFill>
              <a:ln/>
              <a:effectLst>
                <a:outerShdw blurRad="57150" dist="19050" dir="5400000" algn="ctr" rotWithShape="0">
                  <a:srgbClr val="000000">
                    <a:alpha val="63000"/>
                  </a:srgbClr>
                </a:outerShdw>
              </a:effectLst>
              <a:sp3d/>
            </c:spPr>
          </c:bandFmt>
          <c:bandFmt>
            <c:idx val="3"/>
            <c:spPr>
              <a:solidFill>
                <a:schemeClr val="accent4">
                  <a:shade val="92000"/>
                </a:schemeClr>
              </a:solidFill>
              <a:ln/>
              <a:effectLst>
                <a:outerShdw blurRad="57150" dist="19050" dir="5400000" algn="ctr" rotWithShape="0">
                  <a:srgbClr val="000000">
                    <a:alpha val="63000"/>
                  </a:srgbClr>
                </a:outerShdw>
              </a:effectLst>
              <a:sp3d/>
            </c:spPr>
          </c:bandFmt>
          <c:bandFmt>
            <c:idx val="4"/>
            <c:spPr>
              <a:solidFill>
                <a:schemeClr val="accent4">
                  <a:tint val="93000"/>
                </a:schemeClr>
              </a:solidFill>
              <a:ln/>
              <a:effectLst>
                <a:outerShdw blurRad="57150" dist="19050" dir="5400000" algn="ctr" rotWithShape="0">
                  <a:srgbClr val="000000">
                    <a:alpha val="63000"/>
                  </a:srgbClr>
                </a:outerShdw>
              </a:effectLst>
              <a:sp3d/>
            </c:spPr>
          </c:bandFmt>
          <c:bandFmt>
            <c:idx val="5"/>
            <c:spPr>
              <a:solidFill>
                <a:schemeClr val="accent4">
                  <a:tint val="77000"/>
                </a:schemeClr>
              </a:solidFill>
              <a:ln/>
              <a:effectLst>
                <a:outerShdw blurRad="57150" dist="19050" dir="5400000" algn="ctr" rotWithShape="0">
                  <a:srgbClr val="000000">
                    <a:alpha val="63000"/>
                  </a:srgbClr>
                </a:outerShdw>
              </a:effectLst>
              <a:sp3d/>
            </c:spPr>
          </c:bandFmt>
          <c:bandFmt>
            <c:idx val="6"/>
            <c:spPr>
              <a:solidFill>
                <a:schemeClr val="accent4">
                  <a:tint val="62000"/>
                </a:schemeClr>
              </a:solidFill>
              <a:ln/>
              <a:effectLst>
                <a:outerShdw blurRad="57150" dist="19050" dir="5400000" algn="ctr" rotWithShape="0">
                  <a:srgbClr val="000000">
                    <a:alpha val="63000"/>
                  </a:srgbClr>
                </a:outerShdw>
              </a:effectLst>
              <a:sp3d/>
            </c:spPr>
          </c:bandFmt>
          <c:bandFmt>
            <c:idx val="7"/>
            <c:spPr>
              <a:solidFill>
                <a:schemeClr val="accent4">
                  <a:tint val="46000"/>
                </a:schemeClr>
              </a:solidFill>
              <a:ln/>
              <a:effectLst>
                <a:outerShdw blurRad="57150" dist="19050" dir="5400000" algn="ctr" rotWithShape="0">
                  <a:srgbClr val="000000">
                    <a:alpha val="63000"/>
                  </a:srgbClr>
                </a:outerShdw>
              </a:effectLst>
              <a:sp3d/>
            </c:spPr>
          </c:bandFmt>
          <c:bandFmt>
            <c:idx val="8"/>
            <c:spPr>
              <a:solidFill>
                <a:schemeClr val="accent4">
                  <a:tint val="30000"/>
                </a:schemeClr>
              </a:solidFill>
              <a:ln/>
              <a:effectLst>
                <a:outerShdw blurRad="57150" dist="19050" dir="5400000" algn="ctr" rotWithShape="0">
                  <a:srgbClr val="000000">
                    <a:alpha val="63000"/>
                  </a:srgbClr>
                </a:outerShdw>
              </a:effectLst>
              <a:sp3d/>
            </c:spPr>
          </c:bandFmt>
          <c:bandFmt>
            <c:idx val="9"/>
            <c:spPr>
              <a:solidFill>
                <a:schemeClr val="accent4">
                  <a:tint val="15000"/>
                </a:schemeClr>
              </a:solidFill>
              <a:ln/>
              <a:effectLst>
                <a:outerShdw blurRad="57150" dist="19050" dir="5400000" algn="ctr" rotWithShape="0">
                  <a:srgbClr val="000000">
                    <a:alpha val="63000"/>
                  </a:srgbClr>
                </a:outerShdw>
              </a:effectLst>
              <a:sp3d/>
            </c:spPr>
          </c:bandFmt>
          <c:bandFmt>
            <c:idx val="10"/>
            <c:spPr>
              <a:solidFill>
                <a:schemeClr val="accent4">
                  <a:tint val="99000"/>
                </a:schemeClr>
              </a:solidFill>
              <a:ln/>
              <a:effectLst>
                <a:outerShdw blurRad="57150" dist="19050" dir="5400000" algn="ctr" rotWithShape="0">
                  <a:srgbClr val="000000">
                    <a:alpha val="63000"/>
                  </a:srgbClr>
                </a:outerShdw>
              </a:effectLst>
              <a:sp3d/>
            </c:spPr>
          </c:bandFmt>
          <c:bandFmt>
            <c:idx val="11"/>
            <c:spPr>
              <a:solidFill>
                <a:schemeClr val="accent4">
                  <a:tint val="84000"/>
                </a:schemeClr>
              </a:solidFill>
              <a:ln/>
              <a:effectLst>
                <a:outerShdw blurRad="57150" dist="19050" dir="5400000" algn="ctr" rotWithShape="0">
                  <a:srgbClr val="000000">
                    <a:alpha val="63000"/>
                  </a:srgbClr>
                </a:outerShdw>
              </a:effectLst>
              <a:sp3d/>
            </c:spPr>
          </c:bandFmt>
          <c:bandFmt>
            <c:idx val="12"/>
            <c:spPr>
              <a:solidFill>
                <a:schemeClr val="accent4">
                  <a:tint val="68000"/>
                </a:schemeClr>
              </a:solidFill>
              <a:ln/>
              <a:effectLst>
                <a:outerShdw blurRad="57150" dist="19050" dir="5400000" algn="ctr" rotWithShape="0">
                  <a:srgbClr val="000000">
                    <a:alpha val="63000"/>
                  </a:srgbClr>
                </a:outerShdw>
              </a:effectLst>
              <a:sp3d/>
            </c:spPr>
          </c:bandFmt>
          <c:bandFmt>
            <c:idx val="13"/>
            <c:spPr>
              <a:solidFill>
                <a:schemeClr val="accent4">
                  <a:tint val="53000"/>
                </a:schemeClr>
              </a:solidFill>
              <a:ln/>
              <a:effectLst>
                <a:outerShdw blurRad="57150" dist="19050" dir="5400000" algn="ctr" rotWithShape="0">
                  <a:srgbClr val="000000">
                    <a:alpha val="63000"/>
                  </a:srgbClr>
                </a:outerShdw>
              </a:effectLst>
              <a:sp3d/>
            </c:spPr>
          </c:bandFmt>
          <c:bandFmt>
            <c:idx val="14"/>
            <c:spPr>
              <a:solidFill>
                <a:schemeClr val="accent4">
                  <a:tint val="37000"/>
                </a:schemeClr>
              </a:solidFill>
              <a:ln/>
              <a:effectLst>
                <a:outerShdw blurRad="57150" dist="19050" dir="5400000" algn="ctr" rotWithShape="0">
                  <a:srgbClr val="000000">
                    <a:alpha val="63000"/>
                  </a:srgbClr>
                </a:outerShdw>
              </a:effectLst>
              <a:sp3d/>
            </c:spPr>
          </c:bandFmt>
        </c:bandFmts>
        <c:axId val="351132528"/>
        <c:axId val="351125456"/>
        <c:axId val="210218032"/>
      </c:surface3DChart>
      <c:catAx>
        <c:axId val="351132528"/>
        <c:scaling>
          <c:orientation val="minMax"/>
        </c:scaling>
        <c:delete val="0"/>
        <c:axPos val="b"/>
        <c:majorGridlines>
          <c:spPr>
            <a:ln w="9525" cap="flat" cmpd="sng" algn="ctr">
              <a:solidFill>
                <a:schemeClr val="dk1">
                  <a:lumMod val="50000"/>
                  <a:lumOff val="50000"/>
                </a:schemeClr>
              </a:solidFill>
              <a:prstDash val="solid"/>
              <a:round/>
            </a:ln>
            <a:effectLst/>
          </c:spPr>
        </c:majorGridlines>
        <c:numFmt formatCode="General" sourceLinked="1"/>
        <c:majorTickMark val="none"/>
        <c:minorTickMark val="none"/>
        <c:tickLblPos val="nextTo"/>
        <c:spPr>
          <a:noFill/>
          <a:ln w="9525" cap="flat" cmpd="sng" algn="ctr">
            <a:solidFill>
              <a:schemeClr val="dk1">
                <a:lumMod val="50000"/>
                <a:lumOff val="50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1125456"/>
        <c:crosses val="autoZero"/>
        <c:auto val="1"/>
        <c:lblAlgn val="ctr"/>
        <c:lblOffset val="100"/>
        <c:noMultiLvlLbl val="0"/>
      </c:catAx>
      <c:valAx>
        <c:axId val="351125456"/>
        <c:scaling>
          <c:orientation val="minMax"/>
        </c:scaling>
        <c:delete val="0"/>
        <c:axPos val="l"/>
        <c:majorGridlines>
          <c:spPr>
            <a:ln w="9525" cap="flat" cmpd="sng" algn="ctr">
              <a:solidFill>
                <a:schemeClr val="dk1">
                  <a:lumMod val="50000"/>
                  <a:lumOff val="50000"/>
                </a:schemeClr>
              </a:solidFill>
              <a:prstDash val="solid"/>
              <a:round/>
            </a:ln>
            <a:effectLst/>
          </c:spPr>
        </c:majorGridlines>
        <c:numFmt formatCode="0.0" sourceLinked="1"/>
        <c:majorTickMark val="none"/>
        <c:minorTickMark val="none"/>
        <c:tickLblPos val="nextTo"/>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1132528"/>
        <c:crosses val="autoZero"/>
        <c:crossBetween val="midCat"/>
      </c:valAx>
      <c:serAx>
        <c:axId val="210218032"/>
        <c:scaling>
          <c:orientation val="minMax"/>
        </c:scaling>
        <c:delete val="0"/>
        <c:axPos val="b"/>
        <c:majorGridlines>
          <c:spPr>
            <a:ln w="9525" cap="flat" cmpd="sng" algn="ctr">
              <a:solidFill>
                <a:schemeClr val="dk1">
                  <a:lumMod val="50000"/>
                  <a:lumOff val="50000"/>
                </a:schemeClr>
              </a:solidFill>
              <a:prstDash val="solid"/>
              <a:round/>
            </a:ln>
            <a:effectLst/>
          </c:spPr>
        </c:majorGridlines>
        <c:majorTickMark val="none"/>
        <c:minorTickMark val="none"/>
        <c:tickLblPos val="nextTo"/>
        <c:spPr>
          <a:noFill/>
          <a:ln w="9525" cap="flat" cmpd="sng" algn="ctr">
            <a:solidFill>
              <a:schemeClr val="dk1">
                <a:lumMod val="50000"/>
                <a:lumOff val="50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1125456"/>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w="6350"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Corrected IAP Fuel MAP</a:t>
            </a:r>
          </a:p>
        </c:rich>
      </c:tx>
      <c:overlay val="0"/>
      <c:spPr>
        <a:noFill/>
        <a:ln>
          <a:noFill/>
        </a:ln>
        <a:effectLst/>
      </c:spPr>
    </c:title>
    <c:autoTitleDeleted val="0"/>
    <c:view3D>
      <c:rotX val="10"/>
      <c:rotY val="320"/>
      <c:rAngAx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'Auto Correct IAP'!$B$1</c:f>
              <c:strCache>
                <c:ptCount val="1"/>
                <c:pt idx="0">
                  <c:v>120</c:v>
                </c:pt>
              </c:strCache>
            </c:strRef>
          </c:tx>
          <c:spPr>
            <a:solidFill>
              <a:schemeClr val="accent4">
                <a:tint val="37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IAP'!$B$2:$B$43</c:f>
              <c:numCache>
                <c:formatCode>0.0</c:formatCode>
                <c:ptCount val="42"/>
                <c:pt idx="0">
                  <c:v>28</c:v>
                </c:pt>
                <c:pt idx="1">
                  <c:v>28</c:v>
                </c:pt>
                <c:pt idx="2">
                  <c:v>28</c:v>
                </c:pt>
                <c:pt idx="3">
                  <c:v>28</c:v>
                </c:pt>
                <c:pt idx="4">
                  <c:v>28</c:v>
                </c:pt>
                <c:pt idx="5">
                  <c:v>28</c:v>
                </c:pt>
                <c:pt idx="6">
                  <c:v>28</c:v>
                </c:pt>
                <c:pt idx="7">
                  <c:v>34</c:v>
                </c:pt>
                <c:pt idx="8">
                  <c:v>34</c:v>
                </c:pt>
                <c:pt idx="9">
                  <c:v>34</c:v>
                </c:pt>
                <c:pt idx="10">
                  <c:v>34</c:v>
                </c:pt>
                <c:pt idx="11">
                  <c:v>34</c:v>
                </c:pt>
                <c:pt idx="12">
                  <c:v>34</c:v>
                </c:pt>
                <c:pt idx="13">
                  <c:v>34</c:v>
                </c:pt>
                <c:pt idx="14">
                  <c:v>34</c:v>
                </c:pt>
                <c:pt idx="15">
                  <c:v>34</c:v>
                </c:pt>
                <c:pt idx="16">
                  <c:v>34</c:v>
                </c:pt>
                <c:pt idx="17">
                  <c:v>34</c:v>
                </c:pt>
                <c:pt idx="18">
                  <c:v>34</c:v>
                </c:pt>
                <c:pt idx="19">
                  <c:v>34</c:v>
                </c:pt>
                <c:pt idx="20">
                  <c:v>34</c:v>
                </c:pt>
                <c:pt idx="21">
                  <c:v>32</c:v>
                </c:pt>
                <c:pt idx="22">
                  <c:v>32</c:v>
                </c:pt>
                <c:pt idx="23">
                  <c:v>32</c:v>
                </c:pt>
                <c:pt idx="24">
                  <c:v>32</c:v>
                </c:pt>
                <c:pt idx="25">
                  <c:v>32</c:v>
                </c:pt>
                <c:pt idx="26">
                  <c:v>32</c:v>
                </c:pt>
                <c:pt idx="27">
                  <c:v>32</c:v>
                </c:pt>
                <c:pt idx="28">
                  <c:v>32</c:v>
                </c:pt>
                <c:pt idx="29">
                  <c:v>32</c:v>
                </c:pt>
                <c:pt idx="30">
                  <c:v>32</c:v>
                </c:pt>
                <c:pt idx="31">
                  <c:v>32</c:v>
                </c:pt>
                <c:pt idx="32">
                  <c:v>32</c:v>
                </c:pt>
                <c:pt idx="33">
                  <c:v>32</c:v>
                </c:pt>
                <c:pt idx="34">
                  <c:v>32</c:v>
                </c:pt>
                <c:pt idx="35">
                  <c:v>32</c:v>
                </c:pt>
                <c:pt idx="36">
                  <c:v>32</c:v>
                </c:pt>
                <c:pt idx="37">
                  <c:v>32</c:v>
                </c:pt>
                <c:pt idx="38">
                  <c:v>32</c:v>
                </c:pt>
                <c:pt idx="39">
                  <c:v>32</c:v>
                </c:pt>
                <c:pt idx="40">
                  <c:v>32</c:v>
                </c:pt>
                <c:pt idx="41">
                  <c:v>32</c:v>
                </c:pt>
              </c:numCache>
            </c:numRef>
          </c:val>
          <c:extLst>
            <c:ext xmlns:c16="http://schemas.microsoft.com/office/drawing/2014/chart" uri="{C3380CC4-5D6E-409C-BE32-E72D297353CC}">
              <c16:uniqueId val="{00000000-30D4-4A37-89B6-B381321CCAD9}"/>
            </c:ext>
          </c:extLst>
        </c:ser>
        <c:ser>
          <c:idx val="1"/>
          <c:order val="1"/>
          <c:tx>
            <c:strRef>
              <c:f>'Auto Correct IAP'!$C$1</c:f>
              <c:strCache>
                <c:ptCount val="1"/>
                <c:pt idx="0">
                  <c:v>104</c:v>
                </c:pt>
              </c:strCache>
            </c:strRef>
          </c:tx>
          <c:spPr>
            <a:solidFill>
              <a:schemeClr val="accent4">
                <a:tint val="43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IAP'!$C$2:$C$43</c:f>
              <c:numCache>
                <c:formatCode>0.0</c:formatCode>
                <c:ptCount val="42"/>
                <c:pt idx="0">
                  <c:v>30</c:v>
                </c:pt>
                <c:pt idx="1">
                  <c:v>37.692307692307693</c:v>
                </c:pt>
                <c:pt idx="2">
                  <c:v>39.187500000000007</c:v>
                </c:pt>
                <c:pt idx="3">
                  <c:v>39.692307692307693</c:v>
                </c:pt>
                <c:pt idx="4">
                  <c:v>30</c:v>
                </c:pt>
                <c:pt idx="5">
                  <c:v>30</c:v>
                </c:pt>
                <c:pt idx="6">
                  <c:v>30</c:v>
                </c:pt>
                <c:pt idx="7">
                  <c:v>38</c:v>
                </c:pt>
                <c:pt idx="8">
                  <c:v>36</c:v>
                </c:pt>
                <c:pt idx="9">
                  <c:v>36</c:v>
                </c:pt>
                <c:pt idx="10">
                  <c:v>36</c:v>
                </c:pt>
                <c:pt idx="11">
                  <c:v>36</c:v>
                </c:pt>
                <c:pt idx="12">
                  <c:v>36</c:v>
                </c:pt>
                <c:pt idx="13">
                  <c:v>36</c:v>
                </c:pt>
                <c:pt idx="14">
                  <c:v>36</c:v>
                </c:pt>
                <c:pt idx="15">
                  <c:v>38</c:v>
                </c:pt>
                <c:pt idx="16">
                  <c:v>38</c:v>
                </c:pt>
                <c:pt idx="17">
                  <c:v>38</c:v>
                </c:pt>
                <c:pt idx="18">
                  <c:v>36</c:v>
                </c:pt>
                <c:pt idx="19">
                  <c:v>36</c:v>
                </c:pt>
                <c:pt idx="20">
                  <c:v>39</c:v>
                </c:pt>
                <c:pt idx="21">
                  <c:v>34</c:v>
                </c:pt>
                <c:pt idx="22">
                  <c:v>34</c:v>
                </c:pt>
                <c:pt idx="23">
                  <c:v>34</c:v>
                </c:pt>
                <c:pt idx="24">
                  <c:v>36</c:v>
                </c:pt>
                <c:pt idx="25">
                  <c:v>36</c:v>
                </c:pt>
                <c:pt idx="26">
                  <c:v>36</c:v>
                </c:pt>
                <c:pt idx="27">
                  <c:v>36</c:v>
                </c:pt>
                <c:pt idx="28">
                  <c:v>36</c:v>
                </c:pt>
                <c:pt idx="29">
                  <c:v>36</c:v>
                </c:pt>
                <c:pt idx="30">
                  <c:v>36</c:v>
                </c:pt>
                <c:pt idx="31">
                  <c:v>36</c:v>
                </c:pt>
                <c:pt idx="32">
                  <c:v>36</c:v>
                </c:pt>
                <c:pt idx="33">
                  <c:v>36</c:v>
                </c:pt>
                <c:pt idx="34">
                  <c:v>36</c:v>
                </c:pt>
                <c:pt idx="35">
                  <c:v>36</c:v>
                </c:pt>
                <c:pt idx="36">
                  <c:v>36</c:v>
                </c:pt>
                <c:pt idx="37">
                  <c:v>36</c:v>
                </c:pt>
                <c:pt idx="38">
                  <c:v>36</c:v>
                </c:pt>
                <c:pt idx="39">
                  <c:v>36</c:v>
                </c:pt>
                <c:pt idx="40">
                  <c:v>36</c:v>
                </c:pt>
                <c:pt idx="41">
                  <c:v>36</c:v>
                </c:pt>
              </c:numCache>
            </c:numRef>
          </c:val>
          <c:extLst>
            <c:ext xmlns:c16="http://schemas.microsoft.com/office/drawing/2014/chart" uri="{C3380CC4-5D6E-409C-BE32-E72D297353CC}">
              <c16:uniqueId val="{00000001-30D4-4A37-89B6-B381321CCAD9}"/>
            </c:ext>
          </c:extLst>
        </c:ser>
        <c:ser>
          <c:idx val="2"/>
          <c:order val="2"/>
          <c:tx>
            <c:strRef>
              <c:f>'Auto Correct IAP'!$D$1</c:f>
              <c:strCache>
                <c:ptCount val="1"/>
                <c:pt idx="0">
                  <c:v>88</c:v>
                </c:pt>
              </c:strCache>
            </c:strRef>
          </c:tx>
          <c:spPr>
            <a:solidFill>
              <a:schemeClr val="accent4">
                <a:tint val="50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IAP'!$D$2:$D$43</c:f>
              <c:numCache>
                <c:formatCode>0.0</c:formatCode>
                <c:ptCount val="42"/>
                <c:pt idx="0">
                  <c:v>31</c:v>
                </c:pt>
                <c:pt idx="1">
                  <c:v>40.149392712550608</c:v>
                </c:pt>
                <c:pt idx="2">
                  <c:v>39.777962577962583</c:v>
                </c:pt>
                <c:pt idx="3">
                  <c:v>42.446153846153848</c:v>
                </c:pt>
                <c:pt idx="4">
                  <c:v>31</c:v>
                </c:pt>
                <c:pt idx="5">
                  <c:v>31</c:v>
                </c:pt>
                <c:pt idx="6">
                  <c:v>31</c:v>
                </c:pt>
                <c:pt idx="7">
                  <c:v>39</c:v>
                </c:pt>
                <c:pt idx="8">
                  <c:v>39</c:v>
                </c:pt>
                <c:pt idx="9">
                  <c:v>39</c:v>
                </c:pt>
                <c:pt idx="10">
                  <c:v>39</c:v>
                </c:pt>
                <c:pt idx="11">
                  <c:v>38</c:v>
                </c:pt>
                <c:pt idx="12">
                  <c:v>38</c:v>
                </c:pt>
                <c:pt idx="13">
                  <c:v>38</c:v>
                </c:pt>
                <c:pt idx="14">
                  <c:v>39</c:v>
                </c:pt>
                <c:pt idx="15">
                  <c:v>39</c:v>
                </c:pt>
                <c:pt idx="16">
                  <c:v>39</c:v>
                </c:pt>
                <c:pt idx="17">
                  <c:v>39</c:v>
                </c:pt>
                <c:pt idx="18">
                  <c:v>39</c:v>
                </c:pt>
                <c:pt idx="19">
                  <c:v>39</c:v>
                </c:pt>
                <c:pt idx="20">
                  <c:v>39</c:v>
                </c:pt>
                <c:pt idx="21">
                  <c:v>39</c:v>
                </c:pt>
                <c:pt idx="22">
                  <c:v>39</c:v>
                </c:pt>
                <c:pt idx="23">
                  <c:v>39</c:v>
                </c:pt>
                <c:pt idx="24">
                  <c:v>40</c:v>
                </c:pt>
                <c:pt idx="25">
                  <c:v>40</c:v>
                </c:pt>
                <c:pt idx="26">
                  <c:v>40</c:v>
                </c:pt>
                <c:pt idx="27">
                  <c:v>40</c:v>
                </c:pt>
                <c:pt idx="28">
                  <c:v>40</c:v>
                </c:pt>
                <c:pt idx="29">
                  <c:v>40</c:v>
                </c:pt>
                <c:pt idx="30">
                  <c:v>39</c:v>
                </c:pt>
                <c:pt idx="31">
                  <c:v>39</c:v>
                </c:pt>
                <c:pt idx="32">
                  <c:v>39</c:v>
                </c:pt>
                <c:pt idx="33">
                  <c:v>39</c:v>
                </c:pt>
                <c:pt idx="34">
                  <c:v>39</c:v>
                </c:pt>
                <c:pt idx="35">
                  <c:v>39</c:v>
                </c:pt>
                <c:pt idx="36">
                  <c:v>39</c:v>
                </c:pt>
                <c:pt idx="37">
                  <c:v>39</c:v>
                </c:pt>
                <c:pt idx="38">
                  <c:v>39</c:v>
                </c:pt>
                <c:pt idx="39">
                  <c:v>39</c:v>
                </c:pt>
                <c:pt idx="40">
                  <c:v>39</c:v>
                </c:pt>
                <c:pt idx="41">
                  <c:v>39</c:v>
                </c:pt>
              </c:numCache>
            </c:numRef>
          </c:val>
          <c:extLst>
            <c:ext xmlns:c16="http://schemas.microsoft.com/office/drawing/2014/chart" uri="{C3380CC4-5D6E-409C-BE32-E72D297353CC}">
              <c16:uniqueId val="{00000002-30D4-4A37-89B6-B381321CCAD9}"/>
            </c:ext>
          </c:extLst>
        </c:ser>
        <c:ser>
          <c:idx val="3"/>
          <c:order val="3"/>
          <c:tx>
            <c:strRef>
              <c:f>'Auto Correct IAP'!$E$1</c:f>
              <c:strCache>
                <c:ptCount val="1"/>
                <c:pt idx="0">
                  <c:v>72</c:v>
                </c:pt>
              </c:strCache>
            </c:strRef>
          </c:tx>
          <c:spPr>
            <a:solidFill>
              <a:schemeClr val="accent4">
                <a:tint val="56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IAP'!$E$2:$E$43</c:f>
              <c:numCache>
                <c:formatCode>0.0</c:formatCode>
                <c:ptCount val="42"/>
                <c:pt idx="0">
                  <c:v>34</c:v>
                </c:pt>
                <c:pt idx="1">
                  <c:v>42.02051282051282</c:v>
                </c:pt>
                <c:pt idx="2">
                  <c:v>42.630769230769232</c:v>
                </c:pt>
                <c:pt idx="3">
                  <c:v>32</c:v>
                </c:pt>
                <c:pt idx="4">
                  <c:v>32</c:v>
                </c:pt>
                <c:pt idx="5">
                  <c:v>32</c:v>
                </c:pt>
                <c:pt idx="6">
                  <c:v>32</c:v>
                </c:pt>
                <c:pt idx="7">
                  <c:v>40</c:v>
                </c:pt>
                <c:pt idx="8">
                  <c:v>43</c:v>
                </c:pt>
                <c:pt idx="9">
                  <c:v>43</c:v>
                </c:pt>
                <c:pt idx="10">
                  <c:v>42</c:v>
                </c:pt>
                <c:pt idx="11">
                  <c:v>42</c:v>
                </c:pt>
                <c:pt idx="12">
                  <c:v>42</c:v>
                </c:pt>
                <c:pt idx="13">
                  <c:v>42</c:v>
                </c:pt>
                <c:pt idx="14">
                  <c:v>45</c:v>
                </c:pt>
                <c:pt idx="15">
                  <c:v>46</c:v>
                </c:pt>
                <c:pt idx="16">
                  <c:v>48</c:v>
                </c:pt>
                <c:pt idx="17">
                  <c:v>50</c:v>
                </c:pt>
                <c:pt idx="18">
                  <c:v>55</c:v>
                </c:pt>
                <c:pt idx="19">
                  <c:v>55</c:v>
                </c:pt>
                <c:pt idx="20">
                  <c:v>54</c:v>
                </c:pt>
                <c:pt idx="21">
                  <c:v>50</c:v>
                </c:pt>
                <c:pt idx="22">
                  <c:v>48</c:v>
                </c:pt>
                <c:pt idx="23">
                  <c:v>49</c:v>
                </c:pt>
                <c:pt idx="24">
                  <c:v>50</c:v>
                </c:pt>
                <c:pt idx="25">
                  <c:v>49</c:v>
                </c:pt>
                <c:pt idx="26">
                  <c:v>48</c:v>
                </c:pt>
                <c:pt idx="27">
                  <c:v>48</c:v>
                </c:pt>
                <c:pt idx="28">
                  <c:v>48</c:v>
                </c:pt>
                <c:pt idx="29">
                  <c:v>48</c:v>
                </c:pt>
                <c:pt idx="30">
                  <c:v>48</c:v>
                </c:pt>
                <c:pt idx="31">
                  <c:v>50</c:v>
                </c:pt>
                <c:pt idx="32">
                  <c:v>51</c:v>
                </c:pt>
                <c:pt idx="33">
                  <c:v>52</c:v>
                </c:pt>
                <c:pt idx="34">
                  <c:v>52</c:v>
                </c:pt>
                <c:pt idx="35">
                  <c:v>52</c:v>
                </c:pt>
                <c:pt idx="36">
                  <c:v>52</c:v>
                </c:pt>
                <c:pt idx="37">
                  <c:v>52</c:v>
                </c:pt>
                <c:pt idx="38">
                  <c:v>52</c:v>
                </c:pt>
                <c:pt idx="39">
                  <c:v>52</c:v>
                </c:pt>
                <c:pt idx="40">
                  <c:v>52</c:v>
                </c:pt>
                <c:pt idx="41">
                  <c:v>52</c:v>
                </c:pt>
              </c:numCache>
            </c:numRef>
          </c:val>
          <c:extLst>
            <c:ext xmlns:c16="http://schemas.microsoft.com/office/drawing/2014/chart" uri="{C3380CC4-5D6E-409C-BE32-E72D297353CC}">
              <c16:uniqueId val="{00000003-30D4-4A37-89B6-B381321CCAD9}"/>
            </c:ext>
          </c:extLst>
        </c:ser>
        <c:ser>
          <c:idx val="4"/>
          <c:order val="4"/>
          <c:tx>
            <c:strRef>
              <c:f>'Auto Correct IAP'!$F$1</c:f>
              <c:strCache>
                <c:ptCount val="1"/>
                <c:pt idx="0">
                  <c:v>68</c:v>
                </c:pt>
              </c:strCache>
            </c:strRef>
          </c:tx>
          <c:spPr>
            <a:solidFill>
              <a:schemeClr val="accent4">
                <a:tint val="62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IAP'!$F$2:$F$43</c:f>
              <c:numCache>
                <c:formatCode>0.0</c:formatCode>
                <c:ptCount val="42"/>
                <c:pt idx="0">
                  <c:v>39</c:v>
                </c:pt>
                <c:pt idx="1">
                  <c:v>49.274999999999999</c:v>
                </c:pt>
                <c:pt idx="2">
                  <c:v>50.519999999999989</c:v>
                </c:pt>
                <c:pt idx="3">
                  <c:v>55.5</c:v>
                </c:pt>
                <c:pt idx="4">
                  <c:v>39</c:v>
                </c:pt>
                <c:pt idx="5">
                  <c:v>38</c:v>
                </c:pt>
                <c:pt idx="6">
                  <c:v>39</c:v>
                </c:pt>
                <c:pt idx="7">
                  <c:v>43</c:v>
                </c:pt>
                <c:pt idx="8">
                  <c:v>43</c:v>
                </c:pt>
                <c:pt idx="9">
                  <c:v>43</c:v>
                </c:pt>
                <c:pt idx="10">
                  <c:v>43</c:v>
                </c:pt>
                <c:pt idx="11">
                  <c:v>43</c:v>
                </c:pt>
                <c:pt idx="12">
                  <c:v>45</c:v>
                </c:pt>
                <c:pt idx="13">
                  <c:v>46</c:v>
                </c:pt>
                <c:pt idx="14">
                  <c:v>50</c:v>
                </c:pt>
                <c:pt idx="15">
                  <c:v>50</c:v>
                </c:pt>
                <c:pt idx="16">
                  <c:v>52</c:v>
                </c:pt>
                <c:pt idx="17">
                  <c:v>55</c:v>
                </c:pt>
                <c:pt idx="18">
                  <c:v>61</c:v>
                </c:pt>
                <c:pt idx="19">
                  <c:v>61</c:v>
                </c:pt>
                <c:pt idx="20">
                  <c:v>57</c:v>
                </c:pt>
                <c:pt idx="21">
                  <c:v>54</c:v>
                </c:pt>
                <c:pt idx="22">
                  <c:v>52</c:v>
                </c:pt>
                <c:pt idx="23">
                  <c:v>51</c:v>
                </c:pt>
                <c:pt idx="24">
                  <c:v>51</c:v>
                </c:pt>
                <c:pt idx="25">
                  <c:v>51</c:v>
                </c:pt>
                <c:pt idx="26">
                  <c:v>51</c:v>
                </c:pt>
                <c:pt idx="27">
                  <c:v>51</c:v>
                </c:pt>
                <c:pt idx="28">
                  <c:v>51</c:v>
                </c:pt>
                <c:pt idx="29">
                  <c:v>52</c:v>
                </c:pt>
                <c:pt idx="30">
                  <c:v>52</c:v>
                </c:pt>
                <c:pt idx="31">
                  <c:v>57</c:v>
                </c:pt>
                <c:pt idx="32">
                  <c:v>58</c:v>
                </c:pt>
                <c:pt idx="33">
                  <c:v>61</c:v>
                </c:pt>
                <c:pt idx="34">
                  <c:v>61</c:v>
                </c:pt>
                <c:pt idx="35">
                  <c:v>61</c:v>
                </c:pt>
                <c:pt idx="36">
                  <c:v>61</c:v>
                </c:pt>
                <c:pt idx="37">
                  <c:v>61</c:v>
                </c:pt>
                <c:pt idx="38">
                  <c:v>61</c:v>
                </c:pt>
                <c:pt idx="39">
                  <c:v>61</c:v>
                </c:pt>
                <c:pt idx="40">
                  <c:v>61</c:v>
                </c:pt>
                <c:pt idx="41">
                  <c:v>61</c:v>
                </c:pt>
              </c:numCache>
            </c:numRef>
          </c:val>
          <c:extLst>
            <c:ext xmlns:c16="http://schemas.microsoft.com/office/drawing/2014/chart" uri="{C3380CC4-5D6E-409C-BE32-E72D297353CC}">
              <c16:uniqueId val="{00000004-30D4-4A37-89B6-B381321CCAD9}"/>
            </c:ext>
          </c:extLst>
        </c:ser>
        <c:ser>
          <c:idx val="5"/>
          <c:order val="5"/>
          <c:tx>
            <c:strRef>
              <c:f>'Auto Correct IAP'!$G$1</c:f>
              <c:strCache>
                <c:ptCount val="1"/>
                <c:pt idx="0">
                  <c:v>64</c:v>
                </c:pt>
              </c:strCache>
            </c:strRef>
          </c:tx>
          <c:spPr>
            <a:solidFill>
              <a:schemeClr val="accent4">
                <a:tint val="69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IAP'!$G$2:$G$43</c:f>
              <c:numCache>
                <c:formatCode>0.0</c:formatCode>
                <c:ptCount val="42"/>
                <c:pt idx="0">
                  <c:v>44</c:v>
                </c:pt>
                <c:pt idx="1">
                  <c:v>53.577114427860693</c:v>
                </c:pt>
                <c:pt idx="2">
                  <c:v>55.914712153518124</c:v>
                </c:pt>
                <c:pt idx="3">
                  <c:v>45</c:v>
                </c:pt>
                <c:pt idx="4">
                  <c:v>43</c:v>
                </c:pt>
                <c:pt idx="5">
                  <c:v>43</c:v>
                </c:pt>
                <c:pt idx="6">
                  <c:v>46</c:v>
                </c:pt>
                <c:pt idx="7">
                  <c:v>47</c:v>
                </c:pt>
                <c:pt idx="8">
                  <c:v>47</c:v>
                </c:pt>
                <c:pt idx="9">
                  <c:v>47</c:v>
                </c:pt>
                <c:pt idx="10">
                  <c:v>46</c:v>
                </c:pt>
                <c:pt idx="11">
                  <c:v>47</c:v>
                </c:pt>
                <c:pt idx="12">
                  <c:v>48</c:v>
                </c:pt>
                <c:pt idx="13">
                  <c:v>49</c:v>
                </c:pt>
                <c:pt idx="14">
                  <c:v>51</c:v>
                </c:pt>
                <c:pt idx="15">
                  <c:v>52</c:v>
                </c:pt>
                <c:pt idx="16">
                  <c:v>55</c:v>
                </c:pt>
                <c:pt idx="17">
                  <c:v>61</c:v>
                </c:pt>
                <c:pt idx="18">
                  <c:v>64</c:v>
                </c:pt>
                <c:pt idx="19">
                  <c:v>63</c:v>
                </c:pt>
                <c:pt idx="20">
                  <c:v>62</c:v>
                </c:pt>
                <c:pt idx="21">
                  <c:v>60</c:v>
                </c:pt>
                <c:pt idx="22">
                  <c:v>58</c:v>
                </c:pt>
                <c:pt idx="23">
                  <c:v>58</c:v>
                </c:pt>
                <c:pt idx="24">
                  <c:v>58</c:v>
                </c:pt>
                <c:pt idx="25">
                  <c:v>58</c:v>
                </c:pt>
                <c:pt idx="26">
                  <c:v>58</c:v>
                </c:pt>
                <c:pt idx="27">
                  <c:v>58</c:v>
                </c:pt>
                <c:pt idx="28">
                  <c:v>58</c:v>
                </c:pt>
                <c:pt idx="29">
                  <c:v>58</c:v>
                </c:pt>
                <c:pt idx="30">
                  <c:v>61</c:v>
                </c:pt>
                <c:pt idx="31">
                  <c:v>61</c:v>
                </c:pt>
                <c:pt idx="32">
                  <c:v>62</c:v>
                </c:pt>
                <c:pt idx="33">
                  <c:v>65</c:v>
                </c:pt>
                <c:pt idx="34">
                  <c:v>65</c:v>
                </c:pt>
                <c:pt idx="35">
                  <c:v>63</c:v>
                </c:pt>
                <c:pt idx="36">
                  <c:v>63</c:v>
                </c:pt>
                <c:pt idx="37">
                  <c:v>63</c:v>
                </c:pt>
                <c:pt idx="38">
                  <c:v>63</c:v>
                </c:pt>
                <c:pt idx="39">
                  <c:v>63</c:v>
                </c:pt>
                <c:pt idx="40">
                  <c:v>63</c:v>
                </c:pt>
                <c:pt idx="41">
                  <c:v>63</c:v>
                </c:pt>
              </c:numCache>
            </c:numRef>
          </c:val>
          <c:extLst>
            <c:ext xmlns:c16="http://schemas.microsoft.com/office/drawing/2014/chart" uri="{C3380CC4-5D6E-409C-BE32-E72D297353CC}">
              <c16:uniqueId val="{00000005-30D4-4A37-89B6-B381321CCAD9}"/>
            </c:ext>
          </c:extLst>
        </c:ser>
        <c:ser>
          <c:idx val="6"/>
          <c:order val="6"/>
          <c:tx>
            <c:strRef>
              <c:f>'Auto Correct IAP'!$H$1</c:f>
              <c:strCache>
                <c:ptCount val="1"/>
                <c:pt idx="0">
                  <c:v>60</c:v>
                </c:pt>
              </c:strCache>
            </c:strRef>
          </c:tx>
          <c:spPr>
            <a:solidFill>
              <a:schemeClr val="accent4">
                <a:tint val="75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IAP'!$H$2:$H$43</c:f>
              <c:numCache>
                <c:formatCode>0.0</c:formatCode>
                <c:ptCount val="42"/>
                <c:pt idx="0">
                  <c:v>66.791044776119392</c:v>
                </c:pt>
                <c:pt idx="1">
                  <c:v>64.832089552238799</c:v>
                </c:pt>
                <c:pt idx="2">
                  <c:v>64.119402985074615</c:v>
                </c:pt>
                <c:pt idx="3">
                  <c:v>48</c:v>
                </c:pt>
                <c:pt idx="4">
                  <c:v>48</c:v>
                </c:pt>
                <c:pt idx="5">
                  <c:v>47</c:v>
                </c:pt>
                <c:pt idx="6">
                  <c:v>46</c:v>
                </c:pt>
                <c:pt idx="7">
                  <c:v>47</c:v>
                </c:pt>
                <c:pt idx="8">
                  <c:v>47</c:v>
                </c:pt>
                <c:pt idx="9">
                  <c:v>46</c:v>
                </c:pt>
                <c:pt idx="10">
                  <c:v>46</c:v>
                </c:pt>
                <c:pt idx="11">
                  <c:v>48</c:v>
                </c:pt>
                <c:pt idx="12">
                  <c:v>49</c:v>
                </c:pt>
                <c:pt idx="13">
                  <c:v>50</c:v>
                </c:pt>
                <c:pt idx="14">
                  <c:v>52</c:v>
                </c:pt>
                <c:pt idx="15">
                  <c:v>55</c:v>
                </c:pt>
                <c:pt idx="16">
                  <c:v>62</c:v>
                </c:pt>
                <c:pt idx="17">
                  <c:v>65</c:v>
                </c:pt>
                <c:pt idx="18">
                  <c:v>67</c:v>
                </c:pt>
                <c:pt idx="19">
                  <c:v>66</c:v>
                </c:pt>
                <c:pt idx="20">
                  <c:v>64</c:v>
                </c:pt>
                <c:pt idx="21">
                  <c:v>62</c:v>
                </c:pt>
                <c:pt idx="22">
                  <c:v>61</c:v>
                </c:pt>
                <c:pt idx="23">
                  <c:v>62</c:v>
                </c:pt>
                <c:pt idx="24">
                  <c:v>63</c:v>
                </c:pt>
                <c:pt idx="25">
                  <c:v>63</c:v>
                </c:pt>
                <c:pt idx="26">
                  <c:v>63</c:v>
                </c:pt>
                <c:pt idx="27">
                  <c:v>63</c:v>
                </c:pt>
                <c:pt idx="28">
                  <c:v>63</c:v>
                </c:pt>
                <c:pt idx="29">
                  <c:v>62</c:v>
                </c:pt>
                <c:pt idx="30">
                  <c:v>63</c:v>
                </c:pt>
                <c:pt idx="31">
                  <c:v>63</c:v>
                </c:pt>
                <c:pt idx="32">
                  <c:v>65</c:v>
                </c:pt>
                <c:pt idx="33">
                  <c:v>67</c:v>
                </c:pt>
                <c:pt idx="34">
                  <c:v>67</c:v>
                </c:pt>
                <c:pt idx="35">
                  <c:v>66</c:v>
                </c:pt>
                <c:pt idx="36">
                  <c:v>66</c:v>
                </c:pt>
                <c:pt idx="37">
                  <c:v>66</c:v>
                </c:pt>
                <c:pt idx="38">
                  <c:v>66</c:v>
                </c:pt>
                <c:pt idx="39">
                  <c:v>66</c:v>
                </c:pt>
                <c:pt idx="40">
                  <c:v>66</c:v>
                </c:pt>
                <c:pt idx="41">
                  <c:v>66</c:v>
                </c:pt>
              </c:numCache>
            </c:numRef>
          </c:val>
          <c:extLst>
            <c:ext xmlns:c16="http://schemas.microsoft.com/office/drawing/2014/chart" uri="{C3380CC4-5D6E-409C-BE32-E72D297353CC}">
              <c16:uniqueId val="{00000006-30D4-4A37-89B6-B381321CCAD9}"/>
            </c:ext>
          </c:extLst>
        </c:ser>
        <c:ser>
          <c:idx val="7"/>
          <c:order val="7"/>
          <c:tx>
            <c:strRef>
              <c:f>'Auto Correct IAP'!$I$1</c:f>
              <c:strCache>
                <c:ptCount val="1"/>
                <c:pt idx="0">
                  <c:v>56</c:v>
                </c:pt>
              </c:strCache>
            </c:strRef>
          </c:tx>
          <c:spPr>
            <a:solidFill>
              <a:schemeClr val="accent4">
                <a:tint val="81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IAP'!$I$2:$I$43</c:f>
              <c:numCache>
                <c:formatCode>0.0</c:formatCode>
                <c:ptCount val="42"/>
                <c:pt idx="0">
                  <c:v>72.854477611940297</c:v>
                </c:pt>
                <c:pt idx="1">
                  <c:v>69.067164179104481</c:v>
                </c:pt>
                <c:pt idx="2">
                  <c:v>63.907734056987799</c:v>
                </c:pt>
                <c:pt idx="3">
                  <c:v>52</c:v>
                </c:pt>
                <c:pt idx="4">
                  <c:v>50</c:v>
                </c:pt>
                <c:pt idx="5">
                  <c:v>51</c:v>
                </c:pt>
                <c:pt idx="6">
                  <c:v>50</c:v>
                </c:pt>
                <c:pt idx="7">
                  <c:v>48</c:v>
                </c:pt>
                <c:pt idx="8">
                  <c:v>47</c:v>
                </c:pt>
                <c:pt idx="9">
                  <c:v>47</c:v>
                </c:pt>
                <c:pt idx="10">
                  <c:v>48</c:v>
                </c:pt>
                <c:pt idx="11">
                  <c:v>50</c:v>
                </c:pt>
                <c:pt idx="12">
                  <c:v>50</c:v>
                </c:pt>
                <c:pt idx="13">
                  <c:v>51</c:v>
                </c:pt>
                <c:pt idx="14">
                  <c:v>57</c:v>
                </c:pt>
                <c:pt idx="15">
                  <c:v>61</c:v>
                </c:pt>
                <c:pt idx="16">
                  <c:v>65</c:v>
                </c:pt>
                <c:pt idx="17">
                  <c:v>69</c:v>
                </c:pt>
                <c:pt idx="18">
                  <c:v>71</c:v>
                </c:pt>
                <c:pt idx="19">
                  <c:v>70</c:v>
                </c:pt>
                <c:pt idx="20">
                  <c:v>67</c:v>
                </c:pt>
                <c:pt idx="21">
                  <c:v>65</c:v>
                </c:pt>
                <c:pt idx="22">
                  <c:v>64</c:v>
                </c:pt>
                <c:pt idx="23">
                  <c:v>64</c:v>
                </c:pt>
                <c:pt idx="24">
                  <c:v>65</c:v>
                </c:pt>
                <c:pt idx="25">
                  <c:v>67</c:v>
                </c:pt>
                <c:pt idx="26">
                  <c:v>68</c:v>
                </c:pt>
                <c:pt idx="27">
                  <c:v>69</c:v>
                </c:pt>
                <c:pt idx="28">
                  <c:v>69</c:v>
                </c:pt>
                <c:pt idx="29">
                  <c:v>67</c:v>
                </c:pt>
                <c:pt idx="30">
                  <c:v>67</c:v>
                </c:pt>
                <c:pt idx="31">
                  <c:v>67</c:v>
                </c:pt>
                <c:pt idx="32">
                  <c:v>69</c:v>
                </c:pt>
                <c:pt idx="33">
                  <c:v>70</c:v>
                </c:pt>
                <c:pt idx="34">
                  <c:v>70</c:v>
                </c:pt>
                <c:pt idx="35">
                  <c:v>69</c:v>
                </c:pt>
                <c:pt idx="36">
                  <c:v>69</c:v>
                </c:pt>
                <c:pt idx="37">
                  <c:v>69</c:v>
                </c:pt>
                <c:pt idx="38">
                  <c:v>69</c:v>
                </c:pt>
                <c:pt idx="39">
                  <c:v>69</c:v>
                </c:pt>
                <c:pt idx="40">
                  <c:v>69</c:v>
                </c:pt>
                <c:pt idx="41">
                  <c:v>69</c:v>
                </c:pt>
              </c:numCache>
            </c:numRef>
          </c:val>
          <c:extLst>
            <c:ext xmlns:c16="http://schemas.microsoft.com/office/drawing/2014/chart" uri="{C3380CC4-5D6E-409C-BE32-E72D297353CC}">
              <c16:uniqueId val="{00000007-30D4-4A37-89B6-B381321CCAD9}"/>
            </c:ext>
          </c:extLst>
        </c:ser>
        <c:ser>
          <c:idx val="8"/>
          <c:order val="8"/>
          <c:tx>
            <c:strRef>
              <c:f>'Auto Correct IAP'!$J$1</c:f>
              <c:strCache>
                <c:ptCount val="1"/>
                <c:pt idx="0">
                  <c:v>52</c:v>
                </c:pt>
              </c:strCache>
            </c:strRef>
          </c:tx>
          <c:spPr>
            <a:solidFill>
              <a:schemeClr val="accent4">
                <a:tint val="88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IAP'!$J$2:$J$43</c:f>
              <c:numCache>
                <c:formatCode>0.0</c:formatCode>
                <c:ptCount val="42"/>
                <c:pt idx="0">
                  <c:v>83.75</c:v>
                </c:pt>
                <c:pt idx="1">
                  <c:v>83.636363636363626</c:v>
                </c:pt>
                <c:pt idx="2">
                  <c:v>76.656716417910445</c:v>
                </c:pt>
                <c:pt idx="3">
                  <c:v>61</c:v>
                </c:pt>
                <c:pt idx="4">
                  <c:v>54</c:v>
                </c:pt>
                <c:pt idx="5">
                  <c:v>55</c:v>
                </c:pt>
                <c:pt idx="6">
                  <c:v>57</c:v>
                </c:pt>
                <c:pt idx="7">
                  <c:v>54</c:v>
                </c:pt>
                <c:pt idx="8">
                  <c:v>49</c:v>
                </c:pt>
                <c:pt idx="9">
                  <c:v>49</c:v>
                </c:pt>
                <c:pt idx="10">
                  <c:v>50</c:v>
                </c:pt>
                <c:pt idx="11">
                  <c:v>50</c:v>
                </c:pt>
                <c:pt idx="12">
                  <c:v>52</c:v>
                </c:pt>
                <c:pt idx="13">
                  <c:v>52</c:v>
                </c:pt>
                <c:pt idx="14">
                  <c:v>58</c:v>
                </c:pt>
                <c:pt idx="15">
                  <c:v>66</c:v>
                </c:pt>
                <c:pt idx="16">
                  <c:v>70</c:v>
                </c:pt>
                <c:pt idx="17">
                  <c:v>72</c:v>
                </c:pt>
                <c:pt idx="18">
                  <c:v>75</c:v>
                </c:pt>
                <c:pt idx="19">
                  <c:v>72</c:v>
                </c:pt>
                <c:pt idx="20">
                  <c:v>69</c:v>
                </c:pt>
                <c:pt idx="21">
                  <c:v>67</c:v>
                </c:pt>
                <c:pt idx="22">
                  <c:v>67</c:v>
                </c:pt>
                <c:pt idx="23">
                  <c:v>67</c:v>
                </c:pt>
                <c:pt idx="24">
                  <c:v>68</c:v>
                </c:pt>
                <c:pt idx="25">
                  <c:v>70</c:v>
                </c:pt>
                <c:pt idx="26">
                  <c:v>72</c:v>
                </c:pt>
                <c:pt idx="27">
                  <c:v>74</c:v>
                </c:pt>
                <c:pt idx="28">
                  <c:v>71</c:v>
                </c:pt>
                <c:pt idx="29">
                  <c:v>71</c:v>
                </c:pt>
                <c:pt idx="30">
                  <c:v>71</c:v>
                </c:pt>
                <c:pt idx="31">
                  <c:v>71</c:v>
                </c:pt>
                <c:pt idx="32">
                  <c:v>71</c:v>
                </c:pt>
                <c:pt idx="33">
                  <c:v>74</c:v>
                </c:pt>
                <c:pt idx="34">
                  <c:v>74</c:v>
                </c:pt>
                <c:pt idx="35">
                  <c:v>71</c:v>
                </c:pt>
                <c:pt idx="36">
                  <c:v>71</c:v>
                </c:pt>
                <c:pt idx="37">
                  <c:v>71</c:v>
                </c:pt>
                <c:pt idx="38">
                  <c:v>71</c:v>
                </c:pt>
                <c:pt idx="39">
                  <c:v>71</c:v>
                </c:pt>
                <c:pt idx="40">
                  <c:v>71</c:v>
                </c:pt>
                <c:pt idx="41">
                  <c:v>71</c:v>
                </c:pt>
              </c:numCache>
            </c:numRef>
          </c:val>
          <c:extLst>
            <c:ext xmlns:c16="http://schemas.microsoft.com/office/drawing/2014/chart" uri="{C3380CC4-5D6E-409C-BE32-E72D297353CC}">
              <c16:uniqueId val="{00000008-30D4-4A37-89B6-B381321CCAD9}"/>
            </c:ext>
          </c:extLst>
        </c:ser>
        <c:ser>
          <c:idx val="9"/>
          <c:order val="9"/>
          <c:tx>
            <c:strRef>
              <c:f>'Auto Correct IAP'!$K$1</c:f>
              <c:strCache>
                <c:ptCount val="1"/>
                <c:pt idx="0">
                  <c:v>48</c:v>
                </c:pt>
              </c:strCache>
            </c:strRef>
          </c:tx>
          <c:spPr>
            <a:solidFill>
              <a:schemeClr val="accent4">
                <a:tint val="94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IAP'!$K$2:$K$43</c:f>
              <c:numCache>
                <c:formatCode>0.0</c:formatCode>
                <c:ptCount val="42"/>
                <c:pt idx="0">
                  <c:v>82.388059701492523</c:v>
                </c:pt>
                <c:pt idx="1">
                  <c:v>86.25</c:v>
                </c:pt>
                <c:pt idx="2">
                  <c:v>80.859701492537326</c:v>
                </c:pt>
                <c:pt idx="3">
                  <c:v>65</c:v>
                </c:pt>
                <c:pt idx="4">
                  <c:v>58</c:v>
                </c:pt>
                <c:pt idx="5">
                  <c:v>55</c:v>
                </c:pt>
                <c:pt idx="6">
                  <c:v>61</c:v>
                </c:pt>
                <c:pt idx="7">
                  <c:v>62</c:v>
                </c:pt>
                <c:pt idx="8">
                  <c:v>60</c:v>
                </c:pt>
                <c:pt idx="9">
                  <c:v>55</c:v>
                </c:pt>
                <c:pt idx="10">
                  <c:v>57</c:v>
                </c:pt>
                <c:pt idx="11">
                  <c:v>57</c:v>
                </c:pt>
                <c:pt idx="12">
                  <c:v>58</c:v>
                </c:pt>
                <c:pt idx="13">
                  <c:v>62</c:v>
                </c:pt>
                <c:pt idx="14">
                  <c:v>66</c:v>
                </c:pt>
                <c:pt idx="15">
                  <c:v>70</c:v>
                </c:pt>
                <c:pt idx="16">
                  <c:v>75</c:v>
                </c:pt>
                <c:pt idx="17">
                  <c:v>79</c:v>
                </c:pt>
                <c:pt idx="18">
                  <c:v>80</c:v>
                </c:pt>
                <c:pt idx="19">
                  <c:v>78</c:v>
                </c:pt>
                <c:pt idx="20">
                  <c:v>72</c:v>
                </c:pt>
                <c:pt idx="21">
                  <c:v>70</c:v>
                </c:pt>
                <c:pt idx="22">
                  <c:v>70</c:v>
                </c:pt>
                <c:pt idx="23">
                  <c:v>70</c:v>
                </c:pt>
                <c:pt idx="24">
                  <c:v>70</c:v>
                </c:pt>
                <c:pt idx="25">
                  <c:v>72</c:v>
                </c:pt>
                <c:pt idx="26">
                  <c:v>75</c:v>
                </c:pt>
                <c:pt idx="27">
                  <c:v>75</c:v>
                </c:pt>
                <c:pt idx="28">
                  <c:v>75</c:v>
                </c:pt>
                <c:pt idx="29">
                  <c:v>75</c:v>
                </c:pt>
                <c:pt idx="30">
                  <c:v>75</c:v>
                </c:pt>
                <c:pt idx="31">
                  <c:v>75</c:v>
                </c:pt>
                <c:pt idx="32">
                  <c:v>76</c:v>
                </c:pt>
                <c:pt idx="33">
                  <c:v>79</c:v>
                </c:pt>
                <c:pt idx="34">
                  <c:v>79</c:v>
                </c:pt>
                <c:pt idx="35">
                  <c:v>76</c:v>
                </c:pt>
                <c:pt idx="36">
                  <c:v>76</c:v>
                </c:pt>
                <c:pt idx="37">
                  <c:v>76</c:v>
                </c:pt>
                <c:pt idx="38">
                  <c:v>76</c:v>
                </c:pt>
                <c:pt idx="39">
                  <c:v>76</c:v>
                </c:pt>
                <c:pt idx="40">
                  <c:v>76</c:v>
                </c:pt>
                <c:pt idx="41">
                  <c:v>76</c:v>
                </c:pt>
              </c:numCache>
            </c:numRef>
          </c:val>
          <c:extLst>
            <c:ext xmlns:c16="http://schemas.microsoft.com/office/drawing/2014/chart" uri="{C3380CC4-5D6E-409C-BE32-E72D297353CC}">
              <c16:uniqueId val="{00000009-30D4-4A37-89B6-B381321CCAD9}"/>
            </c:ext>
          </c:extLst>
        </c:ser>
        <c:ser>
          <c:idx val="10"/>
          <c:order val="10"/>
          <c:tx>
            <c:strRef>
              <c:f>'Auto Correct IAP'!$L$1</c:f>
              <c:strCache>
                <c:ptCount val="1"/>
                <c:pt idx="0">
                  <c:v>44</c:v>
                </c:pt>
              </c:strCache>
            </c:strRef>
          </c:tx>
          <c:spPr>
            <a:solidFill>
              <a:schemeClr val="accent4"/>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IAP'!$L$2:$L$43</c:f>
              <c:numCache>
                <c:formatCode>0.0</c:formatCode>
                <c:ptCount val="42"/>
                <c:pt idx="0">
                  <c:v>97.194029850746276</c:v>
                </c:pt>
                <c:pt idx="1">
                  <c:v>91.487562189054728</c:v>
                </c:pt>
                <c:pt idx="2">
                  <c:v>88.652985074626869</c:v>
                </c:pt>
                <c:pt idx="3">
                  <c:v>68</c:v>
                </c:pt>
                <c:pt idx="4">
                  <c:v>64</c:v>
                </c:pt>
                <c:pt idx="5">
                  <c:v>61</c:v>
                </c:pt>
                <c:pt idx="6">
                  <c:v>64</c:v>
                </c:pt>
                <c:pt idx="7">
                  <c:v>67</c:v>
                </c:pt>
                <c:pt idx="8">
                  <c:v>65</c:v>
                </c:pt>
                <c:pt idx="9">
                  <c:v>61</c:v>
                </c:pt>
                <c:pt idx="10">
                  <c:v>61</c:v>
                </c:pt>
                <c:pt idx="11">
                  <c:v>62</c:v>
                </c:pt>
                <c:pt idx="12">
                  <c:v>64</c:v>
                </c:pt>
                <c:pt idx="13">
                  <c:v>66</c:v>
                </c:pt>
                <c:pt idx="14">
                  <c:v>70</c:v>
                </c:pt>
                <c:pt idx="15">
                  <c:v>75</c:v>
                </c:pt>
                <c:pt idx="16">
                  <c:v>80</c:v>
                </c:pt>
                <c:pt idx="17">
                  <c:v>83</c:v>
                </c:pt>
                <c:pt idx="18">
                  <c:v>84</c:v>
                </c:pt>
                <c:pt idx="19">
                  <c:v>80</c:v>
                </c:pt>
                <c:pt idx="20">
                  <c:v>76</c:v>
                </c:pt>
                <c:pt idx="21">
                  <c:v>74</c:v>
                </c:pt>
                <c:pt idx="22">
                  <c:v>72</c:v>
                </c:pt>
                <c:pt idx="23">
                  <c:v>72</c:v>
                </c:pt>
                <c:pt idx="24">
                  <c:v>74</c:v>
                </c:pt>
                <c:pt idx="25">
                  <c:v>75</c:v>
                </c:pt>
                <c:pt idx="26">
                  <c:v>78</c:v>
                </c:pt>
                <c:pt idx="27">
                  <c:v>79</c:v>
                </c:pt>
                <c:pt idx="28">
                  <c:v>79</c:v>
                </c:pt>
                <c:pt idx="29">
                  <c:v>79</c:v>
                </c:pt>
                <c:pt idx="30">
                  <c:v>79</c:v>
                </c:pt>
                <c:pt idx="31">
                  <c:v>79</c:v>
                </c:pt>
                <c:pt idx="32">
                  <c:v>80</c:v>
                </c:pt>
                <c:pt idx="33">
                  <c:v>82</c:v>
                </c:pt>
                <c:pt idx="34">
                  <c:v>82</c:v>
                </c:pt>
                <c:pt idx="35">
                  <c:v>82</c:v>
                </c:pt>
                <c:pt idx="36">
                  <c:v>82</c:v>
                </c:pt>
                <c:pt idx="37">
                  <c:v>82</c:v>
                </c:pt>
                <c:pt idx="38">
                  <c:v>82</c:v>
                </c:pt>
                <c:pt idx="39">
                  <c:v>82</c:v>
                </c:pt>
                <c:pt idx="40">
                  <c:v>82</c:v>
                </c:pt>
                <c:pt idx="41">
                  <c:v>82</c:v>
                </c:pt>
              </c:numCache>
            </c:numRef>
          </c:val>
          <c:extLst>
            <c:ext xmlns:c16="http://schemas.microsoft.com/office/drawing/2014/chart" uri="{C3380CC4-5D6E-409C-BE32-E72D297353CC}">
              <c16:uniqueId val="{0000000A-30D4-4A37-89B6-B381321CCAD9}"/>
            </c:ext>
          </c:extLst>
        </c:ser>
        <c:ser>
          <c:idx val="11"/>
          <c:order val="11"/>
          <c:tx>
            <c:strRef>
              <c:f>'Auto Correct IAP'!$M$1</c:f>
              <c:strCache>
                <c:ptCount val="1"/>
                <c:pt idx="0">
                  <c:v>40</c:v>
                </c:pt>
              </c:strCache>
            </c:strRef>
          </c:tx>
          <c:spPr>
            <a:solidFill>
              <a:schemeClr val="accent4">
                <a:shade val="93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IAP'!$M$2:$M$43</c:f>
              <c:numCache>
                <c:formatCode>0.0</c:formatCode>
                <c:ptCount val="42"/>
                <c:pt idx="0">
                  <c:v>95.813432835820905</c:v>
                </c:pt>
                <c:pt idx="1">
                  <c:v>94.294776119402982</c:v>
                </c:pt>
                <c:pt idx="2">
                  <c:v>91.865671641791039</c:v>
                </c:pt>
                <c:pt idx="3">
                  <c:v>71</c:v>
                </c:pt>
                <c:pt idx="4">
                  <c:v>69</c:v>
                </c:pt>
                <c:pt idx="5">
                  <c:v>66</c:v>
                </c:pt>
                <c:pt idx="6">
                  <c:v>68</c:v>
                </c:pt>
                <c:pt idx="7">
                  <c:v>71</c:v>
                </c:pt>
                <c:pt idx="8">
                  <c:v>67</c:v>
                </c:pt>
                <c:pt idx="9">
                  <c:v>64</c:v>
                </c:pt>
                <c:pt idx="10">
                  <c:v>63</c:v>
                </c:pt>
                <c:pt idx="11">
                  <c:v>65</c:v>
                </c:pt>
                <c:pt idx="12">
                  <c:v>67</c:v>
                </c:pt>
                <c:pt idx="13">
                  <c:v>70</c:v>
                </c:pt>
                <c:pt idx="14">
                  <c:v>75</c:v>
                </c:pt>
                <c:pt idx="15">
                  <c:v>80</c:v>
                </c:pt>
                <c:pt idx="16">
                  <c:v>85</c:v>
                </c:pt>
                <c:pt idx="17">
                  <c:v>87</c:v>
                </c:pt>
                <c:pt idx="18">
                  <c:v>88</c:v>
                </c:pt>
                <c:pt idx="19">
                  <c:v>85</c:v>
                </c:pt>
                <c:pt idx="20">
                  <c:v>80</c:v>
                </c:pt>
                <c:pt idx="21">
                  <c:v>78</c:v>
                </c:pt>
                <c:pt idx="22">
                  <c:v>76</c:v>
                </c:pt>
                <c:pt idx="23">
                  <c:v>75</c:v>
                </c:pt>
                <c:pt idx="24">
                  <c:v>75</c:v>
                </c:pt>
                <c:pt idx="25">
                  <c:v>79</c:v>
                </c:pt>
                <c:pt idx="26">
                  <c:v>82</c:v>
                </c:pt>
                <c:pt idx="27">
                  <c:v>82</c:v>
                </c:pt>
                <c:pt idx="28">
                  <c:v>82</c:v>
                </c:pt>
                <c:pt idx="29">
                  <c:v>82</c:v>
                </c:pt>
                <c:pt idx="30">
                  <c:v>82</c:v>
                </c:pt>
                <c:pt idx="31">
                  <c:v>82</c:v>
                </c:pt>
                <c:pt idx="32">
                  <c:v>84</c:v>
                </c:pt>
                <c:pt idx="33">
                  <c:v>84</c:v>
                </c:pt>
                <c:pt idx="34">
                  <c:v>84</c:v>
                </c:pt>
                <c:pt idx="35">
                  <c:v>84</c:v>
                </c:pt>
                <c:pt idx="36">
                  <c:v>84</c:v>
                </c:pt>
                <c:pt idx="37">
                  <c:v>84</c:v>
                </c:pt>
                <c:pt idx="38">
                  <c:v>84</c:v>
                </c:pt>
                <c:pt idx="39">
                  <c:v>84</c:v>
                </c:pt>
                <c:pt idx="40">
                  <c:v>84</c:v>
                </c:pt>
                <c:pt idx="41">
                  <c:v>84</c:v>
                </c:pt>
              </c:numCache>
            </c:numRef>
          </c:val>
          <c:extLst>
            <c:ext xmlns:c16="http://schemas.microsoft.com/office/drawing/2014/chart" uri="{C3380CC4-5D6E-409C-BE32-E72D297353CC}">
              <c16:uniqueId val="{0000000B-30D4-4A37-89B6-B381321CCAD9}"/>
            </c:ext>
          </c:extLst>
        </c:ser>
        <c:ser>
          <c:idx val="12"/>
          <c:order val="12"/>
          <c:tx>
            <c:strRef>
              <c:f>'Auto Correct IAP'!$N$1</c:f>
              <c:strCache>
                <c:ptCount val="1"/>
                <c:pt idx="0">
                  <c:v>36</c:v>
                </c:pt>
              </c:strCache>
            </c:strRef>
          </c:tx>
          <c:spPr>
            <a:solidFill>
              <a:schemeClr val="accent4">
                <a:shade val="87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IAP'!$N$2:$N$43</c:f>
              <c:numCache>
                <c:formatCode>0.0</c:formatCode>
                <c:ptCount val="42"/>
                <c:pt idx="0">
                  <c:v>95.661691542288551</c:v>
                </c:pt>
                <c:pt idx="1">
                  <c:v>90.341151385927503</c:v>
                </c:pt>
                <c:pt idx="2">
                  <c:v>98.567164179104481</c:v>
                </c:pt>
                <c:pt idx="3">
                  <c:v>72</c:v>
                </c:pt>
                <c:pt idx="4">
                  <c:v>71</c:v>
                </c:pt>
                <c:pt idx="5">
                  <c:v>72</c:v>
                </c:pt>
                <c:pt idx="6">
                  <c:v>74</c:v>
                </c:pt>
                <c:pt idx="7">
                  <c:v>74</c:v>
                </c:pt>
                <c:pt idx="8">
                  <c:v>72</c:v>
                </c:pt>
                <c:pt idx="9">
                  <c:v>68</c:v>
                </c:pt>
                <c:pt idx="10">
                  <c:v>66</c:v>
                </c:pt>
                <c:pt idx="11">
                  <c:v>68</c:v>
                </c:pt>
                <c:pt idx="12">
                  <c:v>70</c:v>
                </c:pt>
                <c:pt idx="13">
                  <c:v>75</c:v>
                </c:pt>
                <c:pt idx="14">
                  <c:v>80</c:v>
                </c:pt>
                <c:pt idx="15">
                  <c:v>84</c:v>
                </c:pt>
                <c:pt idx="16">
                  <c:v>88</c:v>
                </c:pt>
                <c:pt idx="17">
                  <c:v>91</c:v>
                </c:pt>
                <c:pt idx="18">
                  <c:v>92</c:v>
                </c:pt>
                <c:pt idx="19">
                  <c:v>88</c:v>
                </c:pt>
                <c:pt idx="20">
                  <c:v>83</c:v>
                </c:pt>
                <c:pt idx="21">
                  <c:v>82</c:v>
                </c:pt>
                <c:pt idx="22">
                  <c:v>82</c:v>
                </c:pt>
                <c:pt idx="23">
                  <c:v>80</c:v>
                </c:pt>
                <c:pt idx="24">
                  <c:v>79</c:v>
                </c:pt>
                <c:pt idx="25">
                  <c:v>83</c:v>
                </c:pt>
                <c:pt idx="26">
                  <c:v>85</c:v>
                </c:pt>
                <c:pt idx="27">
                  <c:v>86</c:v>
                </c:pt>
                <c:pt idx="28">
                  <c:v>86</c:v>
                </c:pt>
                <c:pt idx="29">
                  <c:v>85</c:v>
                </c:pt>
                <c:pt idx="30">
                  <c:v>85</c:v>
                </c:pt>
                <c:pt idx="31">
                  <c:v>85</c:v>
                </c:pt>
                <c:pt idx="32">
                  <c:v>86</c:v>
                </c:pt>
                <c:pt idx="33">
                  <c:v>86</c:v>
                </c:pt>
                <c:pt idx="34">
                  <c:v>86</c:v>
                </c:pt>
                <c:pt idx="35">
                  <c:v>86</c:v>
                </c:pt>
                <c:pt idx="36">
                  <c:v>86</c:v>
                </c:pt>
                <c:pt idx="37">
                  <c:v>86</c:v>
                </c:pt>
                <c:pt idx="38">
                  <c:v>86</c:v>
                </c:pt>
                <c:pt idx="39">
                  <c:v>86</c:v>
                </c:pt>
                <c:pt idx="40">
                  <c:v>86</c:v>
                </c:pt>
                <c:pt idx="41">
                  <c:v>86</c:v>
                </c:pt>
              </c:numCache>
            </c:numRef>
          </c:val>
          <c:extLst>
            <c:ext xmlns:c16="http://schemas.microsoft.com/office/drawing/2014/chart" uri="{C3380CC4-5D6E-409C-BE32-E72D297353CC}">
              <c16:uniqueId val="{0000000C-30D4-4A37-89B6-B381321CCAD9}"/>
            </c:ext>
          </c:extLst>
        </c:ser>
        <c:ser>
          <c:idx val="13"/>
          <c:order val="13"/>
          <c:tx>
            <c:strRef>
              <c:f>'Auto Correct IAP'!$O$1</c:f>
              <c:strCache>
                <c:ptCount val="1"/>
                <c:pt idx="0">
                  <c:v>32</c:v>
                </c:pt>
              </c:strCache>
            </c:strRef>
          </c:tx>
          <c:spPr>
            <a:solidFill>
              <a:schemeClr val="accent4">
                <a:shade val="80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IAP'!$O$2:$O$43</c:f>
              <c:numCache>
                <c:formatCode>0.0</c:formatCode>
                <c:ptCount val="42"/>
                <c:pt idx="0">
                  <c:v>113.20895522388059</c:v>
                </c:pt>
                <c:pt idx="1">
                  <c:v>105.16631130063966</c:v>
                </c:pt>
                <c:pt idx="2">
                  <c:v>103.955223880597</c:v>
                </c:pt>
                <c:pt idx="3">
                  <c:v>96.417910447761187</c:v>
                </c:pt>
                <c:pt idx="4">
                  <c:v>75</c:v>
                </c:pt>
                <c:pt idx="5">
                  <c:v>76</c:v>
                </c:pt>
                <c:pt idx="6">
                  <c:v>76</c:v>
                </c:pt>
                <c:pt idx="7">
                  <c:v>80</c:v>
                </c:pt>
                <c:pt idx="8">
                  <c:v>76</c:v>
                </c:pt>
                <c:pt idx="9">
                  <c:v>71</c:v>
                </c:pt>
                <c:pt idx="10">
                  <c:v>69</c:v>
                </c:pt>
                <c:pt idx="11">
                  <c:v>71</c:v>
                </c:pt>
                <c:pt idx="12">
                  <c:v>74</c:v>
                </c:pt>
                <c:pt idx="13">
                  <c:v>79</c:v>
                </c:pt>
                <c:pt idx="14">
                  <c:v>84</c:v>
                </c:pt>
                <c:pt idx="15">
                  <c:v>88</c:v>
                </c:pt>
                <c:pt idx="16">
                  <c:v>92</c:v>
                </c:pt>
                <c:pt idx="17">
                  <c:v>94</c:v>
                </c:pt>
                <c:pt idx="18">
                  <c:v>94</c:v>
                </c:pt>
                <c:pt idx="19">
                  <c:v>92</c:v>
                </c:pt>
                <c:pt idx="20">
                  <c:v>88</c:v>
                </c:pt>
                <c:pt idx="21">
                  <c:v>85</c:v>
                </c:pt>
                <c:pt idx="22">
                  <c:v>84</c:v>
                </c:pt>
                <c:pt idx="23">
                  <c:v>83</c:v>
                </c:pt>
                <c:pt idx="24">
                  <c:v>83</c:v>
                </c:pt>
                <c:pt idx="25">
                  <c:v>87</c:v>
                </c:pt>
                <c:pt idx="26">
                  <c:v>90</c:v>
                </c:pt>
                <c:pt idx="27">
                  <c:v>90</c:v>
                </c:pt>
                <c:pt idx="28">
                  <c:v>89</c:v>
                </c:pt>
                <c:pt idx="29">
                  <c:v>89</c:v>
                </c:pt>
                <c:pt idx="30">
                  <c:v>89</c:v>
                </c:pt>
                <c:pt idx="31">
                  <c:v>88</c:v>
                </c:pt>
                <c:pt idx="32">
                  <c:v>89</c:v>
                </c:pt>
                <c:pt idx="33">
                  <c:v>89</c:v>
                </c:pt>
                <c:pt idx="34">
                  <c:v>89</c:v>
                </c:pt>
                <c:pt idx="35">
                  <c:v>90</c:v>
                </c:pt>
                <c:pt idx="36">
                  <c:v>90</c:v>
                </c:pt>
                <c:pt idx="37">
                  <c:v>90</c:v>
                </c:pt>
                <c:pt idx="38">
                  <c:v>90</c:v>
                </c:pt>
                <c:pt idx="39">
                  <c:v>90</c:v>
                </c:pt>
                <c:pt idx="40">
                  <c:v>90</c:v>
                </c:pt>
                <c:pt idx="41">
                  <c:v>90</c:v>
                </c:pt>
              </c:numCache>
            </c:numRef>
          </c:val>
          <c:extLst>
            <c:ext xmlns:c16="http://schemas.microsoft.com/office/drawing/2014/chart" uri="{C3380CC4-5D6E-409C-BE32-E72D297353CC}">
              <c16:uniqueId val="{0000000D-30D4-4A37-89B6-B381321CCAD9}"/>
            </c:ext>
          </c:extLst>
        </c:ser>
        <c:ser>
          <c:idx val="14"/>
          <c:order val="14"/>
          <c:tx>
            <c:strRef>
              <c:f>'Auto Correct IAP'!$P$1</c:f>
              <c:strCache>
                <c:ptCount val="1"/>
                <c:pt idx="0">
                  <c:v>24</c:v>
                </c:pt>
              </c:strCache>
            </c:strRef>
          </c:tx>
          <c:spPr>
            <a:solidFill>
              <a:schemeClr val="accent4">
                <a:shade val="74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IAP'!$P$2:$P$43</c:f>
              <c:numCache>
                <c:formatCode>0.0</c:formatCode>
                <c:ptCount val="42"/>
                <c:pt idx="0">
                  <c:v>89</c:v>
                </c:pt>
                <c:pt idx="1">
                  <c:v>112.02487562189059</c:v>
                </c:pt>
                <c:pt idx="2">
                  <c:v>104.50559701492539</c:v>
                </c:pt>
                <c:pt idx="3">
                  <c:v>82</c:v>
                </c:pt>
                <c:pt idx="4">
                  <c:v>82</c:v>
                </c:pt>
                <c:pt idx="5">
                  <c:v>83</c:v>
                </c:pt>
                <c:pt idx="6">
                  <c:v>83</c:v>
                </c:pt>
                <c:pt idx="7">
                  <c:v>84</c:v>
                </c:pt>
                <c:pt idx="8">
                  <c:v>79</c:v>
                </c:pt>
                <c:pt idx="9">
                  <c:v>76</c:v>
                </c:pt>
                <c:pt idx="10">
                  <c:v>75</c:v>
                </c:pt>
                <c:pt idx="11">
                  <c:v>78</c:v>
                </c:pt>
                <c:pt idx="12">
                  <c:v>80</c:v>
                </c:pt>
                <c:pt idx="13">
                  <c:v>85</c:v>
                </c:pt>
                <c:pt idx="14">
                  <c:v>90</c:v>
                </c:pt>
                <c:pt idx="15">
                  <c:v>94</c:v>
                </c:pt>
                <c:pt idx="16">
                  <c:v>98</c:v>
                </c:pt>
                <c:pt idx="17">
                  <c:v>99</c:v>
                </c:pt>
                <c:pt idx="18">
                  <c:v>102</c:v>
                </c:pt>
                <c:pt idx="19">
                  <c:v>97</c:v>
                </c:pt>
                <c:pt idx="20">
                  <c:v>93</c:v>
                </c:pt>
                <c:pt idx="21">
                  <c:v>91</c:v>
                </c:pt>
                <c:pt idx="22">
                  <c:v>88</c:v>
                </c:pt>
                <c:pt idx="23">
                  <c:v>89</c:v>
                </c:pt>
                <c:pt idx="24">
                  <c:v>91</c:v>
                </c:pt>
                <c:pt idx="25">
                  <c:v>93</c:v>
                </c:pt>
                <c:pt idx="26">
                  <c:v>94</c:v>
                </c:pt>
                <c:pt idx="27">
                  <c:v>94</c:v>
                </c:pt>
                <c:pt idx="28">
                  <c:v>93</c:v>
                </c:pt>
                <c:pt idx="29">
                  <c:v>92</c:v>
                </c:pt>
                <c:pt idx="30">
                  <c:v>93</c:v>
                </c:pt>
                <c:pt idx="31">
                  <c:v>93</c:v>
                </c:pt>
                <c:pt idx="32">
                  <c:v>93</c:v>
                </c:pt>
                <c:pt idx="33">
                  <c:v>94</c:v>
                </c:pt>
                <c:pt idx="34">
                  <c:v>94</c:v>
                </c:pt>
                <c:pt idx="35">
                  <c:v>97</c:v>
                </c:pt>
                <c:pt idx="36">
                  <c:v>97</c:v>
                </c:pt>
                <c:pt idx="37">
                  <c:v>97</c:v>
                </c:pt>
                <c:pt idx="38">
                  <c:v>97</c:v>
                </c:pt>
                <c:pt idx="39">
                  <c:v>97</c:v>
                </c:pt>
                <c:pt idx="40">
                  <c:v>97</c:v>
                </c:pt>
                <c:pt idx="41">
                  <c:v>97</c:v>
                </c:pt>
              </c:numCache>
            </c:numRef>
          </c:val>
          <c:extLst>
            <c:ext xmlns:c16="http://schemas.microsoft.com/office/drawing/2014/chart" uri="{C3380CC4-5D6E-409C-BE32-E72D297353CC}">
              <c16:uniqueId val="{0000000E-30D4-4A37-89B6-B381321CCAD9}"/>
            </c:ext>
          </c:extLst>
        </c:ser>
        <c:ser>
          <c:idx val="15"/>
          <c:order val="15"/>
          <c:tx>
            <c:strRef>
              <c:f>'Auto Correct IAP'!$Q$1</c:f>
              <c:strCache>
                <c:ptCount val="1"/>
                <c:pt idx="0">
                  <c:v>20</c:v>
                </c:pt>
              </c:strCache>
            </c:strRef>
          </c:tx>
          <c:spPr>
            <a:solidFill>
              <a:schemeClr val="accent4">
                <a:shade val="68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IAP'!$Q$2:$Q$43</c:f>
              <c:numCache>
                <c:formatCode>0.0</c:formatCode>
                <c:ptCount val="42"/>
                <c:pt idx="0">
                  <c:v>97</c:v>
                </c:pt>
                <c:pt idx="1">
                  <c:v>97</c:v>
                </c:pt>
                <c:pt idx="2">
                  <c:v>108.54353233830847</c:v>
                </c:pt>
                <c:pt idx="3">
                  <c:v>86</c:v>
                </c:pt>
                <c:pt idx="4">
                  <c:v>85</c:v>
                </c:pt>
                <c:pt idx="5">
                  <c:v>86</c:v>
                </c:pt>
                <c:pt idx="6">
                  <c:v>88</c:v>
                </c:pt>
                <c:pt idx="7">
                  <c:v>88</c:v>
                </c:pt>
                <c:pt idx="8">
                  <c:v>85</c:v>
                </c:pt>
                <c:pt idx="9">
                  <c:v>82</c:v>
                </c:pt>
                <c:pt idx="10">
                  <c:v>80</c:v>
                </c:pt>
                <c:pt idx="11">
                  <c:v>83</c:v>
                </c:pt>
                <c:pt idx="12">
                  <c:v>86</c:v>
                </c:pt>
                <c:pt idx="13">
                  <c:v>92</c:v>
                </c:pt>
                <c:pt idx="14">
                  <c:v>97</c:v>
                </c:pt>
                <c:pt idx="15">
                  <c:v>101</c:v>
                </c:pt>
                <c:pt idx="16">
                  <c:v>104</c:v>
                </c:pt>
                <c:pt idx="17">
                  <c:v>107</c:v>
                </c:pt>
                <c:pt idx="18">
                  <c:v>107</c:v>
                </c:pt>
                <c:pt idx="19">
                  <c:v>102</c:v>
                </c:pt>
                <c:pt idx="20">
                  <c:v>97</c:v>
                </c:pt>
                <c:pt idx="21">
                  <c:v>94</c:v>
                </c:pt>
                <c:pt idx="22">
                  <c:v>94</c:v>
                </c:pt>
                <c:pt idx="23">
                  <c:v>94</c:v>
                </c:pt>
                <c:pt idx="24">
                  <c:v>96</c:v>
                </c:pt>
                <c:pt idx="25">
                  <c:v>97</c:v>
                </c:pt>
                <c:pt idx="26">
                  <c:v>98</c:v>
                </c:pt>
                <c:pt idx="27">
                  <c:v>98</c:v>
                </c:pt>
                <c:pt idx="28">
                  <c:v>99</c:v>
                </c:pt>
                <c:pt idx="29">
                  <c:v>99</c:v>
                </c:pt>
                <c:pt idx="30">
                  <c:v>102</c:v>
                </c:pt>
                <c:pt idx="31">
                  <c:v>102</c:v>
                </c:pt>
                <c:pt idx="32">
                  <c:v>102</c:v>
                </c:pt>
                <c:pt idx="33">
                  <c:v>99</c:v>
                </c:pt>
                <c:pt idx="34">
                  <c:v>99</c:v>
                </c:pt>
                <c:pt idx="35">
                  <c:v>99</c:v>
                </c:pt>
                <c:pt idx="36">
                  <c:v>102</c:v>
                </c:pt>
                <c:pt idx="37">
                  <c:v>102</c:v>
                </c:pt>
                <c:pt idx="38">
                  <c:v>102</c:v>
                </c:pt>
                <c:pt idx="39">
                  <c:v>102</c:v>
                </c:pt>
                <c:pt idx="40">
                  <c:v>102</c:v>
                </c:pt>
                <c:pt idx="41">
                  <c:v>102</c:v>
                </c:pt>
              </c:numCache>
            </c:numRef>
          </c:val>
          <c:extLst>
            <c:ext xmlns:c16="http://schemas.microsoft.com/office/drawing/2014/chart" uri="{C3380CC4-5D6E-409C-BE32-E72D297353CC}">
              <c16:uniqueId val="{0000000F-30D4-4A37-89B6-B381321CCAD9}"/>
            </c:ext>
          </c:extLst>
        </c:ser>
        <c:ser>
          <c:idx val="16"/>
          <c:order val="16"/>
          <c:tx>
            <c:strRef>
              <c:f>'Auto Correct IAP'!$R$1</c:f>
              <c:strCache>
                <c:ptCount val="1"/>
                <c:pt idx="0">
                  <c:v>16</c:v>
                </c:pt>
              </c:strCache>
            </c:strRef>
          </c:tx>
          <c:spPr>
            <a:solidFill>
              <a:schemeClr val="accent4">
                <a:shade val="61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IAP'!$R$2:$R$43</c:f>
              <c:numCache>
                <c:formatCode>0.0</c:formatCode>
                <c:ptCount val="42"/>
                <c:pt idx="0">
                  <c:v>103</c:v>
                </c:pt>
                <c:pt idx="1">
                  <c:v>103</c:v>
                </c:pt>
                <c:pt idx="2">
                  <c:v>119.78507462686565</c:v>
                </c:pt>
                <c:pt idx="3">
                  <c:v>89</c:v>
                </c:pt>
                <c:pt idx="4">
                  <c:v>88</c:v>
                </c:pt>
                <c:pt idx="5">
                  <c:v>90</c:v>
                </c:pt>
                <c:pt idx="6">
                  <c:v>92</c:v>
                </c:pt>
                <c:pt idx="7">
                  <c:v>92</c:v>
                </c:pt>
                <c:pt idx="8">
                  <c:v>90</c:v>
                </c:pt>
                <c:pt idx="9">
                  <c:v>88</c:v>
                </c:pt>
                <c:pt idx="10">
                  <c:v>88</c:v>
                </c:pt>
                <c:pt idx="11">
                  <c:v>90</c:v>
                </c:pt>
                <c:pt idx="12">
                  <c:v>92</c:v>
                </c:pt>
                <c:pt idx="13">
                  <c:v>99</c:v>
                </c:pt>
                <c:pt idx="14">
                  <c:v>104</c:v>
                </c:pt>
                <c:pt idx="15">
                  <c:v>108</c:v>
                </c:pt>
                <c:pt idx="16">
                  <c:v>111</c:v>
                </c:pt>
                <c:pt idx="17">
                  <c:v>112</c:v>
                </c:pt>
                <c:pt idx="18">
                  <c:v>112</c:v>
                </c:pt>
                <c:pt idx="19">
                  <c:v>109</c:v>
                </c:pt>
                <c:pt idx="20">
                  <c:v>104</c:v>
                </c:pt>
                <c:pt idx="21">
                  <c:v>102</c:v>
                </c:pt>
                <c:pt idx="22">
                  <c:v>101</c:v>
                </c:pt>
                <c:pt idx="23">
                  <c:v>103</c:v>
                </c:pt>
                <c:pt idx="24">
                  <c:v>107</c:v>
                </c:pt>
                <c:pt idx="25">
                  <c:v>107</c:v>
                </c:pt>
                <c:pt idx="26">
                  <c:v>108</c:v>
                </c:pt>
                <c:pt idx="27">
                  <c:v>108</c:v>
                </c:pt>
                <c:pt idx="28">
                  <c:v>108</c:v>
                </c:pt>
                <c:pt idx="29">
                  <c:v>109</c:v>
                </c:pt>
                <c:pt idx="30">
                  <c:v>109</c:v>
                </c:pt>
                <c:pt idx="31">
                  <c:v>109</c:v>
                </c:pt>
                <c:pt idx="32">
                  <c:v>109</c:v>
                </c:pt>
                <c:pt idx="33">
                  <c:v>108</c:v>
                </c:pt>
                <c:pt idx="34">
                  <c:v>104</c:v>
                </c:pt>
                <c:pt idx="35">
                  <c:v>104</c:v>
                </c:pt>
                <c:pt idx="36">
                  <c:v>104</c:v>
                </c:pt>
                <c:pt idx="37">
                  <c:v>104</c:v>
                </c:pt>
                <c:pt idx="38">
                  <c:v>104</c:v>
                </c:pt>
                <c:pt idx="39">
                  <c:v>104</c:v>
                </c:pt>
                <c:pt idx="40">
                  <c:v>104</c:v>
                </c:pt>
                <c:pt idx="41">
                  <c:v>104</c:v>
                </c:pt>
              </c:numCache>
            </c:numRef>
          </c:val>
          <c:extLst>
            <c:ext xmlns:c16="http://schemas.microsoft.com/office/drawing/2014/chart" uri="{C3380CC4-5D6E-409C-BE32-E72D297353CC}">
              <c16:uniqueId val="{00000010-30D4-4A37-89B6-B381321CCAD9}"/>
            </c:ext>
          </c:extLst>
        </c:ser>
        <c:ser>
          <c:idx val="17"/>
          <c:order val="17"/>
          <c:tx>
            <c:strRef>
              <c:f>'Auto Correct IAP'!$S$1</c:f>
              <c:strCache>
                <c:ptCount val="1"/>
                <c:pt idx="0">
                  <c:v>12</c:v>
                </c:pt>
              </c:strCache>
            </c:strRef>
          </c:tx>
          <c:spPr>
            <a:solidFill>
              <a:schemeClr val="accent4">
                <a:shade val="55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IAP'!$S$2:$S$43</c:f>
              <c:numCache>
                <c:formatCode>0.0</c:formatCode>
                <c:ptCount val="42"/>
                <c:pt idx="0">
                  <c:v>111</c:v>
                </c:pt>
                <c:pt idx="1">
                  <c:v>146.8955223880597</c:v>
                </c:pt>
                <c:pt idx="2">
                  <c:v>141.44776119402982</c:v>
                </c:pt>
                <c:pt idx="3">
                  <c:v>94</c:v>
                </c:pt>
                <c:pt idx="4">
                  <c:v>93</c:v>
                </c:pt>
                <c:pt idx="5">
                  <c:v>97</c:v>
                </c:pt>
                <c:pt idx="6">
                  <c:v>102</c:v>
                </c:pt>
                <c:pt idx="7">
                  <c:v>98</c:v>
                </c:pt>
                <c:pt idx="8">
                  <c:v>91</c:v>
                </c:pt>
                <c:pt idx="9">
                  <c:v>90</c:v>
                </c:pt>
                <c:pt idx="10">
                  <c:v>91</c:v>
                </c:pt>
                <c:pt idx="11">
                  <c:v>96</c:v>
                </c:pt>
                <c:pt idx="12">
                  <c:v>102</c:v>
                </c:pt>
                <c:pt idx="13">
                  <c:v>108</c:v>
                </c:pt>
                <c:pt idx="14">
                  <c:v>113</c:v>
                </c:pt>
                <c:pt idx="15">
                  <c:v>118</c:v>
                </c:pt>
                <c:pt idx="16">
                  <c:v>123</c:v>
                </c:pt>
                <c:pt idx="17">
                  <c:v>123</c:v>
                </c:pt>
                <c:pt idx="18">
                  <c:v>122</c:v>
                </c:pt>
                <c:pt idx="19">
                  <c:v>117</c:v>
                </c:pt>
                <c:pt idx="20">
                  <c:v>113</c:v>
                </c:pt>
                <c:pt idx="21">
                  <c:v>110</c:v>
                </c:pt>
                <c:pt idx="22">
                  <c:v>108</c:v>
                </c:pt>
                <c:pt idx="23">
                  <c:v>111</c:v>
                </c:pt>
                <c:pt idx="24">
                  <c:v>116</c:v>
                </c:pt>
                <c:pt idx="25">
                  <c:v>117</c:v>
                </c:pt>
                <c:pt idx="26">
                  <c:v>118</c:v>
                </c:pt>
                <c:pt idx="27">
                  <c:v>118</c:v>
                </c:pt>
                <c:pt idx="28">
                  <c:v>118</c:v>
                </c:pt>
                <c:pt idx="29">
                  <c:v>120</c:v>
                </c:pt>
                <c:pt idx="30">
                  <c:v>122</c:v>
                </c:pt>
                <c:pt idx="31">
                  <c:v>122</c:v>
                </c:pt>
                <c:pt idx="32">
                  <c:v>122</c:v>
                </c:pt>
                <c:pt idx="33">
                  <c:v>118</c:v>
                </c:pt>
                <c:pt idx="34">
                  <c:v>113</c:v>
                </c:pt>
                <c:pt idx="35">
                  <c:v>113</c:v>
                </c:pt>
                <c:pt idx="36">
                  <c:v>116</c:v>
                </c:pt>
                <c:pt idx="37">
                  <c:v>116</c:v>
                </c:pt>
                <c:pt idx="38">
                  <c:v>116</c:v>
                </c:pt>
                <c:pt idx="39">
                  <c:v>116</c:v>
                </c:pt>
                <c:pt idx="40">
                  <c:v>116</c:v>
                </c:pt>
                <c:pt idx="41">
                  <c:v>116</c:v>
                </c:pt>
              </c:numCache>
            </c:numRef>
          </c:val>
          <c:extLst>
            <c:ext xmlns:c16="http://schemas.microsoft.com/office/drawing/2014/chart" uri="{C3380CC4-5D6E-409C-BE32-E72D297353CC}">
              <c16:uniqueId val="{00000011-30D4-4A37-89B6-B381321CCAD9}"/>
            </c:ext>
          </c:extLst>
        </c:ser>
        <c:ser>
          <c:idx val="18"/>
          <c:order val="18"/>
          <c:tx>
            <c:strRef>
              <c:f>'Auto Correct IAP'!$T$1</c:f>
              <c:strCache>
                <c:ptCount val="1"/>
                <c:pt idx="0">
                  <c:v>8</c:v>
                </c:pt>
              </c:strCache>
            </c:strRef>
          </c:tx>
          <c:spPr>
            <a:solidFill>
              <a:schemeClr val="accent4">
                <a:shade val="49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IAP'!$T$2:$T$43</c:f>
              <c:numCache>
                <c:formatCode>0.0</c:formatCode>
                <c:ptCount val="42"/>
                <c:pt idx="0">
                  <c:v>122</c:v>
                </c:pt>
                <c:pt idx="1">
                  <c:v>168.43283582089552</c:v>
                </c:pt>
                <c:pt idx="2">
                  <c:v>119</c:v>
                </c:pt>
                <c:pt idx="3">
                  <c:v>109</c:v>
                </c:pt>
                <c:pt idx="4">
                  <c:v>107</c:v>
                </c:pt>
                <c:pt idx="5">
                  <c:v>108</c:v>
                </c:pt>
                <c:pt idx="6">
                  <c:v>116</c:v>
                </c:pt>
                <c:pt idx="7">
                  <c:v>111</c:v>
                </c:pt>
                <c:pt idx="8">
                  <c:v>103</c:v>
                </c:pt>
                <c:pt idx="9">
                  <c:v>101</c:v>
                </c:pt>
                <c:pt idx="10">
                  <c:v>101</c:v>
                </c:pt>
                <c:pt idx="11">
                  <c:v>107</c:v>
                </c:pt>
                <c:pt idx="12">
                  <c:v>114</c:v>
                </c:pt>
                <c:pt idx="13">
                  <c:v>120</c:v>
                </c:pt>
                <c:pt idx="14">
                  <c:v>128</c:v>
                </c:pt>
                <c:pt idx="15">
                  <c:v>132</c:v>
                </c:pt>
                <c:pt idx="16">
                  <c:v>136</c:v>
                </c:pt>
                <c:pt idx="17">
                  <c:v>136</c:v>
                </c:pt>
                <c:pt idx="18">
                  <c:v>135</c:v>
                </c:pt>
                <c:pt idx="19">
                  <c:v>133</c:v>
                </c:pt>
                <c:pt idx="20">
                  <c:v>131</c:v>
                </c:pt>
                <c:pt idx="21">
                  <c:v>130</c:v>
                </c:pt>
                <c:pt idx="22">
                  <c:v>130</c:v>
                </c:pt>
                <c:pt idx="23">
                  <c:v>130</c:v>
                </c:pt>
                <c:pt idx="24">
                  <c:v>132</c:v>
                </c:pt>
                <c:pt idx="25">
                  <c:v>135</c:v>
                </c:pt>
                <c:pt idx="26">
                  <c:v>139</c:v>
                </c:pt>
                <c:pt idx="27">
                  <c:v>141</c:v>
                </c:pt>
                <c:pt idx="28">
                  <c:v>139</c:v>
                </c:pt>
                <c:pt idx="29">
                  <c:v>140</c:v>
                </c:pt>
                <c:pt idx="30">
                  <c:v>149</c:v>
                </c:pt>
                <c:pt idx="31">
                  <c:v>150</c:v>
                </c:pt>
                <c:pt idx="32">
                  <c:v>145</c:v>
                </c:pt>
                <c:pt idx="33">
                  <c:v>143</c:v>
                </c:pt>
                <c:pt idx="34">
                  <c:v>141</c:v>
                </c:pt>
                <c:pt idx="35">
                  <c:v>140</c:v>
                </c:pt>
                <c:pt idx="36">
                  <c:v>140</c:v>
                </c:pt>
                <c:pt idx="37">
                  <c:v>140</c:v>
                </c:pt>
                <c:pt idx="38">
                  <c:v>140</c:v>
                </c:pt>
                <c:pt idx="39">
                  <c:v>140</c:v>
                </c:pt>
                <c:pt idx="40">
                  <c:v>140</c:v>
                </c:pt>
                <c:pt idx="41">
                  <c:v>140</c:v>
                </c:pt>
              </c:numCache>
            </c:numRef>
          </c:val>
          <c:extLst>
            <c:ext xmlns:c16="http://schemas.microsoft.com/office/drawing/2014/chart" uri="{C3380CC4-5D6E-409C-BE32-E72D297353CC}">
              <c16:uniqueId val="{00000012-30D4-4A37-89B6-B381321CCAD9}"/>
            </c:ext>
          </c:extLst>
        </c:ser>
        <c:ser>
          <c:idx val="19"/>
          <c:order val="19"/>
          <c:tx>
            <c:strRef>
              <c:f>'Auto Correct IAP'!$U$1</c:f>
              <c:strCache>
                <c:ptCount val="1"/>
                <c:pt idx="0">
                  <c:v>4</c:v>
                </c:pt>
              </c:strCache>
            </c:strRef>
          </c:tx>
          <c:spPr>
            <a:solidFill>
              <a:schemeClr val="accent4">
                <a:shade val="42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IAP'!$U$2:$U$43</c:f>
              <c:numCache>
                <c:formatCode>0.0</c:formatCode>
                <c:ptCount val="42"/>
                <c:pt idx="0">
                  <c:v>148</c:v>
                </c:pt>
                <c:pt idx="1">
                  <c:v>148</c:v>
                </c:pt>
                <c:pt idx="2">
                  <c:v>143</c:v>
                </c:pt>
                <c:pt idx="3">
                  <c:v>136</c:v>
                </c:pt>
                <c:pt idx="4">
                  <c:v>138</c:v>
                </c:pt>
                <c:pt idx="5">
                  <c:v>142</c:v>
                </c:pt>
                <c:pt idx="6">
                  <c:v>145</c:v>
                </c:pt>
                <c:pt idx="7">
                  <c:v>136</c:v>
                </c:pt>
                <c:pt idx="8">
                  <c:v>126</c:v>
                </c:pt>
                <c:pt idx="9">
                  <c:v>124</c:v>
                </c:pt>
                <c:pt idx="10">
                  <c:v>126</c:v>
                </c:pt>
                <c:pt idx="11">
                  <c:v>133</c:v>
                </c:pt>
                <c:pt idx="12">
                  <c:v>154</c:v>
                </c:pt>
                <c:pt idx="13">
                  <c:v>164</c:v>
                </c:pt>
                <c:pt idx="14">
                  <c:v>170</c:v>
                </c:pt>
                <c:pt idx="15">
                  <c:v>170</c:v>
                </c:pt>
                <c:pt idx="16">
                  <c:v>168</c:v>
                </c:pt>
                <c:pt idx="17">
                  <c:v>164</c:v>
                </c:pt>
                <c:pt idx="18">
                  <c:v>162</c:v>
                </c:pt>
                <c:pt idx="19">
                  <c:v>162</c:v>
                </c:pt>
                <c:pt idx="20">
                  <c:v>164</c:v>
                </c:pt>
                <c:pt idx="21">
                  <c:v>167</c:v>
                </c:pt>
                <c:pt idx="22">
                  <c:v>169</c:v>
                </c:pt>
                <c:pt idx="23">
                  <c:v>174</c:v>
                </c:pt>
                <c:pt idx="24">
                  <c:v>181</c:v>
                </c:pt>
                <c:pt idx="25">
                  <c:v>187</c:v>
                </c:pt>
                <c:pt idx="26">
                  <c:v>195</c:v>
                </c:pt>
                <c:pt idx="27">
                  <c:v>204</c:v>
                </c:pt>
                <c:pt idx="28">
                  <c:v>205</c:v>
                </c:pt>
                <c:pt idx="29">
                  <c:v>206</c:v>
                </c:pt>
                <c:pt idx="30">
                  <c:v>206</c:v>
                </c:pt>
                <c:pt idx="31">
                  <c:v>205</c:v>
                </c:pt>
                <c:pt idx="32">
                  <c:v>202</c:v>
                </c:pt>
                <c:pt idx="33">
                  <c:v>201</c:v>
                </c:pt>
                <c:pt idx="34">
                  <c:v>202</c:v>
                </c:pt>
                <c:pt idx="35">
                  <c:v>196</c:v>
                </c:pt>
                <c:pt idx="36">
                  <c:v>192</c:v>
                </c:pt>
                <c:pt idx="37">
                  <c:v>190</c:v>
                </c:pt>
                <c:pt idx="38">
                  <c:v>187</c:v>
                </c:pt>
                <c:pt idx="39">
                  <c:v>187</c:v>
                </c:pt>
                <c:pt idx="40">
                  <c:v>187</c:v>
                </c:pt>
                <c:pt idx="41">
                  <c:v>251.21172839506175</c:v>
                </c:pt>
              </c:numCache>
            </c:numRef>
          </c:val>
          <c:extLst>
            <c:ext xmlns:c16="http://schemas.microsoft.com/office/drawing/2014/chart" uri="{C3380CC4-5D6E-409C-BE32-E72D297353CC}">
              <c16:uniqueId val="{00000013-30D4-4A37-89B6-B381321CCAD9}"/>
            </c:ext>
          </c:extLst>
        </c:ser>
        <c:ser>
          <c:idx val="20"/>
          <c:order val="20"/>
          <c:tx>
            <c:strRef>
              <c:f>'Auto Correct IAP'!$V$1</c:f>
              <c:strCache>
                <c:ptCount val="1"/>
                <c:pt idx="0">
                  <c:v>0</c:v>
                </c:pt>
              </c:strCache>
            </c:strRef>
          </c:tx>
          <c:spPr>
            <a:solidFill>
              <a:schemeClr val="accent4">
                <a:shade val="36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IAP'!$V$2:$V$43</c:f>
              <c:numCache>
                <c:formatCode>0.0</c:formatCode>
                <c:ptCount val="42"/>
                <c:pt idx="0">
                  <c:v>158</c:v>
                </c:pt>
                <c:pt idx="1">
                  <c:v>158</c:v>
                </c:pt>
                <c:pt idx="2">
                  <c:v>149</c:v>
                </c:pt>
                <c:pt idx="3">
                  <c:v>146</c:v>
                </c:pt>
                <c:pt idx="4">
                  <c:v>148</c:v>
                </c:pt>
                <c:pt idx="5">
                  <c:v>156</c:v>
                </c:pt>
                <c:pt idx="6">
                  <c:v>155</c:v>
                </c:pt>
                <c:pt idx="7">
                  <c:v>158</c:v>
                </c:pt>
                <c:pt idx="8">
                  <c:v>163</c:v>
                </c:pt>
                <c:pt idx="9">
                  <c:v>168</c:v>
                </c:pt>
                <c:pt idx="10">
                  <c:v>174</c:v>
                </c:pt>
                <c:pt idx="11">
                  <c:v>180</c:v>
                </c:pt>
                <c:pt idx="12">
                  <c:v>185</c:v>
                </c:pt>
                <c:pt idx="13">
                  <c:v>187</c:v>
                </c:pt>
                <c:pt idx="14">
                  <c:v>189</c:v>
                </c:pt>
                <c:pt idx="15">
                  <c:v>194</c:v>
                </c:pt>
                <c:pt idx="16">
                  <c:v>198</c:v>
                </c:pt>
                <c:pt idx="17">
                  <c:v>198</c:v>
                </c:pt>
                <c:pt idx="18">
                  <c:v>198</c:v>
                </c:pt>
                <c:pt idx="19">
                  <c:v>194</c:v>
                </c:pt>
                <c:pt idx="20">
                  <c:v>192</c:v>
                </c:pt>
                <c:pt idx="21">
                  <c:v>192</c:v>
                </c:pt>
                <c:pt idx="22">
                  <c:v>192</c:v>
                </c:pt>
                <c:pt idx="23">
                  <c:v>196</c:v>
                </c:pt>
                <c:pt idx="24">
                  <c:v>204</c:v>
                </c:pt>
                <c:pt idx="25">
                  <c:v>208</c:v>
                </c:pt>
                <c:pt idx="26">
                  <c:v>215</c:v>
                </c:pt>
                <c:pt idx="27">
                  <c:v>225</c:v>
                </c:pt>
                <c:pt idx="28">
                  <c:v>228</c:v>
                </c:pt>
                <c:pt idx="29">
                  <c:v>231</c:v>
                </c:pt>
                <c:pt idx="30">
                  <c:v>231</c:v>
                </c:pt>
                <c:pt idx="31">
                  <c:v>233</c:v>
                </c:pt>
                <c:pt idx="32">
                  <c:v>231</c:v>
                </c:pt>
                <c:pt idx="33">
                  <c:v>229</c:v>
                </c:pt>
                <c:pt idx="34">
                  <c:v>231</c:v>
                </c:pt>
                <c:pt idx="35">
                  <c:v>228</c:v>
                </c:pt>
                <c:pt idx="36">
                  <c:v>225</c:v>
                </c:pt>
                <c:pt idx="37">
                  <c:v>220</c:v>
                </c:pt>
                <c:pt idx="38">
                  <c:v>217</c:v>
                </c:pt>
                <c:pt idx="39">
                  <c:v>211</c:v>
                </c:pt>
                <c:pt idx="40">
                  <c:v>211</c:v>
                </c:pt>
                <c:pt idx="41">
                  <c:v>211</c:v>
                </c:pt>
              </c:numCache>
            </c:numRef>
          </c:val>
          <c:extLst>
            <c:ext xmlns:c16="http://schemas.microsoft.com/office/drawing/2014/chart" uri="{C3380CC4-5D6E-409C-BE32-E72D297353CC}">
              <c16:uniqueId val="{00000014-30D4-4A37-89B6-B381321CCAD9}"/>
            </c:ext>
          </c:extLst>
        </c:ser>
        <c:bandFmts>
          <c:bandFmt>
            <c:idx val="0"/>
            <c:spPr>
              <a:solidFill>
                <a:schemeClr val="accent4">
                  <a:tint val="50000"/>
                </a:schemeClr>
              </a:solidFill>
              <a:ln/>
              <a:effectLst>
                <a:outerShdw blurRad="57150" dist="19050" dir="5400000" algn="ctr" rotWithShape="0">
                  <a:srgbClr val="000000">
                    <a:alpha val="63000"/>
                  </a:srgbClr>
                </a:outerShdw>
              </a:effectLst>
              <a:sp3d/>
            </c:spPr>
          </c:bandFmt>
          <c:bandFmt>
            <c:idx val="1"/>
            <c:spPr>
              <a:solidFill>
                <a:schemeClr val="accent4">
                  <a:tint val="70000"/>
                </a:schemeClr>
              </a:solidFill>
              <a:ln/>
              <a:effectLst>
                <a:outerShdw blurRad="57150" dist="19050" dir="5400000" algn="ctr" rotWithShape="0">
                  <a:srgbClr val="000000">
                    <a:alpha val="63000"/>
                  </a:srgbClr>
                </a:outerShdw>
              </a:effectLst>
              <a:sp3d/>
            </c:spPr>
          </c:bandFmt>
          <c:bandFmt>
            <c:idx val="2"/>
            <c:spPr>
              <a:solidFill>
                <a:schemeClr val="accent4">
                  <a:tint val="90000"/>
                </a:schemeClr>
              </a:solidFill>
              <a:ln/>
              <a:effectLst>
                <a:outerShdw blurRad="57150" dist="19050" dir="5400000" algn="ctr" rotWithShape="0">
                  <a:srgbClr val="000000">
                    <a:alpha val="63000"/>
                  </a:srgbClr>
                </a:outerShdw>
              </a:effectLst>
              <a:sp3d/>
            </c:spPr>
          </c:bandFmt>
          <c:bandFmt>
            <c:idx val="3"/>
            <c:spPr>
              <a:solidFill>
                <a:schemeClr val="accent4">
                  <a:shade val="90000"/>
                </a:schemeClr>
              </a:solidFill>
              <a:ln/>
              <a:effectLst>
                <a:outerShdw blurRad="57150" dist="19050" dir="5400000" algn="ctr" rotWithShape="0">
                  <a:srgbClr val="000000">
                    <a:alpha val="63000"/>
                  </a:srgbClr>
                </a:outerShdw>
              </a:effectLst>
              <a:sp3d/>
            </c:spPr>
          </c:bandFmt>
          <c:bandFmt>
            <c:idx val="4"/>
            <c:spPr>
              <a:solidFill>
                <a:schemeClr val="accent4">
                  <a:shade val="70000"/>
                </a:schemeClr>
              </a:solidFill>
              <a:ln/>
              <a:effectLst>
                <a:outerShdw blurRad="57150" dist="19050" dir="5400000" algn="ctr" rotWithShape="0">
                  <a:srgbClr val="000000">
                    <a:alpha val="63000"/>
                  </a:srgbClr>
                </a:outerShdw>
              </a:effectLst>
              <a:sp3d/>
            </c:spPr>
          </c:bandFmt>
          <c:bandFmt>
            <c:idx val="5"/>
            <c:spPr>
              <a:solidFill>
                <a:schemeClr val="accent4">
                  <a:shade val="50000"/>
                </a:schemeClr>
              </a:solidFill>
              <a:ln/>
              <a:effectLst>
                <a:outerShdw blurRad="57150" dist="19050" dir="5400000" algn="ctr" rotWithShape="0">
                  <a:srgbClr val="000000">
                    <a:alpha val="63000"/>
                  </a:srgbClr>
                </a:outerShdw>
              </a:effectLst>
              <a:sp3d/>
            </c:spPr>
          </c:bandFmt>
          <c:bandFmt>
            <c:idx val="6"/>
            <c:spPr>
              <a:solidFill>
                <a:schemeClr val="accent4">
                  <a:shade val="50000"/>
                </a:schemeClr>
              </a:solidFill>
              <a:ln/>
              <a:effectLst>
                <a:outerShdw blurRad="57150" dist="19050" dir="5400000" algn="ctr" rotWithShape="0">
                  <a:srgbClr val="000000">
                    <a:alpha val="63000"/>
                  </a:srgbClr>
                </a:outerShdw>
              </a:effectLst>
              <a:sp3d/>
            </c:spPr>
          </c:bandFmt>
          <c:bandFmt>
            <c:idx val="7"/>
            <c:spPr>
              <a:solidFill>
                <a:schemeClr val="accent4">
                  <a:shade val="50000"/>
                </a:schemeClr>
              </a:solidFill>
              <a:ln/>
              <a:effectLst>
                <a:outerShdw blurRad="57150" dist="19050" dir="5400000" algn="ctr" rotWithShape="0">
                  <a:srgbClr val="000000">
                    <a:alpha val="63000"/>
                  </a:srgbClr>
                </a:outerShdw>
              </a:effectLst>
              <a:sp3d/>
            </c:spPr>
          </c:bandFmt>
          <c:bandFmt>
            <c:idx val="8"/>
            <c:spPr>
              <a:solidFill>
                <a:schemeClr val="accent4">
                  <a:shade val="50000"/>
                </a:schemeClr>
              </a:solidFill>
              <a:ln/>
              <a:effectLst>
                <a:outerShdw blurRad="57150" dist="19050" dir="5400000" algn="ctr" rotWithShape="0">
                  <a:srgbClr val="000000">
                    <a:alpha val="63000"/>
                  </a:srgbClr>
                </a:outerShdw>
              </a:effectLst>
              <a:sp3d/>
            </c:spPr>
          </c:bandFmt>
          <c:bandFmt>
            <c:idx val="9"/>
            <c:spPr>
              <a:solidFill>
                <a:schemeClr val="accent4">
                  <a:shade val="50000"/>
                </a:schemeClr>
              </a:solidFill>
              <a:ln/>
              <a:effectLst>
                <a:outerShdw blurRad="57150" dist="19050" dir="5400000" algn="ctr" rotWithShape="0">
                  <a:srgbClr val="000000">
                    <a:alpha val="63000"/>
                  </a:srgbClr>
                </a:outerShdw>
              </a:effectLst>
              <a:sp3d/>
            </c:spPr>
          </c:bandFmt>
          <c:bandFmt>
            <c:idx val="10"/>
            <c:spPr>
              <a:solidFill>
                <a:schemeClr val="accent4">
                  <a:shade val="50000"/>
                </a:schemeClr>
              </a:solidFill>
              <a:ln/>
              <a:effectLst>
                <a:outerShdw blurRad="57150" dist="19050" dir="5400000" algn="ctr" rotWithShape="0">
                  <a:srgbClr val="000000">
                    <a:alpha val="63000"/>
                  </a:srgbClr>
                </a:outerShdw>
              </a:effectLst>
              <a:sp3d/>
            </c:spPr>
          </c:bandFmt>
          <c:bandFmt>
            <c:idx val="11"/>
            <c:spPr>
              <a:solidFill>
                <a:schemeClr val="accent4">
                  <a:shade val="50000"/>
                </a:schemeClr>
              </a:solidFill>
              <a:ln/>
              <a:effectLst>
                <a:outerShdw blurRad="57150" dist="19050" dir="5400000" algn="ctr" rotWithShape="0">
                  <a:srgbClr val="000000">
                    <a:alpha val="63000"/>
                  </a:srgbClr>
                </a:outerShdw>
              </a:effectLst>
              <a:sp3d/>
            </c:spPr>
          </c:bandFmt>
          <c:bandFmt>
            <c:idx val="12"/>
            <c:spPr>
              <a:solidFill>
                <a:schemeClr val="accent4">
                  <a:shade val="50000"/>
                </a:schemeClr>
              </a:solidFill>
              <a:ln/>
              <a:effectLst>
                <a:outerShdw blurRad="57150" dist="19050" dir="5400000" algn="ctr" rotWithShape="0">
                  <a:srgbClr val="000000">
                    <a:alpha val="63000"/>
                  </a:srgbClr>
                </a:outerShdw>
              </a:effectLst>
              <a:sp3d/>
            </c:spPr>
          </c:bandFmt>
          <c:bandFmt>
            <c:idx val="13"/>
            <c:spPr>
              <a:solidFill>
                <a:schemeClr val="accent4">
                  <a:shade val="50000"/>
                </a:schemeClr>
              </a:solidFill>
              <a:ln/>
              <a:effectLst>
                <a:outerShdw blurRad="57150" dist="19050" dir="5400000" algn="ctr" rotWithShape="0">
                  <a:srgbClr val="000000">
                    <a:alpha val="63000"/>
                  </a:srgbClr>
                </a:outerShdw>
              </a:effectLst>
              <a:sp3d/>
            </c:spPr>
          </c:bandFmt>
          <c:bandFmt>
            <c:idx val="14"/>
            <c:spPr>
              <a:solidFill>
                <a:schemeClr val="accent4">
                  <a:shade val="50000"/>
                </a:schemeClr>
              </a:solidFill>
              <a:ln/>
              <a:effectLst>
                <a:outerShdw blurRad="57150" dist="19050" dir="5400000" algn="ctr" rotWithShape="0">
                  <a:srgbClr val="000000">
                    <a:alpha val="63000"/>
                  </a:srgbClr>
                </a:outerShdw>
              </a:effectLst>
              <a:sp3d/>
            </c:spPr>
          </c:bandFmt>
        </c:bandFmts>
        <c:axId val="351080528"/>
        <c:axId val="351092592"/>
        <c:axId val="238532064"/>
      </c:surface3DChart>
      <c:catAx>
        <c:axId val="351080528"/>
        <c:scaling>
          <c:orientation val="minMax"/>
        </c:scaling>
        <c:delete val="0"/>
        <c:axPos val="b"/>
        <c:majorGridlines>
          <c:spPr>
            <a:ln w="9525" cap="flat" cmpd="sng" algn="ctr">
              <a:solidFill>
                <a:schemeClr val="dk1">
                  <a:lumMod val="50000"/>
                  <a:lumOff val="50000"/>
                </a:schemeClr>
              </a:solidFill>
              <a:prstDash val="solid"/>
              <a:round/>
            </a:ln>
            <a:effectLst/>
          </c:spPr>
        </c:majorGridlines>
        <c:numFmt formatCode="General" sourceLinked="1"/>
        <c:majorTickMark val="none"/>
        <c:minorTickMark val="none"/>
        <c:tickLblPos val="nextTo"/>
        <c:spPr>
          <a:noFill/>
          <a:ln w="9525" cap="flat" cmpd="sng" algn="ctr">
            <a:solidFill>
              <a:schemeClr val="dk1">
                <a:lumMod val="50000"/>
                <a:lumOff val="50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1092592"/>
        <c:crosses val="autoZero"/>
        <c:auto val="1"/>
        <c:lblAlgn val="ctr"/>
        <c:lblOffset val="100"/>
        <c:noMultiLvlLbl val="0"/>
      </c:catAx>
      <c:valAx>
        <c:axId val="351092592"/>
        <c:scaling>
          <c:orientation val="minMax"/>
        </c:scaling>
        <c:delete val="0"/>
        <c:axPos val="l"/>
        <c:majorGridlines>
          <c:spPr>
            <a:ln w="9525" cap="flat" cmpd="sng" algn="ctr">
              <a:solidFill>
                <a:schemeClr val="dk1">
                  <a:lumMod val="50000"/>
                  <a:lumOff val="50000"/>
                </a:schemeClr>
              </a:solidFill>
              <a:prstDash val="solid"/>
              <a:round/>
            </a:ln>
            <a:effectLst/>
          </c:spPr>
        </c:majorGridlines>
        <c:numFmt formatCode="0.0" sourceLinked="1"/>
        <c:majorTickMark val="none"/>
        <c:minorTickMark val="none"/>
        <c:tickLblPos val="nextTo"/>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1080528"/>
        <c:crosses val="autoZero"/>
        <c:crossBetween val="midCat"/>
      </c:valAx>
      <c:serAx>
        <c:axId val="238532064"/>
        <c:scaling>
          <c:orientation val="minMax"/>
        </c:scaling>
        <c:delete val="0"/>
        <c:axPos val="b"/>
        <c:majorGridlines>
          <c:spPr>
            <a:ln w="9525" cap="flat" cmpd="sng" algn="ctr">
              <a:solidFill>
                <a:schemeClr val="dk1">
                  <a:lumMod val="50000"/>
                  <a:lumOff val="50000"/>
                </a:schemeClr>
              </a:solidFill>
              <a:prstDash val="solid"/>
              <a:round/>
            </a:ln>
            <a:effectLst/>
          </c:spPr>
        </c:majorGridlines>
        <c:majorTickMark val="none"/>
        <c:minorTickMark val="none"/>
        <c:tickLblPos val="nextTo"/>
        <c:spPr>
          <a:noFill/>
          <a:ln w="9525" cap="flat" cmpd="sng" algn="ctr">
            <a:solidFill>
              <a:schemeClr val="dk1">
                <a:lumMod val="50000"/>
                <a:lumOff val="50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1092592"/>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w="6350"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81099</xdr:colOff>
      <xdr:row>35</xdr:row>
      <xdr:rowOff>29118</xdr:rowOff>
    </xdr:from>
    <xdr:to>
      <xdr:col>1</xdr:col>
      <xdr:colOff>357324</xdr:colOff>
      <xdr:row>38</xdr:row>
      <xdr:rowOff>38643</xdr:rowOff>
    </xdr:to>
    <xdr:sp macro="[0]!StartCode" textlink="">
      <xdr:nvSpPr>
        <xdr:cNvPr id="2" name="Rectangle: Rounded Corners 1">
          <a:extLst>
            <a:ext uri="{FF2B5EF4-FFF2-40B4-BE49-F238E27FC236}">
              <a16:creationId xmlns:a16="http://schemas.microsoft.com/office/drawing/2014/main" id="{985AB2FA-C76E-3BD7-314D-D2E661DC6E24}"/>
            </a:ext>
          </a:extLst>
        </xdr:cNvPr>
        <xdr:cNvSpPr/>
      </xdr:nvSpPr>
      <xdr:spPr>
        <a:xfrm>
          <a:off x="81099" y="4296318"/>
          <a:ext cx="1198245" cy="37528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Start Logging</a:t>
          </a:r>
        </a:p>
      </xdr:txBody>
    </xdr:sp>
    <xdr:clientData/>
  </xdr:twoCellAnchor>
  <xdr:twoCellAnchor>
    <xdr:from>
      <xdr:col>0</xdr:col>
      <xdr:colOff>81099</xdr:colOff>
      <xdr:row>38</xdr:row>
      <xdr:rowOff>118653</xdr:rowOff>
    </xdr:from>
    <xdr:to>
      <xdr:col>1</xdr:col>
      <xdr:colOff>357324</xdr:colOff>
      <xdr:row>42</xdr:row>
      <xdr:rowOff>34832</xdr:rowOff>
    </xdr:to>
    <xdr:sp macro="[0]!StopCode" textlink="">
      <xdr:nvSpPr>
        <xdr:cNvPr id="3" name="Rectangle: Rounded Corners 2">
          <a:extLst>
            <a:ext uri="{FF2B5EF4-FFF2-40B4-BE49-F238E27FC236}">
              <a16:creationId xmlns:a16="http://schemas.microsoft.com/office/drawing/2014/main" id="{A950623B-D0C8-414F-AAAC-0D8214743F5C}"/>
            </a:ext>
          </a:extLst>
        </xdr:cNvPr>
        <xdr:cNvSpPr/>
      </xdr:nvSpPr>
      <xdr:spPr>
        <a:xfrm>
          <a:off x="81099" y="4751613"/>
          <a:ext cx="1198245" cy="40385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Stop Logging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83820</xdr:colOff>
      <xdr:row>1</xdr:row>
      <xdr:rowOff>53340</xdr:rowOff>
    </xdr:from>
    <xdr:to>
      <xdr:col>3</xdr:col>
      <xdr:colOff>266699</xdr:colOff>
      <xdr:row>3</xdr:row>
      <xdr:rowOff>129540</xdr:rowOff>
    </xdr:to>
    <xdr:sp macro="[0]!analyzeData" textlink="">
      <xdr:nvSpPr>
        <xdr:cNvPr id="2" name="Rounded Rectangle 1">
          <a:extLst>
            <a:ext uri="{FF2B5EF4-FFF2-40B4-BE49-F238E27FC236}">
              <a16:creationId xmlns:a16="http://schemas.microsoft.com/office/drawing/2014/main" id="{00000000-0008-0000-0000-000002000000}"/>
            </a:ext>
          </a:extLst>
        </xdr:cNvPr>
        <xdr:cNvSpPr/>
      </xdr:nvSpPr>
      <xdr:spPr>
        <a:xfrm>
          <a:off x="83820" y="220980"/>
          <a:ext cx="2011679" cy="41148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Import Log</a:t>
          </a:r>
          <a:r>
            <a:rPr lang="en-US" sz="1800" baseline="0"/>
            <a:t> Data</a:t>
          </a:r>
          <a:endParaRPr lang="en-US" sz="1800"/>
        </a:p>
      </xdr:txBody>
    </xdr:sp>
    <xdr:clientData/>
  </xdr:twoCellAnchor>
  <xdr:twoCellAnchor>
    <xdr:from>
      <xdr:col>0</xdr:col>
      <xdr:colOff>91440</xdr:colOff>
      <xdr:row>4</xdr:row>
      <xdr:rowOff>83820</xdr:rowOff>
    </xdr:from>
    <xdr:to>
      <xdr:col>3</xdr:col>
      <xdr:colOff>274319</xdr:colOff>
      <xdr:row>6</xdr:row>
      <xdr:rowOff>160020</xdr:rowOff>
    </xdr:to>
    <xdr:sp macro="[0]!loadMap" textlink="">
      <xdr:nvSpPr>
        <xdr:cNvPr id="3" name="Rounded Rectangle 1">
          <a:extLst>
            <a:ext uri="{FF2B5EF4-FFF2-40B4-BE49-F238E27FC236}">
              <a16:creationId xmlns:a16="http://schemas.microsoft.com/office/drawing/2014/main" id="{88194EFA-85D2-408F-A296-EBB62D789BEF}"/>
            </a:ext>
          </a:extLst>
        </xdr:cNvPr>
        <xdr:cNvSpPr/>
      </xdr:nvSpPr>
      <xdr:spPr>
        <a:xfrm>
          <a:off x="91440" y="762000"/>
          <a:ext cx="2011679" cy="41148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Import Tune</a:t>
          </a:r>
          <a:r>
            <a:rPr lang="en-US" sz="1800" baseline="0"/>
            <a:t> Data</a:t>
          </a:r>
          <a:endParaRPr lang="en-US" sz="18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24</xdr:col>
      <xdr:colOff>269874</xdr:colOff>
      <xdr:row>3</xdr:row>
      <xdr:rowOff>73024</xdr:rowOff>
    </xdr:from>
    <xdr:to>
      <xdr:col>35</xdr:col>
      <xdr:colOff>304800</xdr:colOff>
      <xdr:row>43</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22</xdr:col>
      <xdr:colOff>209550</xdr:colOff>
      <xdr:row>3</xdr:row>
      <xdr:rowOff>114300</xdr:rowOff>
    </xdr:from>
    <xdr:to>
      <xdr:col>33</xdr:col>
      <xdr:colOff>82549</xdr:colOff>
      <xdr:row>42</xdr:row>
      <xdr:rowOff>165100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24</xdr:col>
      <xdr:colOff>304800</xdr:colOff>
      <xdr:row>0</xdr:row>
      <xdr:rowOff>57150</xdr:rowOff>
    </xdr:from>
    <xdr:to>
      <xdr:col>34</xdr:col>
      <xdr:colOff>209550</xdr:colOff>
      <xdr:row>42</xdr:row>
      <xdr:rowOff>101600</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22</xdr:col>
      <xdr:colOff>409574</xdr:colOff>
      <xdr:row>0</xdr:row>
      <xdr:rowOff>127000</xdr:rowOff>
    </xdr:from>
    <xdr:to>
      <xdr:col>38</xdr:col>
      <xdr:colOff>152400</xdr:colOff>
      <xdr:row>42</xdr:row>
      <xdr:rowOff>133350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149224</xdr:colOff>
      <xdr:row>0</xdr:row>
      <xdr:rowOff>60324</xdr:rowOff>
    </xdr:from>
    <xdr:to>
      <xdr:col>40</xdr:col>
      <xdr:colOff>101600</xdr:colOff>
      <xdr:row>43</xdr:row>
      <xdr:rowOff>6349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22</xdr:col>
      <xdr:colOff>133350</xdr:colOff>
      <xdr:row>0</xdr:row>
      <xdr:rowOff>31750</xdr:rowOff>
    </xdr:from>
    <xdr:to>
      <xdr:col>39</xdr:col>
      <xdr:colOff>444500</xdr:colOff>
      <xdr:row>43</xdr:row>
      <xdr:rowOff>19050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24</xdr:col>
      <xdr:colOff>63500</xdr:colOff>
      <xdr:row>0</xdr:row>
      <xdr:rowOff>31750</xdr:rowOff>
    </xdr:from>
    <xdr:to>
      <xdr:col>38</xdr:col>
      <xdr:colOff>450850</xdr:colOff>
      <xdr:row>43</xdr:row>
      <xdr:rowOff>44450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22</xdr:col>
      <xdr:colOff>95250</xdr:colOff>
      <xdr:row>0</xdr:row>
      <xdr:rowOff>47624</xdr:rowOff>
    </xdr:from>
    <xdr:to>
      <xdr:col>37</xdr:col>
      <xdr:colOff>533399</xdr:colOff>
      <xdr:row>42</xdr:row>
      <xdr:rowOff>165099</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EDD61-30E3-4316-899B-89DE0B1F3792}">
  <sheetPr codeName="Sheet10"/>
  <dimension ref="A1:AY44"/>
  <sheetViews>
    <sheetView zoomScaleNormal="100" workbookViewId="0">
      <selection activeCell="AD2" sqref="AD2:AX2"/>
    </sheetView>
  </sheetViews>
  <sheetFormatPr defaultColWidth="3.44140625" defaultRowHeight="10.050000000000001" customHeight="1" x14ac:dyDescent="0.25"/>
  <cols>
    <col min="1" max="1" width="13.44140625" bestFit="1" customWidth="1"/>
    <col min="2" max="2" width="7.6640625" customWidth="1"/>
    <col min="3" max="3" width="1.44140625" customWidth="1"/>
    <col min="4" max="4" width="4.6640625" style="40" bestFit="1" customWidth="1"/>
    <col min="5" max="27" width="3.88671875" style="40" customWidth="1"/>
    <col min="28" max="28" width="1.21875" style="40" customWidth="1"/>
    <col min="29" max="29" width="4.6640625" style="40" bestFit="1" customWidth="1"/>
    <col min="30" max="50" width="3.88671875" style="40" customWidth="1"/>
    <col min="51" max="51" width="3.109375" customWidth="1"/>
  </cols>
  <sheetData>
    <row r="1" spans="1:51" ht="10.050000000000001" customHeight="1" thickBot="1" x14ac:dyDescent="0.35">
      <c r="A1" s="33" t="s">
        <v>11</v>
      </c>
      <c r="B1" s="28"/>
      <c r="C1" s="28"/>
      <c r="D1" s="47" t="s">
        <v>5</v>
      </c>
      <c r="E1" s="48"/>
      <c r="F1" s="48"/>
      <c r="G1" s="48"/>
      <c r="H1" s="48"/>
      <c r="I1" s="48"/>
      <c r="J1" s="48"/>
      <c r="K1" s="48"/>
      <c r="L1" s="48"/>
      <c r="M1" s="48"/>
      <c r="N1" s="48"/>
      <c r="O1" s="48"/>
      <c r="P1" s="48"/>
      <c r="Q1" s="48"/>
      <c r="R1" s="48"/>
      <c r="S1" s="48"/>
      <c r="T1" s="48"/>
      <c r="U1" s="48"/>
      <c r="V1" s="48"/>
      <c r="W1" s="48"/>
      <c r="X1" s="48"/>
      <c r="Y1" s="48"/>
      <c r="Z1" s="48"/>
      <c r="AA1" s="48"/>
      <c r="AB1" s="48"/>
      <c r="AC1" s="48"/>
      <c r="AD1" s="48"/>
      <c r="AE1" s="48"/>
      <c r="AF1" s="48"/>
      <c r="AG1" s="48"/>
      <c r="AH1" s="48"/>
      <c r="AI1" s="48"/>
      <c r="AJ1" s="48"/>
      <c r="AK1" s="48"/>
      <c r="AL1" s="48"/>
      <c r="AM1" s="48"/>
      <c r="AN1" s="48"/>
      <c r="AO1" s="48"/>
      <c r="AP1" s="48"/>
      <c r="AQ1" s="48"/>
      <c r="AR1" s="48"/>
      <c r="AS1" s="48"/>
      <c r="AT1" s="48"/>
      <c r="AU1" s="48"/>
      <c r="AV1" s="48"/>
      <c r="AW1" s="48"/>
      <c r="AX1" s="49"/>
      <c r="AY1" s="28"/>
    </row>
    <row r="2" spans="1:51" ht="10.050000000000001" customHeight="1" x14ac:dyDescent="0.25">
      <c r="A2" s="54" t="s">
        <v>16</v>
      </c>
      <c r="B2" s="55"/>
      <c r="C2" s="28"/>
      <c r="D2" s="34" t="s">
        <v>0</v>
      </c>
      <c r="E2" s="35">
        <v>0</v>
      </c>
      <c r="F2" s="35">
        <v>0.6</v>
      </c>
      <c r="G2" s="35">
        <v>1.2</v>
      </c>
      <c r="H2" s="35">
        <v>1.9</v>
      </c>
      <c r="I2" s="35">
        <v>2.5</v>
      </c>
      <c r="J2" s="35">
        <v>3.1</v>
      </c>
      <c r="K2" s="35">
        <v>3.7</v>
      </c>
      <c r="L2" s="35">
        <v>4.4000000000000004</v>
      </c>
      <c r="M2" s="35">
        <v>5.6</v>
      </c>
      <c r="N2" s="35">
        <v>6.8</v>
      </c>
      <c r="O2" s="35">
        <v>8.1</v>
      </c>
      <c r="P2" s="35">
        <v>9.3000000000000007</v>
      </c>
      <c r="Q2" s="35">
        <v>10.6</v>
      </c>
      <c r="R2" s="35">
        <v>15.5</v>
      </c>
      <c r="S2" s="35">
        <v>20.5</v>
      </c>
      <c r="T2" s="35">
        <v>25.5</v>
      </c>
      <c r="U2" s="35">
        <v>30.5</v>
      </c>
      <c r="V2" s="35">
        <v>40.4</v>
      </c>
      <c r="W2" s="35">
        <v>50.4</v>
      </c>
      <c r="X2" s="35">
        <v>60.3</v>
      </c>
      <c r="Y2" s="35">
        <v>70.3</v>
      </c>
      <c r="Z2" s="35">
        <v>90.2</v>
      </c>
      <c r="AA2" s="36">
        <v>100</v>
      </c>
      <c r="AB2" s="37"/>
      <c r="AC2" s="34" t="s">
        <v>1</v>
      </c>
      <c r="AD2" s="35">
        <v>120</v>
      </c>
      <c r="AE2" s="35">
        <v>104</v>
      </c>
      <c r="AF2" s="35">
        <v>88</v>
      </c>
      <c r="AG2" s="35">
        <v>72</v>
      </c>
      <c r="AH2" s="35">
        <v>68</v>
      </c>
      <c r="AI2" s="35">
        <v>64</v>
      </c>
      <c r="AJ2" s="35">
        <v>60</v>
      </c>
      <c r="AK2" s="35">
        <v>56</v>
      </c>
      <c r="AL2" s="35">
        <v>52</v>
      </c>
      <c r="AM2" s="35">
        <v>48</v>
      </c>
      <c r="AN2" s="35">
        <v>44</v>
      </c>
      <c r="AO2" s="35">
        <v>40</v>
      </c>
      <c r="AP2" s="35">
        <v>36</v>
      </c>
      <c r="AQ2" s="35">
        <v>32</v>
      </c>
      <c r="AR2" s="35">
        <v>24</v>
      </c>
      <c r="AS2" s="35">
        <v>20</v>
      </c>
      <c r="AT2" s="35">
        <v>16</v>
      </c>
      <c r="AU2" s="35">
        <v>12</v>
      </c>
      <c r="AV2" s="35">
        <v>8</v>
      </c>
      <c r="AW2" s="35">
        <v>4</v>
      </c>
      <c r="AX2" s="36">
        <v>0</v>
      </c>
      <c r="AY2" s="28"/>
    </row>
    <row r="3" spans="1:51" ht="10.050000000000001" customHeight="1" thickBot="1" x14ac:dyDescent="0.3">
      <c r="A3" s="56"/>
      <c r="B3" s="57"/>
      <c r="C3" s="28"/>
      <c r="D3" s="38">
        <v>800</v>
      </c>
      <c r="E3" s="29"/>
      <c r="F3" s="29"/>
      <c r="G3" s="29"/>
      <c r="H3" s="29"/>
      <c r="I3" s="29"/>
      <c r="J3" s="29"/>
      <c r="K3" s="29"/>
      <c r="L3" s="29"/>
      <c r="M3" s="29"/>
      <c r="N3" s="29"/>
      <c r="O3" s="29"/>
      <c r="P3" s="29"/>
      <c r="Q3" s="29"/>
      <c r="R3" s="29"/>
      <c r="S3" s="29"/>
      <c r="T3" s="29"/>
      <c r="U3" s="29"/>
      <c r="V3" s="29"/>
      <c r="W3" s="29"/>
      <c r="X3" s="29"/>
      <c r="Y3" s="29"/>
      <c r="Z3" s="29"/>
      <c r="AA3" s="30"/>
      <c r="AB3" s="37"/>
      <c r="AC3" s="38">
        <v>800</v>
      </c>
      <c r="AD3" s="29"/>
      <c r="AE3" s="29"/>
      <c r="AF3" s="29"/>
      <c r="AG3" s="29"/>
      <c r="AH3" s="29"/>
      <c r="AI3" s="29"/>
      <c r="AJ3" s="29"/>
      <c r="AK3" s="29"/>
      <c r="AL3" s="29"/>
      <c r="AM3" s="29"/>
      <c r="AN3" s="29"/>
      <c r="AO3" s="29"/>
      <c r="AP3" s="29"/>
      <c r="AQ3" s="29"/>
      <c r="AR3" s="29"/>
      <c r="AS3" s="29"/>
      <c r="AT3" s="29"/>
      <c r="AU3" s="29"/>
      <c r="AV3" s="29"/>
      <c r="AW3" s="29"/>
      <c r="AX3" s="30"/>
      <c r="AY3" s="28"/>
    </row>
    <row r="4" spans="1:51" ht="10.050000000000001" customHeight="1" x14ac:dyDescent="0.25">
      <c r="A4" s="41" t="s">
        <v>13</v>
      </c>
      <c r="B4" s="41">
        <v>7</v>
      </c>
      <c r="C4" s="28"/>
      <c r="D4" s="38">
        <v>1000</v>
      </c>
      <c r="E4" s="29"/>
      <c r="F4" s="29"/>
      <c r="G4" s="29"/>
      <c r="H4" s="29"/>
      <c r="I4" s="29"/>
      <c r="J4" s="29"/>
      <c r="K4" s="29"/>
      <c r="L4" s="29"/>
      <c r="M4" s="29"/>
      <c r="N4" s="29"/>
      <c r="O4" s="29"/>
      <c r="P4" s="29"/>
      <c r="Q4" s="29"/>
      <c r="R4" s="29"/>
      <c r="S4" s="29"/>
      <c r="T4" s="29"/>
      <c r="U4" s="29"/>
      <c r="V4" s="29"/>
      <c r="W4" s="29"/>
      <c r="X4" s="29"/>
      <c r="Y4" s="29"/>
      <c r="Z4" s="29"/>
      <c r="AA4" s="30"/>
      <c r="AB4" s="37"/>
      <c r="AC4" s="38">
        <v>1000</v>
      </c>
      <c r="AD4" s="29"/>
      <c r="AE4" s="29"/>
      <c r="AF4" s="29"/>
      <c r="AG4" s="29"/>
      <c r="AH4" s="29"/>
      <c r="AI4" s="29"/>
      <c r="AJ4" s="29"/>
      <c r="AK4" s="29"/>
      <c r="AL4" s="29"/>
      <c r="AM4" s="29"/>
      <c r="AN4" s="29"/>
      <c r="AO4" s="29"/>
      <c r="AP4" s="29"/>
      <c r="AQ4" s="29"/>
      <c r="AR4" s="29"/>
      <c r="AS4" s="29"/>
      <c r="AT4" s="29"/>
      <c r="AU4" s="29"/>
      <c r="AV4" s="29"/>
      <c r="AW4" s="29"/>
      <c r="AX4" s="30"/>
      <c r="AY4" s="28"/>
    </row>
    <row r="5" spans="1:51" ht="10.050000000000001" customHeight="1" thickBot="1" x14ac:dyDescent="0.3">
      <c r="A5" s="42"/>
      <c r="B5" s="42"/>
      <c r="C5" s="28"/>
      <c r="D5" s="38">
        <v>1200</v>
      </c>
      <c r="E5" s="29"/>
      <c r="F5" s="29"/>
      <c r="G5" s="29"/>
      <c r="H5" s="29"/>
      <c r="I5" s="29"/>
      <c r="J5" s="29"/>
      <c r="K5" s="29"/>
      <c r="L5" s="29"/>
      <c r="M5" s="29"/>
      <c r="N5" s="29"/>
      <c r="O5" s="29"/>
      <c r="P5" s="29"/>
      <c r="Q5" s="29"/>
      <c r="R5" s="29"/>
      <c r="S5" s="29"/>
      <c r="T5" s="29"/>
      <c r="U5" s="29"/>
      <c r="V5" s="29"/>
      <c r="W5" s="29"/>
      <c r="X5" s="29"/>
      <c r="Y5" s="29"/>
      <c r="Z5" s="29"/>
      <c r="AA5" s="30"/>
      <c r="AB5" s="37"/>
      <c r="AC5" s="38">
        <v>1200</v>
      </c>
      <c r="AD5" s="29"/>
      <c r="AE5" s="29"/>
      <c r="AF5" s="29"/>
      <c r="AG5" s="29"/>
      <c r="AH5" s="29"/>
      <c r="AI5" s="29"/>
      <c r="AJ5" s="29"/>
      <c r="AK5" s="29"/>
      <c r="AL5" s="29"/>
      <c r="AM5" s="29"/>
      <c r="AN5" s="29"/>
      <c r="AO5" s="29"/>
      <c r="AP5" s="29"/>
      <c r="AQ5" s="29"/>
      <c r="AR5" s="29"/>
      <c r="AS5" s="29"/>
      <c r="AT5" s="29"/>
      <c r="AU5" s="29"/>
      <c r="AV5" s="29"/>
      <c r="AW5" s="29"/>
      <c r="AX5" s="30"/>
      <c r="AY5" s="28"/>
    </row>
    <row r="6" spans="1:51" ht="10.050000000000001" customHeight="1" x14ac:dyDescent="0.25">
      <c r="A6" s="41" t="s">
        <v>3</v>
      </c>
      <c r="B6" s="58" t="s">
        <v>18</v>
      </c>
      <c r="C6" s="28"/>
      <c r="D6" s="38">
        <v>1400</v>
      </c>
      <c r="E6" s="29"/>
      <c r="F6" s="29"/>
      <c r="G6" s="29"/>
      <c r="H6" s="29"/>
      <c r="I6" s="29"/>
      <c r="J6" s="29"/>
      <c r="K6" s="29"/>
      <c r="L6" s="29"/>
      <c r="M6" s="29"/>
      <c r="N6" s="29"/>
      <c r="O6" s="29"/>
      <c r="P6" s="29"/>
      <c r="Q6" s="29"/>
      <c r="R6" s="29"/>
      <c r="S6" s="29"/>
      <c r="T6" s="29"/>
      <c r="U6" s="29"/>
      <c r="V6" s="29"/>
      <c r="W6" s="29"/>
      <c r="X6" s="29"/>
      <c r="Y6" s="29"/>
      <c r="Z6" s="29"/>
      <c r="AA6" s="30"/>
      <c r="AB6" s="37"/>
      <c r="AC6" s="38">
        <v>1400</v>
      </c>
      <c r="AD6" s="29"/>
      <c r="AE6" s="29"/>
      <c r="AF6" s="29"/>
      <c r="AG6" s="29"/>
      <c r="AH6" s="29"/>
      <c r="AI6" s="29"/>
      <c r="AJ6" s="29"/>
      <c r="AK6" s="29"/>
      <c r="AL6" s="29"/>
      <c r="AM6" s="29"/>
      <c r="AN6" s="29"/>
      <c r="AO6" s="29"/>
      <c r="AP6" s="29"/>
      <c r="AQ6" s="29"/>
      <c r="AR6" s="29"/>
      <c r="AS6" s="29"/>
      <c r="AT6" s="29"/>
      <c r="AU6" s="29"/>
      <c r="AV6" s="29"/>
      <c r="AW6" s="29"/>
      <c r="AX6" s="30"/>
      <c r="AY6" s="28"/>
    </row>
    <row r="7" spans="1:51" ht="10.050000000000001" customHeight="1" thickBot="1" x14ac:dyDescent="0.3">
      <c r="A7" s="42"/>
      <c r="B7" s="59"/>
      <c r="C7" s="28"/>
      <c r="D7" s="38">
        <v>1600</v>
      </c>
      <c r="E7" s="29"/>
      <c r="F7" s="29"/>
      <c r="G7" s="29"/>
      <c r="H7" s="29"/>
      <c r="I7" s="29"/>
      <c r="J7" s="29"/>
      <c r="K7" s="29"/>
      <c r="L7" s="29"/>
      <c r="M7" s="29"/>
      <c r="N7" s="29"/>
      <c r="O7" s="29"/>
      <c r="P7" s="29"/>
      <c r="Q7" s="29"/>
      <c r="R7" s="29"/>
      <c r="S7" s="29"/>
      <c r="T7" s="29"/>
      <c r="U7" s="29"/>
      <c r="V7" s="29"/>
      <c r="W7" s="29"/>
      <c r="X7" s="29"/>
      <c r="Y7" s="29"/>
      <c r="Z7" s="29"/>
      <c r="AA7" s="30"/>
      <c r="AB7" s="37"/>
      <c r="AC7" s="38">
        <v>1600</v>
      </c>
      <c r="AD7" s="29"/>
      <c r="AE7" s="29"/>
      <c r="AF7" s="29"/>
      <c r="AG7" s="29"/>
      <c r="AH7" s="29"/>
      <c r="AI7" s="29"/>
      <c r="AJ7" s="29"/>
      <c r="AK7" s="29"/>
      <c r="AL7" s="29"/>
      <c r="AM7" s="29"/>
      <c r="AN7" s="29"/>
      <c r="AO7" s="29"/>
      <c r="AP7" s="29"/>
      <c r="AQ7" s="29"/>
      <c r="AR7" s="29"/>
      <c r="AS7" s="29"/>
      <c r="AT7" s="29"/>
      <c r="AU7" s="29"/>
      <c r="AV7" s="29"/>
      <c r="AW7" s="29"/>
      <c r="AX7" s="30"/>
      <c r="AY7" s="28"/>
    </row>
    <row r="8" spans="1:51" ht="10.050000000000001" customHeight="1" thickBot="1" x14ac:dyDescent="0.3">
      <c r="C8" s="28"/>
      <c r="D8" s="38">
        <v>1800</v>
      </c>
      <c r="E8" s="29"/>
      <c r="F8" s="29"/>
      <c r="G8" s="29"/>
      <c r="H8" s="29"/>
      <c r="I8" s="29"/>
      <c r="J8" s="29"/>
      <c r="K8" s="29"/>
      <c r="L8" s="29"/>
      <c r="M8" s="29"/>
      <c r="N8" s="29"/>
      <c r="O8" s="29"/>
      <c r="P8" s="29"/>
      <c r="Q8" s="29"/>
      <c r="R8" s="29"/>
      <c r="S8" s="29"/>
      <c r="T8" s="29"/>
      <c r="U8" s="29"/>
      <c r="V8" s="29"/>
      <c r="W8" s="29"/>
      <c r="X8" s="29"/>
      <c r="Y8" s="29"/>
      <c r="Z8" s="29"/>
      <c r="AA8" s="30"/>
      <c r="AB8" s="37"/>
      <c r="AC8" s="38">
        <v>1800</v>
      </c>
      <c r="AD8" s="29"/>
      <c r="AE8" s="29"/>
      <c r="AF8" s="29"/>
      <c r="AG8" s="29"/>
      <c r="AH8" s="29"/>
      <c r="AI8" s="29"/>
      <c r="AJ8" s="29"/>
      <c r="AK8" s="29"/>
      <c r="AL8" s="29"/>
      <c r="AM8" s="29"/>
      <c r="AN8" s="29"/>
      <c r="AO8" s="29"/>
      <c r="AP8" s="29"/>
      <c r="AQ8" s="29"/>
      <c r="AR8" s="29"/>
      <c r="AS8" s="29"/>
      <c r="AT8" s="29"/>
      <c r="AU8" s="29"/>
      <c r="AV8" s="29"/>
      <c r="AW8" s="29"/>
      <c r="AX8" s="30"/>
      <c r="AY8" s="28"/>
    </row>
    <row r="9" spans="1:51" ht="10.050000000000001" customHeight="1" x14ac:dyDescent="0.25">
      <c r="A9" s="41" t="s">
        <v>12</v>
      </c>
      <c r="B9" s="58">
        <v>4</v>
      </c>
      <c r="C9" s="28"/>
      <c r="D9" s="38">
        <v>2000</v>
      </c>
      <c r="E9" s="29"/>
      <c r="F9" s="29"/>
      <c r="G9" s="29"/>
      <c r="H9" s="29"/>
      <c r="I9" s="29"/>
      <c r="J9" s="29"/>
      <c r="K9" s="29"/>
      <c r="L9" s="29"/>
      <c r="M9" s="29"/>
      <c r="N9" s="29"/>
      <c r="O9" s="29"/>
      <c r="P9" s="29"/>
      <c r="Q9" s="29"/>
      <c r="R9" s="29"/>
      <c r="S9" s="29"/>
      <c r="T9" s="29"/>
      <c r="U9" s="29"/>
      <c r="V9" s="29"/>
      <c r="W9" s="29"/>
      <c r="X9" s="29"/>
      <c r="Y9" s="29"/>
      <c r="Z9" s="29"/>
      <c r="AA9" s="30"/>
      <c r="AB9" s="37"/>
      <c r="AC9" s="38">
        <v>2000</v>
      </c>
      <c r="AD9" s="29"/>
      <c r="AE9" s="29"/>
      <c r="AF9" s="29"/>
      <c r="AG9" s="29"/>
      <c r="AH9" s="29"/>
      <c r="AI9" s="29"/>
      <c r="AJ9" s="29"/>
      <c r="AK9" s="29"/>
      <c r="AL9" s="29"/>
      <c r="AM9" s="29"/>
      <c r="AN9" s="29"/>
      <c r="AO9" s="29"/>
      <c r="AP9" s="29"/>
      <c r="AQ9" s="29"/>
      <c r="AR9" s="29"/>
      <c r="AS9" s="29"/>
      <c r="AT9" s="29"/>
      <c r="AU9" s="29"/>
      <c r="AV9" s="29"/>
      <c r="AW9" s="29"/>
      <c r="AX9" s="30"/>
      <c r="AY9" s="28"/>
    </row>
    <row r="10" spans="1:51" ht="10.050000000000001" customHeight="1" thickBot="1" x14ac:dyDescent="0.3">
      <c r="A10" s="42"/>
      <c r="B10" s="59"/>
      <c r="C10" s="28"/>
      <c r="D10" s="38">
        <v>2200</v>
      </c>
      <c r="E10" s="29"/>
      <c r="F10" s="29"/>
      <c r="G10" s="29"/>
      <c r="H10" s="29"/>
      <c r="I10" s="29"/>
      <c r="J10" s="29"/>
      <c r="K10" s="29"/>
      <c r="L10" s="29"/>
      <c r="M10" s="29"/>
      <c r="N10" s="29"/>
      <c r="O10" s="29"/>
      <c r="P10" s="29"/>
      <c r="Q10" s="29"/>
      <c r="R10" s="29"/>
      <c r="S10" s="29"/>
      <c r="T10" s="29"/>
      <c r="U10" s="29"/>
      <c r="V10" s="29"/>
      <c r="W10" s="29"/>
      <c r="X10" s="29"/>
      <c r="Y10" s="29"/>
      <c r="Z10" s="29"/>
      <c r="AA10" s="30"/>
      <c r="AB10" s="37"/>
      <c r="AC10" s="38">
        <v>2200</v>
      </c>
      <c r="AD10" s="29"/>
      <c r="AE10" s="29"/>
      <c r="AF10" s="29"/>
      <c r="AG10" s="29"/>
      <c r="AH10" s="29"/>
      <c r="AI10" s="29"/>
      <c r="AJ10" s="29"/>
      <c r="AK10" s="29"/>
      <c r="AL10" s="29"/>
      <c r="AM10" s="29"/>
      <c r="AN10" s="29"/>
      <c r="AO10" s="29"/>
      <c r="AP10" s="29"/>
      <c r="AQ10" s="29"/>
      <c r="AR10" s="29"/>
      <c r="AS10" s="29"/>
      <c r="AT10" s="29"/>
      <c r="AU10" s="29"/>
      <c r="AV10" s="29"/>
      <c r="AW10" s="29"/>
      <c r="AX10" s="30"/>
      <c r="AY10" s="28"/>
    </row>
    <row r="11" spans="1:51" ht="10.050000000000001" customHeight="1" x14ac:dyDescent="0.25">
      <c r="C11" s="28"/>
      <c r="D11" s="38">
        <v>2400</v>
      </c>
      <c r="E11" s="29"/>
      <c r="F11" s="29"/>
      <c r="G11" s="29"/>
      <c r="H11" s="29"/>
      <c r="I11" s="29"/>
      <c r="J11" s="29"/>
      <c r="K11" s="29"/>
      <c r="L11" s="29"/>
      <c r="M11" s="29"/>
      <c r="N11" s="29"/>
      <c r="O11" s="29"/>
      <c r="P11" s="29"/>
      <c r="Q11" s="29"/>
      <c r="R11" s="29"/>
      <c r="S11" s="29"/>
      <c r="T11" s="29"/>
      <c r="U11" s="29"/>
      <c r="V11" s="29"/>
      <c r="W11" s="29"/>
      <c r="X11" s="29"/>
      <c r="Y11" s="29"/>
      <c r="Z11" s="29"/>
      <c r="AA11" s="30"/>
      <c r="AB11" s="37"/>
      <c r="AC11" s="38">
        <v>2400</v>
      </c>
      <c r="AD11" s="29"/>
      <c r="AE11" s="29"/>
      <c r="AF11" s="29"/>
      <c r="AG11" s="29"/>
      <c r="AH11" s="29"/>
      <c r="AI11" s="29"/>
      <c r="AJ11" s="29"/>
      <c r="AK11" s="29"/>
      <c r="AL11" s="29"/>
      <c r="AM11" s="29"/>
      <c r="AN11" s="29"/>
      <c r="AO11" s="29"/>
      <c r="AP11" s="29"/>
      <c r="AQ11" s="29"/>
      <c r="AR11" s="29"/>
      <c r="AS11" s="29"/>
      <c r="AT11" s="29"/>
      <c r="AU11" s="29"/>
      <c r="AV11" s="29"/>
      <c r="AW11" s="29"/>
      <c r="AX11" s="30"/>
      <c r="AY11" s="28"/>
    </row>
    <row r="12" spans="1:51" ht="10.050000000000001" customHeight="1" x14ac:dyDescent="0.25">
      <c r="C12" s="28"/>
      <c r="D12" s="38">
        <v>2600</v>
      </c>
      <c r="E12" s="29"/>
      <c r="F12" s="29"/>
      <c r="G12" s="29"/>
      <c r="H12" s="29"/>
      <c r="I12" s="29"/>
      <c r="J12" s="29"/>
      <c r="K12" s="29"/>
      <c r="L12" s="29"/>
      <c r="M12" s="29"/>
      <c r="N12" s="29"/>
      <c r="O12" s="29"/>
      <c r="P12" s="29"/>
      <c r="Q12" s="29"/>
      <c r="R12" s="29"/>
      <c r="S12" s="29"/>
      <c r="T12" s="29"/>
      <c r="U12" s="29"/>
      <c r="V12" s="29"/>
      <c r="W12" s="29"/>
      <c r="X12" s="29"/>
      <c r="Y12" s="29"/>
      <c r="Z12" s="29"/>
      <c r="AA12" s="30"/>
      <c r="AB12" s="37"/>
      <c r="AC12" s="38">
        <v>2600</v>
      </c>
      <c r="AD12" s="29"/>
      <c r="AE12" s="29"/>
      <c r="AF12" s="29"/>
      <c r="AG12" s="29"/>
      <c r="AH12" s="29"/>
      <c r="AI12" s="29"/>
      <c r="AJ12" s="29"/>
      <c r="AK12" s="29"/>
      <c r="AL12" s="29"/>
      <c r="AM12" s="29"/>
      <c r="AN12" s="29"/>
      <c r="AO12" s="29"/>
      <c r="AP12" s="29"/>
      <c r="AQ12" s="29"/>
      <c r="AR12" s="29"/>
      <c r="AS12" s="29"/>
      <c r="AT12" s="29"/>
      <c r="AU12" s="29"/>
      <c r="AV12" s="29"/>
      <c r="AW12" s="29"/>
      <c r="AX12" s="30"/>
      <c r="AY12" s="28"/>
    </row>
    <row r="13" spans="1:51" ht="10.050000000000001" customHeight="1" x14ac:dyDescent="0.25">
      <c r="C13" s="28"/>
      <c r="D13" s="38">
        <v>2800</v>
      </c>
      <c r="E13" s="29"/>
      <c r="F13" s="29"/>
      <c r="G13" s="29"/>
      <c r="H13" s="29"/>
      <c r="I13" s="29"/>
      <c r="J13" s="29"/>
      <c r="K13" s="29"/>
      <c r="L13" s="29"/>
      <c r="M13" s="29"/>
      <c r="N13" s="29"/>
      <c r="O13" s="29"/>
      <c r="P13" s="29"/>
      <c r="Q13" s="29"/>
      <c r="R13" s="29"/>
      <c r="S13" s="29"/>
      <c r="T13" s="29"/>
      <c r="U13" s="29"/>
      <c r="V13" s="29"/>
      <c r="W13" s="29"/>
      <c r="X13" s="29"/>
      <c r="Y13" s="29"/>
      <c r="Z13" s="29"/>
      <c r="AA13" s="30"/>
      <c r="AB13" s="37"/>
      <c r="AC13" s="38">
        <v>2800</v>
      </c>
      <c r="AD13" s="29"/>
      <c r="AE13" s="29"/>
      <c r="AF13" s="29"/>
      <c r="AG13" s="29"/>
      <c r="AH13" s="29"/>
      <c r="AI13" s="29"/>
      <c r="AJ13" s="29"/>
      <c r="AK13" s="29"/>
      <c r="AL13" s="29"/>
      <c r="AM13" s="29"/>
      <c r="AN13" s="29"/>
      <c r="AO13" s="29"/>
      <c r="AP13" s="29"/>
      <c r="AQ13" s="29"/>
      <c r="AR13" s="29"/>
      <c r="AS13" s="29"/>
      <c r="AT13" s="29"/>
      <c r="AU13" s="29"/>
      <c r="AV13" s="29"/>
      <c r="AW13" s="29"/>
      <c r="AX13" s="30"/>
      <c r="AY13" s="28"/>
    </row>
    <row r="14" spans="1:51" ht="10.050000000000001" customHeight="1" x14ac:dyDescent="0.25">
      <c r="C14" s="28"/>
      <c r="D14" s="38">
        <v>3000</v>
      </c>
      <c r="E14" s="29"/>
      <c r="F14" s="29"/>
      <c r="G14" s="29"/>
      <c r="H14" s="29"/>
      <c r="I14" s="29"/>
      <c r="J14" s="29"/>
      <c r="K14" s="29"/>
      <c r="L14" s="29"/>
      <c r="M14" s="29"/>
      <c r="N14" s="29"/>
      <c r="O14" s="29"/>
      <c r="P14" s="29"/>
      <c r="Q14" s="29"/>
      <c r="R14" s="29"/>
      <c r="S14" s="29"/>
      <c r="T14" s="29"/>
      <c r="U14" s="29"/>
      <c r="V14" s="29"/>
      <c r="W14" s="29"/>
      <c r="X14" s="29"/>
      <c r="Y14" s="29"/>
      <c r="Z14" s="29"/>
      <c r="AA14" s="30"/>
      <c r="AB14" s="37"/>
      <c r="AC14" s="38">
        <v>3000</v>
      </c>
      <c r="AD14" s="29"/>
      <c r="AE14" s="29"/>
      <c r="AF14" s="29"/>
      <c r="AG14" s="29"/>
      <c r="AH14" s="29"/>
      <c r="AI14" s="29"/>
      <c r="AJ14" s="29"/>
      <c r="AK14" s="29"/>
      <c r="AL14" s="29"/>
      <c r="AM14" s="29"/>
      <c r="AN14" s="29"/>
      <c r="AO14" s="29"/>
      <c r="AP14" s="29"/>
      <c r="AQ14" s="29"/>
      <c r="AR14" s="29"/>
      <c r="AS14" s="29"/>
      <c r="AT14" s="29"/>
      <c r="AU14" s="29"/>
      <c r="AV14" s="29"/>
      <c r="AW14" s="29"/>
      <c r="AX14" s="30"/>
      <c r="AY14" s="28"/>
    </row>
    <row r="15" spans="1:51" ht="10.050000000000001" customHeight="1" x14ac:dyDescent="0.25">
      <c r="C15" s="28"/>
      <c r="D15" s="38">
        <v>3200</v>
      </c>
      <c r="E15" s="29"/>
      <c r="F15" s="29"/>
      <c r="G15" s="29"/>
      <c r="H15" s="29"/>
      <c r="I15" s="29"/>
      <c r="J15" s="29"/>
      <c r="K15" s="29"/>
      <c r="L15" s="29"/>
      <c r="M15" s="29"/>
      <c r="N15" s="29"/>
      <c r="O15" s="29"/>
      <c r="P15" s="29"/>
      <c r="Q15" s="29"/>
      <c r="R15" s="29"/>
      <c r="S15" s="29"/>
      <c r="T15" s="29"/>
      <c r="U15" s="29"/>
      <c r="V15" s="29"/>
      <c r="W15" s="29"/>
      <c r="X15" s="29"/>
      <c r="Y15" s="29"/>
      <c r="Z15" s="29"/>
      <c r="AA15" s="30"/>
      <c r="AB15" s="37"/>
      <c r="AC15" s="38">
        <v>3200</v>
      </c>
      <c r="AD15" s="29"/>
      <c r="AE15" s="29"/>
      <c r="AF15" s="29"/>
      <c r="AG15" s="29"/>
      <c r="AH15" s="29"/>
      <c r="AI15" s="29"/>
      <c r="AJ15" s="29"/>
      <c r="AK15" s="29"/>
      <c r="AL15" s="29"/>
      <c r="AM15" s="29"/>
      <c r="AN15" s="29"/>
      <c r="AO15" s="29"/>
      <c r="AP15" s="29"/>
      <c r="AQ15" s="29"/>
      <c r="AR15" s="29"/>
      <c r="AS15" s="29"/>
      <c r="AT15" s="29"/>
      <c r="AU15" s="29"/>
      <c r="AV15" s="29"/>
      <c r="AW15" s="29"/>
      <c r="AX15" s="30"/>
      <c r="AY15" s="28"/>
    </row>
    <row r="16" spans="1:51" ht="10.050000000000001" customHeight="1" x14ac:dyDescent="0.25">
      <c r="C16" s="28"/>
      <c r="D16" s="38">
        <v>3400</v>
      </c>
      <c r="E16" s="29"/>
      <c r="F16" s="29"/>
      <c r="G16" s="29"/>
      <c r="H16" s="29"/>
      <c r="I16" s="29"/>
      <c r="J16" s="29"/>
      <c r="K16" s="29"/>
      <c r="L16" s="29"/>
      <c r="M16" s="29"/>
      <c r="N16" s="29"/>
      <c r="O16" s="29"/>
      <c r="P16" s="29"/>
      <c r="Q16" s="29"/>
      <c r="R16" s="29"/>
      <c r="S16" s="29"/>
      <c r="T16" s="29"/>
      <c r="U16" s="29"/>
      <c r="V16" s="29"/>
      <c r="W16" s="29"/>
      <c r="X16" s="29"/>
      <c r="Y16" s="29"/>
      <c r="Z16" s="29"/>
      <c r="AA16" s="30"/>
      <c r="AB16" s="37"/>
      <c r="AC16" s="38">
        <v>3400</v>
      </c>
      <c r="AD16" s="29"/>
      <c r="AE16" s="29"/>
      <c r="AF16" s="29"/>
      <c r="AG16" s="29"/>
      <c r="AH16" s="29"/>
      <c r="AI16" s="29"/>
      <c r="AJ16" s="29"/>
      <c r="AK16" s="29"/>
      <c r="AL16" s="29"/>
      <c r="AM16" s="29"/>
      <c r="AN16" s="29"/>
      <c r="AO16" s="29"/>
      <c r="AP16" s="29"/>
      <c r="AQ16" s="29"/>
      <c r="AR16" s="29"/>
      <c r="AS16" s="29"/>
      <c r="AT16" s="29"/>
      <c r="AU16" s="29"/>
      <c r="AV16" s="29"/>
      <c r="AW16" s="29"/>
      <c r="AX16" s="30"/>
      <c r="AY16" s="28"/>
    </row>
    <row r="17" spans="1:51" ht="10.050000000000001" customHeight="1" thickBot="1" x14ac:dyDescent="0.3">
      <c r="C17" s="28"/>
      <c r="D17" s="38">
        <v>3600</v>
      </c>
      <c r="E17" s="29"/>
      <c r="F17" s="29"/>
      <c r="G17" s="29"/>
      <c r="H17" s="29"/>
      <c r="I17" s="29"/>
      <c r="J17" s="29"/>
      <c r="K17" s="29"/>
      <c r="L17" s="29"/>
      <c r="M17" s="29"/>
      <c r="N17" s="29"/>
      <c r="O17" s="29"/>
      <c r="P17" s="29"/>
      <c r="Q17" s="29"/>
      <c r="R17" s="29"/>
      <c r="S17" s="29"/>
      <c r="T17" s="29"/>
      <c r="U17" s="29"/>
      <c r="V17" s="29"/>
      <c r="W17" s="29"/>
      <c r="X17" s="29"/>
      <c r="Y17" s="29"/>
      <c r="Z17" s="29"/>
      <c r="AA17" s="30"/>
      <c r="AB17" s="37"/>
      <c r="AC17" s="38">
        <v>3600</v>
      </c>
      <c r="AD17" s="29"/>
      <c r="AE17" s="29"/>
      <c r="AF17" s="29"/>
      <c r="AG17" s="29"/>
      <c r="AH17" s="29"/>
      <c r="AI17" s="29"/>
      <c r="AJ17" s="29"/>
      <c r="AK17" s="29"/>
      <c r="AL17" s="29"/>
      <c r="AM17" s="29"/>
      <c r="AN17" s="29"/>
      <c r="AO17" s="29"/>
      <c r="AP17" s="29"/>
      <c r="AQ17" s="29"/>
      <c r="AR17" s="29"/>
      <c r="AS17" s="29"/>
      <c r="AT17" s="29"/>
      <c r="AU17" s="29"/>
      <c r="AV17" s="29"/>
      <c r="AW17" s="29"/>
      <c r="AX17" s="30"/>
      <c r="AY17" s="28"/>
    </row>
    <row r="18" spans="1:51" ht="10.050000000000001" customHeight="1" x14ac:dyDescent="0.25">
      <c r="A18" s="54" t="s">
        <v>10</v>
      </c>
      <c r="B18" s="55"/>
      <c r="C18" s="28"/>
      <c r="D18" s="38">
        <v>3800</v>
      </c>
      <c r="E18" s="29"/>
      <c r="F18" s="29"/>
      <c r="G18" s="29"/>
      <c r="H18" s="29"/>
      <c r="I18" s="29"/>
      <c r="J18" s="29"/>
      <c r="K18" s="29"/>
      <c r="L18" s="29"/>
      <c r="M18" s="29"/>
      <c r="N18" s="29"/>
      <c r="O18" s="29"/>
      <c r="P18" s="29"/>
      <c r="Q18" s="29"/>
      <c r="R18" s="29"/>
      <c r="S18" s="29"/>
      <c r="T18" s="29"/>
      <c r="U18" s="29"/>
      <c r="V18" s="29"/>
      <c r="W18" s="29"/>
      <c r="X18" s="29"/>
      <c r="Y18" s="29"/>
      <c r="Z18" s="29"/>
      <c r="AA18" s="30"/>
      <c r="AB18" s="37"/>
      <c r="AC18" s="38">
        <v>3800</v>
      </c>
      <c r="AD18" s="29"/>
      <c r="AE18" s="29"/>
      <c r="AF18" s="29"/>
      <c r="AG18" s="29"/>
      <c r="AH18" s="29"/>
      <c r="AI18" s="29"/>
      <c r="AJ18" s="29"/>
      <c r="AK18" s="29"/>
      <c r="AL18" s="29"/>
      <c r="AM18" s="29"/>
      <c r="AN18" s="29"/>
      <c r="AO18" s="29"/>
      <c r="AP18" s="29"/>
      <c r="AQ18" s="29"/>
      <c r="AR18" s="29"/>
      <c r="AS18" s="29"/>
      <c r="AT18" s="29"/>
      <c r="AU18" s="29"/>
      <c r="AV18" s="29"/>
      <c r="AW18" s="29"/>
      <c r="AX18" s="30"/>
      <c r="AY18" s="28"/>
    </row>
    <row r="19" spans="1:51" ht="10.050000000000001" customHeight="1" thickBot="1" x14ac:dyDescent="0.3">
      <c r="A19" s="56"/>
      <c r="B19" s="57"/>
      <c r="C19" s="28"/>
      <c r="D19" s="38">
        <v>4000</v>
      </c>
      <c r="E19" s="29"/>
      <c r="F19" s="29"/>
      <c r="G19" s="29"/>
      <c r="H19" s="29"/>
      <c r="I19" s="29"/>
      <c r="J19" s="29"/>
      <c r="K19" s="29"/>
      <c r="L19" s="29"/>
      <c r="M19" s="29"/>
      <c r="N19" s="29"/>
      <c r="O19" s="29"/>
      <c r="P19" s="29"/>
      <c r="Q19" s="29"/>
      <c r="R19" s="29"/>
      <c r="S19" s="29"/>
      <c r="T19" s="29"/>
      <c r="U19" s="29"/>
      <c r="V19" s="29"/>
      <c r="W19" s="29"/>
      <c r="X19" s="29"/>
      <c r="Y19" s="29"/>
      <c r="Z19" s="29"/>
      <c r="AA19" s="30"/>
      <c r="AB19" s="37"/>
      <c r="AC19" s="38">
        <v>4000</v>
      </c>
      <c r="AD19" s="29"/>
      <c r="AE19" s="29"/>
      <c r="AF19" s="29"/>
      <c r="AG19" s="29"/>
      <c r="AH19" s="29"/>
      <c r="AI19" s="29"/>
      <c r="AJ19" s="29"/>
      <c r="AK19" s="29"/>
      <c r="AL19" s="29"/>
      <c r="AM19" s="29"/>
      <c r="AN19" s="29"/>
      <c r="AO19" s="29"/>
      <c r="AP19" s="29"/>
      <c r="AQ19" s="29"/>
      <c r="AR19" s="29"/>
      <c r="AS19" s="29"/>
      <c r="AT19" s="29"/>
      <c r="AU19" s="29"/>
      <c r="AV19" s="29"/>
      <c r="AW19" s="29"/>
      <c r="AX19" s="30"/>
      <c r="AY19" s="28"/>
    </row>
    <row r="20" spans="1:51" ht="10.050000000000001" customHeight="1" x14ac:dyDescent="0.25">
      <c r="A20" s="41" t="s">
        <v>6</v>
      </c>
      <c r="B20" s="45">
        <v>4</v>
      </c>
      <c r="C20" s="28"/>
      <c r="D20" s="38">
        <v>4200</v>
      </c>
      <c r="E20" s="29"/>
      <c r="F20" s="29"/>
      <c r="G20" s="29"/>
      <c r="H20" s="29"/>
      <c r="I20" s="29"/>
      <c r="J20" s="29"/>
      <c r="K20" s="29"/>
      <c r="L20" s="29"/>
      <c r="M20" s="29"/>
      <c r="N20" s="29"/>
      <c r="O20" s="29"/>
      <c r="P20" s="29"/>
      <c r="Q20" s="29"/>
      <c r="R20" s="29"/>
      <c r="S20" s="29"/>
      <c r="T20" s="29"/>
      <c r="U20" s="29"/>
      <c r="V20" s="29"/>
      <c r="W20" s="29"/>
      <c r="X20" s="29"/>
      <c r="Y20" s="29"/>
      <c r="Z20" s="29"/>
      <c r="AA20" s="30"/>
      <c r="AB20" s="37"/>
      <c r="AC20" s="38">
        <v>4200</v>
      </c>
      <c r="AD20" s="29"/>
      <c r="AE20" s="29"/>
      <c r="AF20" s="29"/>
      <c r="AG20" s="29"/>
      <c r="AH20" s="29"/>
      <c r="AI20" s="29"/>
      <c r="AJ20" s="29"/>
      <c r="AK20" s="29"/>
      <c r="AL20" s="29"/>
      <c r="AM20" s="29"/>
      <c r="AN20" s="29"/>
      <c r="AO20" s="29"/>
      <c r="AP20" s="29"/>
      <c r="AQ20" s="29"/>
      <c r="AR20" s="29"/>
      <c r="AS20" s="29"/>
      <c r="AT20" s="29"/>
      <c r="AU20" s="29"/>
      <c r="AV20" s="29"/>
      <c r="AW20" s="29"/>
      <c r="AX20" s="30"/>
      <c r="AY20" s="28"/>
    </row>
    <row r="21" spans="1:51" ht="10.050000000000001" customHeight="1" thickBot="1" x14ac:dyDescent="0.3">
      <c r="A21" s="42"/>
      <c r="B21" s="46"/>
      <c r="C21" s="28"/>
      <c r="D21" s="38">
        <v>4400</v>
      </c>
      <c r="E21" s="29"/>
      <c r="F21" s="29"/>
      <c r="G21" s="29"/>
      <c r="H21" s="29"/>
      <c r="I21" s="29"/>
      <c r="J21" s="29"/>
      <c r="K21" s="29"/>
      <c r="L21" s="29"/>
      <c r="M21" s="29"/>
      <c r="N21" s="29"/>
      <c r="O21" s="29"/>
      <c r="P21" s="29"/>
      <c r="Q21" s="29"/>
      <c r="R21" s="29"/>
      <c r="S21" s="29"/>
      <c r="T21" s="29"/>
      <c r="U21" s="29"/>
      <c r="V21" s="29"/>
      <c r="W21" s="29"/>
      <c r="X21" s="29"/>
      <c r="Y21" s="29"/>
      <c r="Z21" s="29"/>
      <c r="AA21" s="30"/>
      <c r="AB21" s="37"/>
      <c r="AC21" s="38">
        <v>4400</v>
      </c>
      <c r="AD21" s="29"/>
      <c r="AE21" s="29"/>
      <c r="AF21" s="29"/>
      <c r="AG21" s="29"/>
      <c r="AH21" s="29"/>
      <c r="AI21" s="29"/>
      <c r="AJ21" s="29"/>
      <c r="AK21" s="29"/>
      <c r="AL21" s="29"/>
      <c r="AM21" s="29"/>
      <c r="AN21" s="29"/>
      <c r="AO21" s="29"/>
      <c r="AP21" s="29"/>
      <c r="AQ21" s="29"/>
      <c r="AR21" s="29"/>
      <c r="AS21" s="29"/>
      <c r="AT21" s="29"/>
      <c r="AU21" s="29"/>
      <c r="AV21" s="29"/>
      <c r="AW21" s="29"/>
      <c r="AX21" s="30"/>
      <c r="AY21" s="28"/>
    </row>
    <row r="22" spans="1:51" ht="10.050000000000001" customHeight="1" x14ac:dyDescent="0.25">
      <c r="A22" s="41" t="s">
        <v>7</v>
      </c>
      <c r="B22" s="45">
        <v>5</v>
      </c>
      <c r="C22" s="28"/>
      <c r="D22" s="38">
        <v>4600</v>
      </c>
      <c r="E22" s="29"/>
      <c r="F22" s="29"/>
      <c r="G22" s="29"/>
      <c r="H22" s="29"/>
      <c r="I22" s="29"/>
      <c r="J22" s="29"/>
      <c r="K22" s="29"/>
      <c r="L22" s="29"/>
      <c r="M22" s="29"/>
      <c r="N22" s="29"/>
      <c r="O22" s="29"/>
      <c r="P22" s="29"/>
      <c r="Q22" s="29"/>
      <c r="R22" s="29"/>
      <c r="S22" s="29"/>
      <c r="T22" s="29"/>
      <c r="U22" s="29"/>
      <c r="V22" s="29"/>
      <c r="W22" s="29"/>
      <c r="X22" s="29"/>
      <c r="Y22" s="29"/>
      <c r="Z22" s="29"/>
      <c r="AA22" s="30"/>
      <c r="AB22" s="37"/>
      <c r="AC22" s="38">
        <v>4600</v>
      </c>
      <c r="AD22" s="29"/>
      <c r="AE22" s="29"/>
      <c r="AF22" s="29"/>
      <c r="AG22" s="29"/>
      <c r="AH22" s="29"/>
      <c r="AI22" s="29"/>
      <c r="AJ22" s="29"/>
      <c r="AK22" s="29"/>
      <c r="AL22" s="29"/>
      <c r="AM22" s="29"/>
      <c r="AN22" s="29"/>
      <c r="AO22" s="29"/>
      <c r="AP22" s="29"/>
      <c r="AQ22" s="29"/>
      <c r="AR22" s="29"/>
      <c r="AS22" s="29"/>
      <c r="AT22" s="29"/>
      <c r="AU22" s="29"/>
      <c r="AV22" s="29"/>
      <c r="AW22" s="29"/>
      <c r="AX22" s="30"/>
      <c r="AY22" s="28"/>
    </row>
    <row r="23" spans="1:51" ht="10.050000000000001" customHeight="1" thickBot="1" x14ac:dyDescent="0.3">
      <c r="A23" s="42"/>
      <c r="B23" s="46"/>
      <c r="C23" s="28"/>
      <c r="D23" s="38">
        <v>4800</v>
      </c>
      <c r="E23" s="29"/>
      <c r="F23" s="29"/>
      <c r="G23" s="29"/>
      <c r="H23" s="29"/>
      <c r="I23" s="29"/>
      <c r="J23" s="29"/>
      <c r="K23" s="29"/>
      <c r="L23" s="29"/>
      <c r="M23" s="29"/>
      <c r="N23" s="29"/>
      <c r="O23" s="29"/>
      <c r="P23" s="29"/>
      <c r="Q23" s="29"/>
      <c r="R23" s="29"/>
      <c r="S23" s="29"/>
      <c r="T23" s="29"/>
      <c r="U23" s="29"/>
      <c r="V23" s="29"/>
      <c r="W23" s="29"/>
      <c r="X23" s="29"/>
      <c r="Y23" s="29"/>
      <c r="Z23" s="29"/>
      <c r="AA23" s="30"/>
      <c r="AB23" s="37"/>
      <c r="AC23" s="38">
        <v>4800</v>
      </c>
      <c r="AD23" s="29"/>
      <c r="AE23" s="29"/>
      <c r="AF23" s="29"/>
      <c r="AG23" s="29"/>
      <c r="AH23" s="29"/>
      <c r="AI23" s="29"/>
      <c r="AJ23" s="29"/>
      <c r="AK23" s="29"/>
      <c r="AL23" s="29"/>
      <c r="AM23" s="29"/>
      <c r="AN23" s="29"/>
      <c r="AO23" s="29"/>
      <c r="AP23" s="29"/>
      <c r="AQ23" s="29"/>
      <c r="AR23" s="29"/>
      <c r="AS23" s="29"/>
      <c r="AT23" s="29"/>
      <c r="AU23" s="29"/>
      <c r="AV23" s="29"/>
      <c r="AW23" s="29"/>
      <c r="AX23" s="30"/>
      <c r="AY23" s="28"/>
    </row>
    <row r="24" spans="1:51" ht="10.050000000000001" customHeight="1" thickBot="1" x14ac:dyDescent="0.3">
      <c r="C24" s="28"/>
      <c r="D24" s="38">
        <v>5000</v>
      </c>
      <c r="E24" s="29"/>
      <c r="F24" s="29"/>
      <c r="G24" s="29"/>
      <c r="H24" s="29"/>
      <c r="I24" s="29"/>
      <c r="J24" s="29"/>
      <c r="K24" s="29"/>
      <c r="L24" s="29"/>
      <c r="M24" s="29"/>
      <c r="N24" s="29"/>
      <c r="O24" s="29"/>
      <c r="P24" s="29"/>
      <c r="Q24" s="29"/>
      <c r="R24" s="29"/>
      <c r="S24" s="29"/>
      <c r="T24" s="29"/>
      <c r="U24" s="29"/>
      <c r="V24" s="29"/>
      <c r="W24" s="29"/>
      <c r="X24" s="29"/>
      <c r="Y24" s="29"/>
      <c r="Z24" s="29"/>
      <c r="AA24" s="30"/>
      <c r="AB24" s="37"/>
      <c r="AC24" s="38">
        <v>5000</v>
      </c>
      <c r="AD24" s="29"/>
      <c r="AE24" s="29"/>
      <c r="AF24" s="29"/>
      <c r="AG24" s="29"/>
      <c r="AH24" s="29"/>
      <c r="AI24" s="29"/>
      <c r="AJ24" s="29"/>
      <c r="AK24" s="29"/>
      <c r="AL24" s="29"/>
      <c r="AM24" s="29"/>
      <c r="AN24" s="29"/>
      <c r="AO24" s="29"/>
      <c r="AP24" s="29"/>
      <c r="AQ24" s="29"/>
      <c r="AR24" s="29"/>
      <c r="AS24" s="29"/>
      <c r="AT24" s="29"/>
      <c r="AU24" s="29"/>
      <c r="AV24" s="29"/>
      <c r="AW24" s="29"/>
      <c r="AX24" s="30"/>
      <c r="AY24" s="28"/>
    </row>
    <row r="25" spans="1:51" ht="10.050000000000001" customHeight="1" x14ac:dyDescent="0.25">
      <c r="A25" s="54" t="s">
        <v>15</v>
      </c>
      <c r="B25" s="55"/>
      <c r="C25" s="28"/>
      <c r="D25" s="38">
        <v>5200</v>
      </c>
      <c r="E25" s="29"/>
      <c r="F25" s="29"/>
      <c r="G25" s="29"/>
      <c r="H25" s="29"/>
      <c r="I25" s="29"/>
      <c r="J25" s="29"/>
      <c r="K25" s="29"/>
      <c r="L25" s="29"/>
      <c r="M25" s="29"/>
      <c r="N25" s="29"/>
      <c r="O25" s="29"/>
      <c r="P25" s="29"/>
      <c r="Q25" s="29"/>
      <c r="R25" s="29"/>
      <c r="S25" s="29"/>
      <c r="T25" s="29"/>
      <c r="U25" s="29"/>
      <c r="V25" s="29"/>
      <c r="W25" s="29"/>
      <c r="X25" s="29"/>
      <c r="Y25" s="29"/>
      <c r="Z25" s="29"/>
      <c r="AA25" s="30"/>
      <c r="AB25" s="37"/>
      <c r="AC25" s="38">
        <v>5200</v>
      </c>
      <c r="AD25" s="29"/>
      <c r="AE25" s="29"/>
      <c r="AF25" s="29"/>
      <c r="AG25" s="29"/>
      <c r="AH25" s="29"/>
      <c r="AI25" s="29"/>
      <c r="AJ25" s="29"/>
      <c r="AK25" s="29"/>
      <c r="AL25" s="29"/>
      <c r="AM25" s="29"/>
      <c r="AN25" s="29"/>
      <c r="AO25" s="29"/>
      <c r="AP25" s="29"/>
      <c r="AQ25" s="29"/>
      <c r="AR25" s="29"/>
      <c r="AS25" s="29"/>
      <c r="AT25" s="29"/>
      <c r="AU25" s="29"/>
      <c r="AV25" s="29"/>
      <c r="AW25" s="29"/>
      <c r="AX25" s="30"/>
      <c r="AY25" s="28"/>
    </row>
    <row r="26" spans="1:51" ht="10.050000000000001" customHeight="1" thickBot="1" x14ac:dyDescent="0.3">
      <c r="A26" s="56"/>
      <c r="B26" s="57"/>
      <c r="C26" s="28"/>
      <c r="D26" s="38">
        <v>5600</v>
      </c>
      <c r="E26" s="29"/>
      <c r="F26" s="29"/>
      <c r="G26" s="29"/>
      <c r="H26" s="29"/>
      <c r="I26" s="29"/>
      <c r="J26" s="29"/>
      <c r="K26" s="29"/>
      <c r="L26" s="29"/>
      <c r="M26" s="29"/>
      <c r="N26" s="29"/>
      <c r="O26" s="29"/>
      <c r="P26" s="29"/>
      <c r="Q26" s="29"/>
      <c r="R26" s="29"/>
      <c r="S26" s="29"/>
      <c r="T26" s="29"/>
      <c r="U26" s="29"/>
      <c r="V26" s="29"/>
      <c r="W26" s="29"/>
      <c r="X26" s="29"/>
      <c r="Y26" s="29"/>
      <c r="Z26" s="29"/>
      <c r="AA26" s="30"/>
      <c r="AB26" s="37"/>
      <c r="AC26" s="38">
        <v>5600</v>
      </c>
      <c r="AD26" s="29"/>
      <c r="AE26" s="29"/>
      <c r="AF26" s="29"/>
      <c r="AG26" s="29"/>
      <c r="AH26" s="29"/>
      <c r="AI26" s="29"/>
      <c r="AJ26" s="29"/>
      <c r="AK26" s="29"/>
      <c r="AL26" s="29"/>
      <c r="AM26" s="29"/>
      <c r="AN26" s="29"/>
      <c r="AO26" s="29"/>
      <c r="AP26" s="29"/>
      <c r="AQ26" s="29"/>
      <c r="AR26" s="29"/>
      <c r="AS26" s="29"/>
      <c r="AT26" s="29"/>
      <c r="AU26" s="29"/>
      <c r="AV26" s="29"/>
      <c r="AW26" s="29"/>
      <c r="AX26" s="30"/>
      <c r="AY26" s="28"/>
    </row>
    <row r="27" spans="1:51" ht="10.050000000000001" customHeight="1" x14ac:dyDescent="0.25">
      <c r="A27" s="50" t="s">
        <v>17</v>
      </c>
      <c r="B27" s="52">
        <v>100</v>
      </c>
      <c r="C27" s="28"/>
      <c r="D27" s="38">
        <v>6000</v>
      </c>
      <c r="E27" s="29"/>
      <c r="F27" s="29"/>
      <c r="G27" s="29"/>
      <c r="H27" s="29"/>
      <c r="I27" s="29"/>
      <c r="J27" s="29"/>
      <c r="K27" s="29"/>
      <c r="L27" s="29"/>
      <c r="M27" s="29"/>
      <c r="N27" s="29"/>
      <c r="O27" s="29"/>
      <c r="P27" s="29"/>
      <c r="Q27" s="29"/>
      <c r="R27" s="29"/>
      <c r="S27" s="29"/>
      <c r="T27" s="29"/>
      <c r="U27" s="29"/>
      <c r="V27" s="29"/>
      <c r="W27" s="29"/>
      <c r="X27" s="29"/>
      <c r="Y27" s="29"/>
      <c r="Z27" s="29"/>
      <c r="AA27" s="30"/>
      <c r="AB27" s="37"/>
      <c r="AC27" s="38">
        <v>6000</v>
      </c>
      <c r="AD27" s="29"/>
      <c r="AE27" s="29"/>
      <c r="AF27" s="29"/>
      <c r="AG27" s="29"/>
      <c r="AH27" s="29"/>
      <c r="AI27" s="29"/>
      <c r="AJ27" s="29"/>
      <c r="AK27" s="29"/>
      <c r="AL27" s="29"/>
      <c r="AM27" s="29"/>
      <c r="AN27" s="29"/>
      <c r="AO27" s="29"/>
      <c r="AP27" s="29"/>
      <c r="AQ27" s="29"/>
      <c r="AR27" s="29"/>
      <c r="AS27" s="29"/>
      <c r="AT27" s="29"/>
      <c r="AU27" s="29"/>
      <c r="AV27" s="29"/>
      <c r="AW27" s="29"/>
      <c r="AX27" s="30"/>
      <c r="AY27" s="28"/>
    </row>
    <row r="28" spans="1:51" ht="10.050000000000001" customHeight="1" thickBot="1" x14ac:dyDescent="0.3">
      <c r="A28" s="51"/>
      <c r="B28" s="53"/>
      <c r="C28" s="28"/>
      <c r="D28" s="38">
        <v>6400</v>
      </c>
      <c r="E28" s="29"/>
      <c r="F28" s="29"/>
      <c r="G28" s="29"/>
      <c r="H28" s="29"/>
      <c r="I28" s="29"/>
      <c r="J28" s="29"/>
      <c r="K28" s="29"/>
      <c r="L28" s="29"/>
      <c r="M28" s="29"/>
      <c r="N28" s="29"/>
      <c r="O28" s="29"/>
      <c r="P28" s="29"/>
      <c r="Q28" s="29"/>
      <c r="R28" s="29"/>
      <c r="S28" s="29"/>
      <c r="T28" s="29"/>
      <c r="U28" s="29"/>
      <c r="V28" s="29"/>
      <c r="W28" s="29"/>
      <c r="X28" s="29"/>
      <c r="Y28" s="29"/>
      <c r="Z28" s="29"/>
      <c r="AA28" s="30"/>
      <c r="AB28" s="37"/>
      <c r="AC28" s="38">
        <v>6400</v>
      </c>
      <c r="AD28" s="29"/>
      <c r="AE28" s="29"/>
      <c r="AF28" s="29"/>
      <c r="AG28" s="29"/>
      <c r="AH28" s="29"/>
      <c r="AI28" s="29"/>
      <c r="AJ28" s="29"/>
      <c r="AK28" s="29"/>
      <c r="AL28" s="29"/>
      <c r="AM28" s="29"/>
      <c r="AN28" s="29"/>
      <c r="AO28" s="29"/>
      <c r="AP28" s="29"/>
      <c r="AQ28" s="29"/>
      <c r="AR28" s="29"/>
      <c r="AS28" s="29"/>
      <c r="AT28" s="29"/>
      <c r="AU28" s="29"/>
      <c r="AV28" s="29"/>
      <c r="AW28" s="29"/>
      <c r="AX28" s="30"/>
      <c r="AY28" s="28"/>
    </row>
    <row r="29" spans="1:51" ht="10.050000000000001" customHeight="1" x14ac:dyDescent="0.25">
      <c r="A29" s="41" t="s">
        <v>8</v>
      </c>
      <c r="B29" s="45">
        <v>3</v>
      </c>
      <c r="C29" s="28"/>
      <c r="D29" s="38">
        <v>6800</v>
      </c>
      <c r="E29" s="29"/>
      <c r="F29" s="29"/>
      <c r="G29" s="29"/>
      <c r="H29" s="29"/>
      <c r="I29" s="29"/>
      <c r="J29" s="29"/>
      <c r="K29" s="29"/>
      <c r="L29" s="29"/>
      <c r="M29" s="29"/>
      <c r="N29" s="29"/>
      <c r="O29" s="29"/>
      <c r="P29" s="29"/>
      <c r="Q29" s="29"/>
      <c r="R29" s="29"/>
      <c r="S29" s="29"/>
      <c r="T29" s="29"/>
      <c r="U29" s="29"/>
      <c r="V29" s="29"/>
      <c r="W29" s="29"/>
      <c r="X29" s="29"/>
      <c r="Y29" s="29"/>
      <c r="Z29" s="29"/>
      <c r="AA29" s="30"/>
      <c r="AB29" s="37"/>
      <c r="AC29" s="38">
        <v>6800</v>
      </c>
      <c r="AD29" s="29"/>
      <c r="AE29" s="29"/>
      <c r="AF29" s="29"/>
      <c r="AG29" s="29"/>
      <c r="AH29" s="29"/>
      <c r="AI29" s="29"/>
      <c r="AJ29" s="29"/>
      <c r="AK29" s="29"/>
      <c r="AL29" s="29"/>
      <c r="AM29" s="29"/>
      <c r="AN29" s="29"/>
      <c r="AO29" s="29"/>
      <c r="AP29" s="29"/>
      <c r="AQ29" s="29"/>
      <c r="AR29" s="29"/>
      <c r="AS29" s="29"/>
      <c r="AT29" s="29"/>
      <c r="AU29" s="29"/>
      <c r="AV29" s="29"/>
      <c r="AW29" s="29"/>
      <c r="AX29" s="30"/>
      <c r="AY29" s="28"/>
    </row>
    <row r="30" spans="1:51" ht="10.050000000000001" customHeight="1" thickBot="1" x14ac:dyDescent="0.3">
      <c r="A30" s="42"/>
      <c r="B30" s="46"/>
      <c r="C30" s="28"/>
      <c r="D30" s="38">
        <v>7200</v>
      </c>
      <c r="E30" s="29"/>
      <c r="F30" s="29"/>
      <c r="G30" s="29"/>
      <c r="H30" s="29"/>
      <c r="I30" s="29"/>
      <c r="J30" s="29"/>
      <c r="K30" s="29"/>
      <c r="L30" s="29"/>
      <c r="M30" s="29"/>
      <c r="N30" s="29"/>
      <c r="O30" s="29"/>
      <c r="P30" s="29"/>
      <c r="Q30" s="29"/>
      <c r="R30" s="29"/>
      <c r="S30" s="29"/>
      <c r="T30" s="29"/>
      <c r="U30" s="29"/>
      <c r="V30" s="29"/>
      <c r="W30" s="29"/>
      <c r="X30" s="29"/>
      <c r="Y30" s="29"/>
      <c r="Z30" s="29"/>
      <c r="AA30" s="30"/>
      <c r="AB30" s="37"/>
      <c r="AC30" s="38">
        <v>7200</v>
      </c>
      <c r="AD30" s="29"/>
      <c r="AE30" s="29"/>
      <c r="AF30" s="29"/>
      <c r="AG30" s="29"/>
      <c r="AH30" s="29"/>
      <c r="AI30" s="29"/>
      <c r="AJ30" s="29"/>
      <c r="AK30" s="29"/>
      <c r="AL30" s="29"/>
      <c r="AM30" s="29"/>
      <c r="AN30" s="29"/>
      <c r="AO30" s="29"/>
      <c r="AP30" s="29"/>
      <c r="AQ30" s="29"/>
      <c r="AR30" s="29"/>
      <c r="AS30" s="29"/>
      <c r="AT30" s="29"/>
      <c r="AU30" s="29"/>
      <c r="AV30" s="29"/>
      <c r="AW30" s="29"/>
      <c r="AX30" s="30"/>
      <c r="AY30" s="28"/>
    </row>
    <row r="31" spans="1:51" ht="10.050000000000001" customHeight="1" x14ac:dyDescent="0.25">
      <c r="A31" s="41" t="s">
        <v>9</v>
      </c>
      <c r="B31" s="45">
        <v>9</v>
      </c>
      <c r="C31" s="28"/>
      <c r="D31" s="38">
        <v>7600</v>
      </c>
      <c r="E31" s="29"/>
      <c r="F31" s="29"/>
      <c r="G31" s="29"/>
      <c r="H31" s="29"/>
      <c r="I31" s="29"/>
      <c r="J31" s="29"/>
      <c r="K31" s="29"/>
      <c r="L31" s="29"/>
      <c r="M31" s="29"/>
      <c r="N31" s="29"/>
      <c r="O31" s="29"/>
      <c r="P31" s="29"/>
      <c r="Q31" s="29"/>
      <c r="R31" s="29"/>
      <c r="S31" s="29"/>
      <c r="T31" s="29"/>
      <c r="U31" s="29"/>
      <c r="V31" s="29"/>
      <c r="W31" s="29"/>
      <c r="X31" s="29"/>
      <c r="Y31" s="29"/>
      <c r="Z31" s="29"/>
      <c r="AA31" s="30"/>
      <c r="AB31" s="37"/>
      <c r="AC31" s="38">
        <v>7600</v>
      </c>
      <c r="AD31" s="29"/>
      <c r="AE31" s="29"/>
      <c r="AF31" s="29"/>
      <c r="AG31" s="29"/>
      <c r="AH31" s="29"/>
      <c r="AI31" s="29"/>
      <c r="AJ31" s="29"/>
      <c r="AK31" s="29"/>
      <c r="AL31" s="29"/>
      <c r="AM31" s="29"/>
      <c r="AN31" s="29"/>
      <c r="AO31" s="29"/>
      <c r="AP31" s="29"/>
      <c r="AQ31" s="29"/>
      <c r="AR31" s="29"/>
      <c r="AS31" s="29"/>
      <c r="AT31" s="29"/>
      <c r="AU31" s="29"/>
      <c r="AV31" s="29"/>
      <c r="AW31" s="29"/>
      <c r="AX31" s="30"/>
      <c r="AY31" s="28"/>
    </row>
    <row r="32" spans="1:51" ht="10.050000000000001" customHeight="1" thickBot="1" x14ac:dyDescent="0.3">
      <c r="A32" s="42"/>
      <c r="B32" s="46"/>
      <c r="C32" s="28"/>
      <c r="D32" s="38">
        <v>8000</v>
      </c>
      <c r="E32" s="29"/>
      <c r="F32" s="29"/>
      <c r="G32" s="29"/>
      <c r="H32" s="29"/>
      <c r="I32" s="29"/>
      <c r="J32" s="29"/>
      <c r="K32" s="29"/>
      <c r="L32" s="29"/>
      <c r="M32" s="29"/>
      <c r="N32" s="29"/>
      <c r="O32" s="29"/>
      <c r="P32" s="29"/>
      <c r="Q32" s="29"/>
      <c r="R32" s="29"/>
      <c r="S32" s="29"/>
      <c r="T32" s="29"/>
      <c r="U32" s="29"/>
      <c r="V32" s="29"/>
      <c r="W32" s="29"/>
      <c r="X32" s="29"/>
      <c r="Y32" s="29"/>
      <c r="Z32" s="29"/>
      <c r="AA32" s="30"/>
      <c r="AB32" s="37"/>
      <c r="AC32" s="38">
        <v>8000</v>
      </c>
      <c r="AD32" s="29"/>
      <c r="AE32" s="29"/>
      <c r="AF32" s="29"/>
      <c r="AG32" s="29"/>
      <c r="AH32" s="29"/>
      <c r="AI32" s="29"/>
      <c r="AJ32" s="29"/>
      <c r="AK32" s="29"/>
      <c r="AL32" s="29"/>
      <c r="AM32" s="29"/>
      <c r="AN32" s="29"/>
      <c r="AO32" s="29"/>
      <c r="AP32" s="29"/>
      <c r="AQ32" s="29"/>
      <c r="AR32" s="29"/>
      <c r="AS32" s="29"/>
      <c r="AT32" s="29"/>
      <c r="AU32" s="29"/>
      <c r="AV32" s="29"/>
      <c r="AW32" s="29"/>
      <c r="AX32" s="30"/>
      <c r="AY32" s="28"/>
    </row>
    <row r="33" spans="1:51" ht="10.050000000000001" customHeight="1" x14ac:dyDescent="0.25">
      <c r="A33" s="41" t="s">
        <v>14</v>
      </c>
      <c r="B33" s="43">
        <v>220</v>
      </c>
      <c r="C33" s="28"/>
      <c r="D33" s="38">
        <v>8400</v>
      </c>
      <c r="E33" s="29"/>
      <c r="F33" s="29"/>
      <c r="G33" s="29"/>
      <c r="H33" s="29"/>
      <c r="I33" s="29"/>
      <c r="J33" s="29"/>
      <c r="K33" s="29"/>
      <c r="L33" s="29"/>
      <c r="M33" s="29"/>
      <c r="N33" s="29"/>
      <c r="O33" s="29"/>
      <c r="P33" s="29"/>
      <c r="Q33" s="29"/>
      <c r="R33" s="29"/>
      <c r="S33" s="29"/>
      <c r="T33" s="29"/>
      <c r="U33" s="29"/>
      <c r="V33" s="29"/>
      <c r="W33" s="29"/>
      <c r="X33" s="29"/>
      <c r="Y33" s="29"/>
      <c r="Z33" s="29"/>
      <c r="AA33" s="30"/>
      <c r="AB33" s="37"/>
      <c r="AC33" s="38">
        <v>8400</v>
      </c>
      <c r="AD33" s="29"/>
      <c r="AE33" s="29"/>
      <c r="AF33" s="29"/>
      <c r="AG33" s="29"/>
      <c r="AH33" s="29"/>
      <c r="AI33" s="29"/>
      <c r="AJ33" s="29"/>
      <c r="AK33" s="29"/>
      <c r="AL33" s="29"/>
      <c r="AM33" s="29"/>
      <c r="AN33" s="29"/>
      <c r="AO33" s="29"/>
      <c r="AP33" s="29"/>
      <c r="AQ33" s="29"/>
      <c r="AR33" s="29"/>
      <c r="AS33" s="29"/>
      <c r="AT33" s="29"/>
      <c r="AU33" s="29"/>
      <c r="AV33" s="29"/>
      <c r="AW33" s="29"/>
      <c r="AX33" s="30"/>
      <c r="AY33" s="28"/>
    </row>
    <row r="34" spans="1:51" ht="10.050000000000001" customHeight="1" thickBot="1" x14ac:dyDescent="0.3">
      <c r="A34" s="42"/>
      <c r="B34" s="44"/>
      <c r="C34" s="28"/>
      <c r="D34" s="38">
        <v>8800</v>
      </c>
      <c r="E34" s="29"/>
      <c r="F34" s="29"/>
      <c r="G34" s="29"/>
      <c r="H34" s="29"/>
      <c r="I34" s="29"/>
      <c r="J34" s="29"/>
      <c r="K34" s="29"/>
      <c r="L34" s="29"/>
      <c r="M34" s="29"/>
      <c r="N34" s="29"/>
      <c r="O34" s="29"/>
      <c r="P34" s="29"/>
      <c r="Q34" s="29"/>
      <c r="R34" s="29"/>
      <c r="S34" s="29"/>
      <c r="T34" s="29"/>
      <c r="U34" s="29"/>
      <c r="V34" s="29"/>
      <c r="W34" s="29"/>
      <c r="X34" s="29"/>
      <c r="Y34" s="29"/>
      <c r="Z34" s="29"/>
      <c r="AA34" s="30"/>
      <c r="AB34" s="37"/>
      <c r="AC34" s="38">
        <v>8800</v>
      </c>
      <c r="AD34" s="29"/>
      <c r="AE34" s="29"/>
      <c r="AF34" s="29"/>
      <c r="AG34" s="29"/>
      <c r="AH34" s="29"/>
      <c r="AI34" s="29"/>
      <c r="AJ34" s="29"/>
      <c r="AK34" s="29"/>
      <c r="AL34" s="29"/>
      <c r="AM34" s="29"/>
      <c r="AN34" s="29"/>
      <c r="AO34" s="29"/>
      <c r="AP34" s="29"/>
      <c r="AQ34" s="29"/>
      <c r="AR34" s="29"/>
      <c r="AS34" s="29"/>
      <c r="AT34" s="29"/>
      <c r="AU34" s="29"/>
      <c r="AV34" s="29"/>
      <c r="AW34" s="29"/>
      <c r="AX34" s="30"/>
      <c r="AY34" s="28"/>
    </row>
    <row r="35" spans="1:51" ht="10.050000000000001" customHeight="1" x14ac:dyDescent="0.25">
      <c r="C35" s="28"/>
      <c r="D35" s="38">
        <v>9200</v>
      </c>
      <c r="E35" s="29"/>
      <c r="F35" s="29"/>
      <c r="G35" s="29"/>
      <c r="H35" s="29"/>
      <c r="I35" s="29"/>
      <c r="J35" s="29"/>
      <c r="K35" s="29"/>
      <c r="L35" s="29"/>
      <c r="M35" s="29"/>
      <c r="N35" s="29"/>
      <c r="O35" s="29"/>
      <c r="P35" s="29"/>
      <c r="Q35" s="29"/>
      <c r="R35" s="29"/>
      <c r="S35" s="29"/>
      <c r="T35" s="29"/>
      <c r="U35" s="29"/>
      <c r="V35" s="29"/>
      <c r="W35" s="29"/>
      <c r="X35" s="29"/>
      <c r="Y35" s="29"/>
      <c r="Z35" s="29"/>
      <c r="AA35" s="30"/>
      <c r="AB35" s="37"/>
      <c r="AC35" s="38">
        <v>9200</v>
      </c>
      <c r="AD35" s="29"/>
      <c r="AE35" s="29"/>
      <c r="AF35" s="29"/>
      <c r="AG35" s="29"/>
      <c r="AH35" s="29"/>
      <c r="AI35" s="29"/>
      <c r="AJ35" s="29"/>
      <c r="AK35" s="29"/>
      <c r="AL35" s="29"/>
      <c r="AM35" s="29"/>
      <c r="AN35" s="29"/>
      <c r="AO35" s="29"/>
      <c r="AP35" s="29"/>
      <c r="AQ35" s="29"/>
      <c r="AR35" s="29"/>
      <c r="AS35" s="29"/>
      <c r="AT35" s="29"/>
      <c r="AU35" s="29"/>
      <c r="AV35" s="29"/>
      <c r="AW35" s="29"/>
      <c r="AX35" s="30"/>
      <c r="AY35" s="28"/>
    </row>
    <row r="36" spans="1:51" ht="10.050000000000001" customHeight="1" x14ac:dyDescent="0.25">
      <c r="C36" s="28"/>
      <c r="D36" s="38">
        <v>9600</v>
      </c>
      <c r="E36" s="29"/>
      <c r="F36" s="29"/>
      <c r="G36" s="29"/>
      <c r="H36" s="29"/>
      <c r="I36" s="29"/>
      <c r="J36" s="29"/>
      <c r="K36" s="29"/>
      <c r="L36" s="29"/>
      <c r="M36" s="29"/>
      <c r="N36" s="29"/>
      <c r="O36" s="29"/>
      <c r="P36" s="29"/>
      <c r="Q36" s="29"/>
      <c r="R36" s="29"/>
      <c r="S36" s="29"/>
      <c r="T36" s="29"/>
      <c r="U36" s="29"/>
      <c r="V36" s="29"/>
      <c r="W36" s="29"/>
      <c r="X36" s="29"/>
      <c r="Y36" s="29"/>
      <c r="Z36" s="29"/>
      <c r="AA36" s="30"/>
      <c r="AB36" s="37"/>
      <c r="AC36" s="38">
        <v>9600</v>
      </c>
      <c r="AD36" s="29"/>
      <c r="AE36" s="29"/>
      <c r="AF36" s="29"/>
      <c r="AG36" s="29"/>
      <c r="AH36" s="29"/>
      <c r="AI36" s="29"/>
      <c r="AJ36" s="29"/>
      <c r="AK36" s="29"/>
      <c r="AL36" s="29"/>
      <c r="AM36" s="29"/>
      <c r="AN36" s="29"/>
      <c r="AO36" s="29"/>
      <c r="AP36" s="29"/>
      <c r="AQ36" s="29"/>
      <c r="AR36" s="29"/>
      <c r="AS36" s="29"/>
      <c r="AT36" s="29"/>
      <c r="AU36" s="29"/>
      <c r="AV36" s="29"/>
      <c r="AW36" s="29"/>
      <c r="AX36" s="30"/>
      <c r="AY36" s="28"/>
    </row>
    <row r="37" spans="1:51" ht="10.050000000000001" customHeight="1" x14ac:dyDescent="0.25">
      <c r="C37" s="28"/>
      <c r="D37" s="38">
        <v>10000</v>
      </c>
      <c r="E37" s="29"/>
      <c r="F37" s="29"/>
      <c r="G37" s="29"/>
      <c r="H37" s="29"/>
      <c r="I37" s="29"/>
      <c r="J37" s="29"/>
      <c r="K37" s="29"/>
      <c r="L37" s="29"/>
      <c r="M37" s="29"/>
      <c r="N37" s="29"/>
      <c r="O37" s="29"/>
      <c r="P37" s="29"/>
      <c r="Q37" s="29"/>
      <c r="R37" s="29"/>
      <c r="S37" s="29"/>
      <c r="T37" s="29"/>
      <c r="U37" s="29"/>
      <c r="V37" s="29"/>
      <c r="W37" s="29"/>
      <c r="X37" s="29"/>
      <c r="Y37" s="29"/>
      <c r="Z37" s="29"/>
      <c r="AA37" s="30"/>
      <c r="AB37" s="37"/>
      <c r="AC37" s="38">
        <v>10000</v>
      </c>
      <c r="AD37" s="29"/>
      <c r="AE37" s="29"/>
      <c r="AF37" s="29"/>
      <c r="AG37" s="29"/>
      <c r="AH37" s="29"/>
      <c r="AI37" s="29"/>
      <c r="AJ37" s="29"/>
      <c r="AK37" s="29"/>
      <c r="AL37" s="29"/>
      <c r="AM37" s="29"/>
      <c r="AN37" s="29"/>
      <c r="AO37" s="29"/>
      <c r="AP37" s="29"/>
      <c r="AQ37" s="29"/>
      <c r="AR37" s="29"/>
      <c r="AS37" s="29"/>
      <c r="AT37" s="29"/>
      <c r="AU37" s="29"/>
      <c r="AV37" s="29"/>
      <c r="AW37" s="29"/>
      <c r="AX37" s="30"/>
      <c r="AY37" s="28"/>
    </row>
    <row r="38" spans="1:51" ht="10.050000000000001" customHeight="1" x14ac:dyDescent="0.25">
      <c r="C38" s="28"/>
      <c r="D38" s="38">
        <v>10400</v>
      </c>
      <c r="E38" s="29"/>
      <c r="F38" s="29"/>
      <c r="G38" s="29"/>
      <c r="H38" s="29"/>
      <c r="I38" s="29"/>
      <c r="J38" s="29"/>
      <c r="K38" s="29"/>
      <c r="L38" s="29"/>
      <c r="M38" s="29"/>
      <c r="N38" s="29"/>
      <c r="O38" s="29"/>
      <c r="P38" s="29"/>
      <c r="Q38" s="29"/>
      <c r="R38" s="29"/>
      <c r="S38" s="29"/>
      <c r="T38" s="29"/>
      <c r="U38" s="29"/>
      <c r="V38" s="29"/>
      <c r="W38" s="29"/>
      <c r="X38" s="29"/>
      <c r="Y38" s="29"/>
      <c r="Z38" s="29"/>
      <c r="AA38" s="30"/>
      <c r="AB38" s="37"/>
      <c r="AC38" s="38">
        <v>10400</v>
      </c>
      <c r="AD38" s="29"/>
      <c r="AE38" s="29"/>
      <c r="AF38" s="29"/>
      <c r="AG38" s="29"/>
      <c r="AH38" s="29"/>
      <c r="AI38" s="29"/>
      <c r="AJ38" s="29"/>
      <c r="AK38" s="29"/>
      <c r="AL38" s="29"/>
      <c r="AM38" s="29"/>
      <c r="AN38" s="29"/>
      <c r="AO38" s="29"/>
      <c r="AP38" s="29"/>
      <c r="AQ38" s="29"/>
      <c r="AR38" s="29"/>
      <c r="AS38" s="29"/>
      <c r="AT38" s="29"/>
      <c r="AU38" s="29"/>
      <c r="AV38" s="29"/>
      <c r="AW38" s="29"/>
      <c r="AX38" s="30"/>
      <c r="AY38" s="28"/>
    </row>
    <row r="39" spans="1:51" ht="10.050000000000001" customHeight="1" x14ac:dyDescent="0.25">
      <c r="C39" s="28"/>
      <c r="D39" s="38">
        <v>10800</v>
      </c>
      <c r="E39" s="29"/>
      <c r="F39" s="29"/>
      <c r="G39" s="29"/>
      <c r="H39" s="29"/>
      <c r="I39" s="29"/>
      <c r="J39" s="29"/>
      <c r="K39" s="29"/>
      <c r="L39" s="29"/>
      <c r="M39" s="29"/>
      <c r="N39" s="29"/>
      <c r="O39" s="29"/>
      <c r="P39" s="29"/>
      <c r="Q39" s="29"/>
      <c r="R39" s="29"/>
      <c r="S39" s="29"/>
      <c r="T39" s="29"/>
      <c r="U39" s="29"/>
      <c r="V39" s="29"/>
      <c r="W39" s="29"/>
      <c r="X39" s="29"/>
      <c r="Y39" s="29"/>
      <c r="Z39" s="29"/>
      <c r="AA39" s="30"/>
      <c r="AB39" s="37"/>
      <c r="AC39" s="38">
        <v>10800</v>
      </c>
      <c r="AD39" s="29"/>
      <c r="AE39" s="29"/>
      <c r="AF39" s="29"/>
      <c r="AG39" s="29"/>
      <c r="AH39" s="29"/>
      <c r="AI39" s="29"/>
      <c r="AJ39" s="29"/>
      <c r="AK39" s="29"/>
      <c r="AL39" s="29"/>
      <c r="AM39" s="29"/>
      <c r="AN39" s="29"/>
      <c r="AO39" s="29"/>
      <c r="AP39" s="29"/>
      <c r="AQ39" s="29"/>
      <c r="AR39" s="29"/>
      <c r="AS39" s="29"/>
      <c r="AT39" s="29"/>
      <c r="AU39" s="29"/>
      <c r="AV39" s="29"/>
      <c r="AW39" s="29"/>
      <c r="AX39" s="30"/>
      <c r="AY39" s="28"/>
    </row>
    <row r="40" spans="1:51" ht="10.050000000000001" customHeight="1" x14ac:dyDescent="0.25">
      <c r="C40" s="28"/>
      <c r="D40" s="38">
        <v>11200</v>
      </c>
      <c r="E40" s="29"/>
      <c r="F40" s="29"/>
      <c r="G40" s="29"/>
      <c r="H40" s="29"/>
      <c r="I40" s="29"/>
      <c r="J40" s="29"/>
      <c r="K40" s="29"/>
      <c r="L40" s="29"/>
      <c r="M40" s="29"/>
      <c r="N40" s="29"/>
      <c r="O40" s="29"/>
      <c r="P40" s="29"/>
      <c r="Q40" s="29"/>
      <c r="R40" s="29"/>
      <c r="S40" s="29"/>
      <c r="T40" s="29"/>
      <c r="U40" s="29"/>
      <c r="V40" s="29"/>
      <c r="W40" s="29"/>
      <c r="X40" s="29"/>
      <c r="Y40" s="29"/>
      <c r="Z40" s="29"/>
      <c r="AA40" s="30"/>
      <c r="AB40" s="37"/>
      <c r="AC40" s="38">
        <v>11200</v>
      </c>
      <c r="AD40" s="29"/>
      <c r="AE40" s="29"/>
      <c r="AF40" s="29"/>
      <c r="AG40" s="29"/>
      <c r="AH40" s="29"/>
      <c r="AI40" s="29"/>
      <c r="AJ40" s="29"/>
      <c r="AK40" s="29"/>
      <c r="AL40" s="29"/>
      <c r="AM40" s="29"/>
      <c r="AN40" s="29"/>
      <c r="AO40" s="29"/>
      <c r="AP40" s="29"/>
      <c r="AQ40" s="29"/>
      <c r="AR40" s="29"/>
      <c r="AS40" s="29"/>
      <c r="AT40" s="29"/>
      <c r="AU40" s="29"/>
      <c r="AV40" s="29"/>
      <c r="AW40" s="29"/>
      <c r="AX40" s="30"/>
      <c r="AY40" s="28"/>
    </row>
    <row r="41" spans="1:51" ht="10.050000000000001" customHeight="1" x14ac:dyDescent="0.25">
      <c r="C41" s="28"/>
      <c r="D41" s="38">
        <v>11600</v>
      </c>
      <c r="E41" s="29"/>
      <c r="F41" s="29"/>
      <c r="G41" s="29"/>
      <c r="H41" s="29"/>
      <c r="I41" s="29"/>
      <c r="J41" s="29"/>
      <c r="K41" s="29"/>
      <c r="L41" s="29"/>
      <c r="M41" s="29"/>
      <c r="N41" s="29"/>
      <c r="O41" s="29"/>
      <c r="P41" s="29"/>
      <c r="Q41" s="29"/>
      <c r="R41" s="29"/>
      <c r="S41" s="29"/>
      <c r="T41" s="29"/>
      <c r="U41" s="29"/>
      <c r="V41" s="29"/>
      <c r="W41" s="29"/>
      <c r="X41" s="29"/>
      <c r="Y41" s="29"/>
      <c r="Z41" s="29"/>
      <c r="AA41" s="30"/>
      <c r="AB41" s="37"/>
      <c r="AC41" s="38">
        <v>11600</v>
      </c>
      <c r="AD41" s="29"/>
      <c r="AE41" s="29"/>
      <c r="AF41" s="29"/>
      <c r="AG41" s="29"/>
      <c r="AH41" s="29"/>
      <c r="AI41" s="29"/>
      <c r="AJ41" s="29"/>
      <c r="AK41" s="29"/>
      <c r="AL41" s="29"/>
      <c r="AM41" s="29"/>
      <c r="AN41" s="29"/>
      <c r="AO41" s="29"/>
      <c r="AP41" s="29"/>
      <c r="AQ41" s="29"/>
      <c r="AR41" s="29"/>
      <c r="AS41" s="29"/>
      <c r="AT41" s="29"/>
      <c r="AU41" s="29"/>
      <c r="AV41" s="29"/>
      <c r="AW41" s="29"/>
      <c r="AX41" s="30"/>
      <c r="AY41" s="28"/>
    </row>
    <row r="42" spans="1:51" ht="10.050000000000001" customHeight="1" x14ac:dyDescent="0.25">
      <c r="C42" s="28"/>
      <c r="D42" s="38">
        <v>12000</v>
      </c>
      <c r="E42" s="29"/>
      <c r="F42" s="29"/>
      <c r="G42" s="29"/>
      <c r="H42" s="29"/>
      <c r="I42" s="29"/>
      <c r="J42" s="29"/>
      <c r="K42" s="29"/>
      <c r="L42" s="29"/>
      <c r="M42" s="29"/>
      <c r="N42" s="29"/>
      <c r="O42" s="29"/>
      <c r="P42" s="29"/>
      <c r="Q42" s="29"/>
      <c r="R42" s="29"/>
      <c r="S42" s="29"/>
      <c r="T42" s="29"/>
      <c r="U42" s="29"/>
      <c r="V42" s="29"/>
      <c r="W42" s="29"/>
      <c r="X42" s="29"/>
      <c r="Y42" s="29"/>
      <c r="Z42" s="29"/>
      <c r="AA42" s="30"/>
      <c r="AB42" s="37"/>
      <c r="AC42" s="38">
        <v>12000</v>
      </c>
      <c r="AD42" s="29"/>
      <c r="AE42" s="29"/>
      <c r="AF42" s="29"/>
      <c r="AG42" s="29"/>
      <c r="AH42" s="29"/>
      <c r="AI42" s="29"/>
      <c r="AJ42" s="29"/>
      <c r="AK42" s="29"/>
      <c r="AL42" s="29"/>
      <c r="AM42" s="29"/>
      <c r="AN42" s="29"/>
      <c r="AO42" s="29"/>
      <c r="AP42" s="29"/>
      <c r="AQ42" s="29"/>
      <c r="AR42" s="29"/>
      <c r="AS42" s="29"/>
      <c r="AT42" s="29"/>
      <c r="AU42" s="29"/>
      <c r="AV42" s="29"/>
      <c r="AW42" s="29"/>
      <c r="AX42" s="30"/>
      <c r="AY42" s="28"/>
    </row>
    <row r="43" spans="1:51" ht="10.050000000000001" customHeight="1" x14ac:dyDescent="0.25">
      <c r="C43" s="28"/>
      <c r="D43" s="38">
        <v>12400</v>
      </c>
      <c r="E43" s="29"/>
      <c r="F43" s="29"/>
      <c r="G43" s="29"/>
      <c r="H43" s="29"/>
      <c r="I43" s="29"/>
      <c r="J43" s="29"/>
      <c r="K43" s="29"/>
      <c r="L43" s="29"/>
      <c r="M43" s="29"/>
      <c r="N43" s="29"/>
      <c r="O43" s="29"/>
      <c r="P43" s="29"/>
      <c r="Q43" s="29"/>
      <c r="R43" s="29"/>
      <c r="S43" s="29"/>
      <c r="T43" s="29"/>
      <c r="U43" s="29"/>
      <c r="V43" s="29"/>
      <c r="W43" s="29"/>
      <c r="X43" s="29"/>
      <c r="Y43" s="29"/>
      <c r="Z43" s="29"/>
      <c r="AA43" s="30"/>
      <c r="AB43" s="37"/>
      <c r="AC43" s="38">
        <v>12400</v>
      </c>
      <c r="AD43" s="29"/>
      <c r="AE43" s="29"/>
      <c r="AF43" s="29"/>
      <c r="AG43" s="29"/>
      <c r="AH43" s="29"/>
      <c r="AI43" s="29"/>
      <c r="AJ43" s="29"/>
      <c r="AK43" s="29"/>
      <c r="AL43" s="29"/>
      <c r="AM43" s="29"/>
      <c r="AN43" s="29"/>
      <c r="AO43" s="29"/>
      <c r="AP43" s="29"/>
      <c r="AQ43" s="29"/>
      <c r="AR43" s="29"/>
      <c r="AS43" s="29"/>
      <c r="AT43" s="29"/>
      <c r="AU43" s="29"/>
      <c r="AV43" s="29"/>
      <c r="AW43" s="29"/>
      <c r="AX43" s="30"/>
      <c r="AY43" s="28"/>
    </row>
    <row r="44" spans="1:51" ht="10.050000000000001" customHeight="1" thickBot="1" x14ac:dyDescent="0.3">
      <c r="C44" s="28"/>
      <c r="D44" s="39">
        <v>12800</v>
      </c>
      <c r="E44" s="31"/>
      <c r="F44" s="31"/>
      <c r="G44" s="31"/>
      <c r="H44" s="31"/>
      <c r="I44" s="31"/>
      <c r="J44" s="31"/>
      <c r="K44" s="31"/>
      <c r="L44" s="31"/>
      <c r="M44" s="31"/>
      <c r="N44" s="31"/>
      <c r="O44" s="31"/>
      <c r="P44" s="31"/>
      <c r="Q44" s="31"/>
      <c r="R44" s="31"/>
      <c r="S44" s="31"/>
      <c r="T44" s="31"/>
      <c r="U44" s="31"/>
      <c r="V44" s="31"/>
      <c r="W44" s="31"/>
      <c r="X44" s="31"/>
      <c r="Y44" s="31"/>
      <c r="Z44" s="31"/>
      <c r="AA44" s="32"/>
      <c r="AB44" s="37"/>
      <c r="AC44" s="39">
        <v>12800</v>
      </c>
      <c r="AD44" s="31"/>
      <c r="AE44" s="31"/>
      <c r="AF44" s="31"/>
      <c r="AG44" s="31"/>
      <c r="AH44" s="31"/>
      <c r="AI44" s="31"/>
      <c r="AJ44" s="31"/>
      <c r="AK44" s="31"/>
      <c r="AL44" s="31"/>
      <c r="AM44" s="31"/>
      <c r="AN44" s="31"/>
      <c r="AO44" s="31"/>
      <c r="AP44" s="31"/>
      <c r="AQ44" s="31"/>
      <c r="AR44" s="31"/>
      <c r="AS44" s="31"/>
      <c r="AT44" s="31"/>
      <c r="AU44" s="31"/>
      <c r="AV44" s="31"/>
      <c r="AW44" s="31"/>
      <c r="AX44" s="32"/>
      <c r="AY44" s="28"/>
    </row>
  </sheetData>
  <mergeCells count="22">
    <mergeCell ref="D1:AX1"/>
    <mergeCell ref="A27:A28"/>
    <mergeCell ref="B27:B28"/>
    <mergeCell ref="A25:B26"/>
    <mergeCell ref="A2:B3"/>
    <mergeCell ref="A4:A5"/>
    <mergeCell ref="B4:B5"/>
    <mergeCell ref="A6:A7"/>
    <mergeCell ref="B6:B7"/>
    <mergeCell ref="A9:A10"/>
    <mergeCell ref="B9:B10"/>
    <mergeCell ref="A22:A23"/>
    <mergeCell ref="B22:B23"/>
    <mergeCell ref="A20:A21"/>
    <mergeCell ref="B20:B21"/>
    <mergeCell ref="A18:B19"/>
    <mergeCell ref="A33:A34"/>
    <mergeCell ref="B33:B34"/>
    <mergeCell ref="A31:A32"/>
    <mergeCell ref="B31:B32"/>
    <mergeCell ref="A29:A30"/>
    <mergeCell ref="B29:B30"/>
  </mergeCells>
  <conditionalFormatting sqref="B4">
    <cfRule type="cellIs" dxfId="4" priority="1" operator="lessThan">
      <formula>220</formula>
    </cfRule>
    <cfRule type="cellIs" dxfId="3" priority="2" operator="greaterThanOrEqual">
      <formula>220</formula>
    </cfRule>
  </conditionalFormatting>
  <conditionalFormatting sqref="E3:AA44 AD3:AX44">
    <cfRule type="cellIs" dxfId="2" priority="24" operator="equal">
      <formula>$B$27</formula>
    </cfRule>
    <cfRule type="cellIs" dxfId="1" priority="25" operator="lessThan">
      <formula>$B$27</formula>
    </cfRule>
    <cfRule type="cellIs" dxfId="0" priority="26" operator="greaterThan">
      <formula>$B$27</formula>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E1:L15"/>
  <sheetViews>
    <sheetView tabSelected="1" workbookViewId="0">
      <selection activeCell="A14" sqref="A14"/>
    </sheetView>
  </sheetViews>
  <sheetFormatPr defaultRowHeight="13.2" x14ac:dyDescent="0.25"/>
  <sheetData>
    <row r="1" spans="5:12" ht="13.8" thickBot="1" x14ac:dyDescent="0.3"/>
    <row r="2" spans="5:12" ht="13.2" customHeight="1" x14ac:dyDescent="0.25">
      <c r="E2" s="60" t="s">
        <v>21</v>
      </c>
      <c r="F2" s="61"/>
      <c r="G2" s="61"/>
      <c r="H2" s="61"/>
      <c r="I2" s="61"/>
      <c r="J2" s="61"/>
      <c r="K2" s="61"/>
      <c r="L2" s="62"/>
    </row>
    <row r="3" spans="5:12" x14ac:dyDescent="0.25">
      <c r="E3" s="63"/>
      <c r="F3" s="64"/>
      <c r="G3" s="64"/>
      <c r="H3" s="64"/>
      <c r="I3" s="64"/>
      <c r="J3" s="64"/>
      <c r="K3" s="64"/>
      <c r="L3" s="65"/>
    </row>
    <row r="4" spans="5:12" x14ac:dyDescent="0.25">
      <c r="E4" s="63"/>
      <c r="F4" s="64"/>
      <c r="G4" s="64"/>
      <c r="H4" s="64"/>
      <c r="I4" s="64"/>
      <c r="J4" s="64"/>
      <c r="K4" s="64"/>
      <c r="L4" s="65"/>
    </row>
    <row r="5" spans="5:12" x14ac:dyDescent="0.25">
      <c r="E5" s="63"/>
      <c r="F5" s="64"/>
      <c r="G5" s="64"/>
      <c r="H5" s="64"/>
      <c r="I5" s="64"/>
      <c r="J5" s="64"/>
      <c r="K5" s="64"/>
      <c r="L5" s="65"/>
    </row>
    <row r="6" spans="5:12" x14ac:dyDescent="0.25">
      <c r="E6" s="63"/>
      <c r="F6" s="64"/>
      <c r="G6" s="64"/>
      <c r="H6" s="64"/>
      <c r="I6" s="64"/>
      <c r="J6" s="64"/>
      <c r="K6" s="64"/>
      <c r="L6" s="65"/>
    </row>
    <row r="7" spans="5:12" x14ac:dyDescent="0.25">
      <c r="E7" s="63"/>
      <c r="F7" s="64"/>
      <c r="G7" s="64"/>
      <c r="H7" s="64"/>
      <c r="I7" s="64"/>
      <c r="J7" s="64"/>
      <c r="K7" s="64"/>
      <c r="L7" s="65"/>
    </row>
    <row r="8" spans="5:12" x14ac:dyDescent="0.25">
      <c r="E8" s="63"/>
      <c r="F8" s="64"/>
      <c r="G8" s="64"/>
      <c r="H8" s="64"/>
      <c r="I8" s="64"/>
      <c r="J8" s="64"/>
      <c r="K8" s="64"/>
      <c r="L8" s="65"/>
    </row>
    <row r="9" spans="5:12" x14ac:dyDescent="0.25">
      <c r="E9" s="63"/>
      <c r="F9" s="64"/>
      <c r="G9" s="64"/>
      <c r="H9" s="64"/>
      <c r="I9" s="64"/>
      <c r="J9" s="64"/>
      <c r="K9" s="64"/>
      <c r="L9" s="65"/>
    </row>
    <row r="10" spans="5:12" x14ac:dyDescent="0.25">
      <c r="E10" s="63"/>
      <c r="F10" s="64"/>
      <c r="G10" s="64"/>
      <c r="H10" s="64"/>
      <c r="I10" s="64"/>
      <c r="J10" s="64"/>
      <c r="K10" s="64"/>
      <c r="L10" s="65"/>
    </row>
    <row r="11" spans="5:12" x14ac:dyDescent="0.25">
      <c r="E11" s="63"/>
      <c r="F11" s="64"/>
      <c r="G11" s="64"/>
      <c r="H11" s="64"/>
      <c r="I11" s="64"/>
      <c r="J11" s="64"/>
      <c r="K11" s="64"/>
      <c r="L11" s="65"/>
    </row>
    <row r="12" spans="5:12" x14ac:dyDescent="0.25">
      <c r="E12" s="63"/>
      <c r="F12" s="64"/>
      <c r="G12" s="64"/>
      <c r="H12" s="64"/>
      <c r="I12" s="64"/>
      <c r="J12" s="64"/>
      <c r="K12" s="64"/>
      <c r="L12" s="65"/>
    </row>
    <row r="13" spans="5:12" x14ac:dyDescent="0.25">
      <c r="E13" s="63"/>
      <c r="F13" s="64"/>
      <c r="G13" s="64"/>
      <c r="H13" s="64"/>
      <c r="I13" s="64"/>
      <c r="J13" s="64"/>
      <c r="K13" s="64"/>
      <c r="L13" s="65"/>
    </row>
    <row r="14" spans="5:12" x14ac:dyDescent="0.25">
      <c r="E14" s="63"/>
      <c r="F14" s="64"/>
      <c r="G14" s="64"/>
      <c r="H14" s="64"/>
      <c r="I14" s="64"/>
      <c r="J14" s="64"/>
      <c r="K14" s="64"/>
      <c r="L14" s="65"/>
    </row>
    <row r="15" spans="5:12" ht="13.8" thickBot="1" x14ac:dyDescent="0.3">
      <c r="E15" s="66"/>
      <c r="F15" s="67"/>
      <c r="G15" s="67"/>
      <c r="H15" s="67"/>
      <c r="I15" s="67"/>
      <c r="J15" s="67"/>
      <c r="K15" s="67"/>
      <c r="L15" s="68"/>
    </row>
  </sheetData>
  <sheetProtection algorithmName="SHA-512" hashValue="+8c++JSfchYVT9kxptyYlqVS8RwO8m/ZdgNqn/waa3vautBbv9w2nd+uForTI86DndlrJiXvs71sNNlp+342rQ==" saltValue="82TSicXqHuHIqmnA6BWnPg==" spinCount="100000" sheet="1" objects="1" scenarios="1"/>
  <mergeCells count="1">
    <mergeCell ref="E2:L15"/>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outlinePr summaryBelow="0" summaryRight="0"/>
  </sheetPr>
  <dimension ref="A1:AW1000"/>
  <sheetViews>
    <sheetView zoomScale="70" zoomScaleNormal="70" workbookViewId="0">
      <selection activeCell="C46" sqref="C46"/>
    </sheetView>
  </sheetViews>
  <sheetFormatPr defaultColWidth="12.5546875" defaultRowHeight="13.2" x14ac:dyDescent="0.25"/>
  <cols>
    <col min="1" max="1" width="6.6640625" style="2" bestFit="1" customWidth="1"/>
    <col min="2" max="24" width="4.77734375" style="2" customWidth="1"/>
    <col min="25" max="25" width="4.33203125" style="2" customWidth="1"/>
    <col min="26" max="26" width="6.6640625" style="2" bestFit="1" customWidth="1"/>
    <col min="27" max="49" width="4.77734375" style="2" customWidth="1"/>
    <col min="50" max="16384" width="12.5546875" style="2"/>
  </cols>
  <sheetData>
    <row r="1" spans="1:49" x14ac:dyDescent="0.25">
      <c r="A1" s="3" t="s">
        <v>2</v>
      </c>
      <c r="B1" s="4">
        <v>0</v>
      </c>
      <c r="C1" s="4">
        <v>0.6</v>
      </c>
      <c r="D1" s="4">
        <v>1.2</v>
      </c>
      <c r="E1" s="4">
        <v>1.9</v>
      </c>
      <c r="F1" s="4">
        <v>2.5</v>
      </c>
      <c r="G1" s="4">
        <v>3.1</v>
      </c>
      <c r="H1" s="4">
        <v>3.7</v>
      </c>
      <c r="I1" s="4">
        <v>4.4000000000000004</v>
      </c>
      <c r="J1" s="4">
        <v>5.6</v>
      </c>
      <c r="K1" s="4">
        <v>6.8</v>
      </c>
      <c r="L1" s="4">
        <v>8.1</v>
      </c>
      <c r="M1" s="4">
        <v>9.3000000000000007</v>
      </c>
      <c r="N1" s="4">
        <v>10.6</v>
      </c>
      <c r="O1" s="4">
        <v>15.5</v>
      </c>
      <c r="P1" s="4">
        <v>20.5</v>
      </c>
      <c r="Q1" s="4">
        <v>25.5</v>
      </c>
      <c r="R1" s="4">
        <v>30.5</v>
      </c>
      <c r="S1" s="4">
        <v>40.4</v>
      </c>
      <c r="T1" s="4">
        <v>50.4</v>
      </c>
      <c r="U1" s="4">
        <v>60.3</v>
      </c>
      <c r="V1" s="4">
        <v>70.3</v>
      </c>
      <c r="W1" s="4">
        <v>90.2</v>
      </c>
      <c r="X1" s="5">
        <v>100</v>
      </c>
      <c r="Z1" s="3" t="s">
        <v>4</v>
      </c>
      <c r="AA1" s="4">
        <v>0</v>
      </c>
      <c r="AB1" s="4">
        <v>0.6</v>
      </c>
      <c r="AC1" s="4">
        <v>1.2</v>
      </c>
      <c r="AD1" s="4">
        <v>1.9</v>
      </c>
      <c r="AE1" s="4">
        <v>2.5</v>
      </c>
      <c r="AF1" s="4">
        <v>3.1</v>
      </c>
      <c r="AG1" s="4">
        <v>3.7</v>
      </c>
      <c r="AH1" s="4">
        <v>4.4000000000000004</v>
      </c>
      <c r="AI1" s="4">
        <v>5.6</v>
      </c>
      <c r="AJ1" s="4">
        <v>6.8</v>
      </c>
      <c r="AK1" s="4">
        <v>8.1</v>
      </c>
      <c r="AL1" s="4">
        <v>9.3000000000000007</v>
      </c>
      <c r="AM1" s="4">
        <v>10.6</v>
      </c>
      <c r="AN1" s="4">
        <v>15.5</v>
      </c>
      <c r="AO1" s="4">
        <v>20.5</v>
      </c>
      <c r="AP1" s="4">
        <v>25.5</v>
      </c>
      <c r="AQ1" s="4">
        <v>30.5</v>
      </c>
      <c r="AR1" s="4">
        <v>40.4</v>
      </c>
      <c r="AS1" s="4">
        <v>50.4</v>
      </c>
      <c r="AT1" s="4">
        <v>60.3</v>
      </c>
      <c r="AU1" s="4">
        <v>70.3</v>
      </c>
      <c r="AV1" s="4">
        <v>90.2</v>
      </c>
      <c r="AW1" s="5">
        <v>100</v>
      </c>
    </row>
    <row r="2" spans="1:49" x14ac:dyDescent="0.25">
      <c r="A2" s="6">
        <v>800</v>
      </c>
      <c r="B2" s="23"/>
      <c r="C2" s="23"/>
      <c r="D2" s="23"/>
      <c r="E2" s="23"/>
      <c r="F2" s="23"/>
      <c r="G2" s="23"/>
      <c r="H2" s="23"/>
      <c r="I2" s="23"/>
      <c r="J2" s="23"/>
      <c r="K2" s="23"/>
      <c r="L2" s="23"/>
      <c r="M2" s="23"/>
      <c r="N2" s="23"/>
      <c r="O2" s="23"/>
      <c r="P2" s="23"/>
      <c r="Q2" s="23"/>
      <c r="R2" s="23"/>
      <c r="S2" s="23"/>
      <c r="T2" s="23"/>
      <c r="U2" s="23"/>
      <c r="V2" s="23"/>
      <c r="W2" s="23"/>
      <c r="X2" s="24"/>
      <c r="Z2" s="6">
        <v>800</v>
      </c>
      <c r="AA2" s="23">
        <v>0</v>
      </c>
      <c r="AB2" s="23">
        <v>0</v>
      </c>
      <c r="AC2" s="23">
        <v>0</v>
      </c>
      <c r="AD2" s="23">
        <v>0</v>
      </c>
      <c r="AE2" s="23">
        <v>0</v>
      </c>
      <c r="AF2" s="23">
        <v>0</v>
      </c>
      <c r="AG2" s="23">
        <v>0</v>
      </c>
      <c r="AH2" s="23">
        <v>0</v>
      </c>
      <c r="AI2" s="23">
        <v>0</v>
      </c>
      <c r="AJ2" s="23">
        <v>0</v>
      </c>
      <c r="AK2" s="23">
        <v>0</v>
      </c>
      <c r="AL2" s="23">
        <v>0</v>
      </c>
      <c r="AM2" s="23">
        <v>0</v>
      </c>
      <c r="AN2" s="23">
        <v>0</v>
      </c>
      <c r="AO2" s="23">
        <v>0</v>
      </c>
      <c r="AP2" s="23">
        <v>0</v>
      </c>
      <c r="AQ2" s="23">
        <v>0</v>
      </c>
      <c r="AR2" s="23">
        <v>0</v>
      </c>
      <c r="AS2" s="23">
        <v>0</v>
      </c>
      <c r="AT2" s="23">
        <v>0</v>
      </c>
      <c r="AU2" s="23">
        <v>0</v>
      </c>
      <c r="AV2" s="23">
        <v>0</v>
      </c>
      <c r="AW2" s="24">
        <v>0</v>
      </c>
    </row>
    <row r="3" spans="1:49" x14ac:dyDescent="0.25">
      <c r="A3" s="6">
        <v>1000</v>
      </c>
      <c r="B3" s="23"/>
      <c r="C3" s="23"/>
      <c r="D3" s="23"/>
      <c r="E3" s="23"/>
      <c r="F3" s="23"/>
      <c r="G3" s="23"/>
      <c r="H3" s="23"/>
      <c r="I3" s="23"/>
      <c r="J3" s="23"/>
      <c r="K3" s="23"/>
      <c r="L3" s="23"/>
      <c r="M3" s="23"/>
      <c r="N3" s="23"/>
      <c r="O3" s="23"/>
      <c r="P3" s="23"/>
      <c r="Q3" s="23"/>
      <c r="R3" s="23"/>
      <c r="S3" s="23"/>
      <c r="T3" s="23"/>
      <c r="U3" s="23"/>
      <c r="V3" s="23"/>
      <c r="W3" s="23"/>
      <c r="X3" s="24"/>
      <c r="Z3" s="6">
        <v>1000</v>
      </c>
      <c r="AA3" s="23">
        <v>0</v>
      </c>
      <c r="AB3" s="23">
        <v>0</v>
      </c>
      <c r="AC3" s="23">
        <v>0</v>
      </c>
      <c r="AD3" s="23">
        <v>0</v>
      </c>
      <c r="AE3" s="23">
        <v>0</v>
      </c>
      <c r="AF3" s="23">
        <v>0</v>
      </c>
      <c r="AG3" s="23">
        <v>0</v>
      </c>
      <c r="AH3" s="23">
        <v>0</v>
      </c>
      <c r="AI3" s="23">
        <v>0</v>
      </c>
      <c r="AJ3" s="23">
        <v>0</v>
      </c>
      <c r="AK3" s="23">
        <v>0</v>
      </c>
      <c r="AL3" s="23">
        <v>0</v>
      </c>
      <c r="AM3" s="23">
        <v>0</v>
      </c>
      <c r="AN3" s="23">
        <v>0</v>
      </c>
      <c r="AO3" s="23">
        <v>0</v>
      </c>
      <c r="AP3" s="23">
        <v>0</v>
      </c>
      <c r="AQ3" s="23">
        <v>0</v>
      </c>
      <c r="AR3" s="23">
        <v>0</v>
      </c>
      <c r="AS3" s="23">
        <v>0</v>
      </c>
      <c r="AT3" s="23">
        <v>0</v>
      </c>
      <c r="AU3" s="23">
        <v>0</v>
      </c>
      <c r="AV3" s="23">
        <v>0</v>
      </c>
      <c r="AW3" s="24">
        <v>0</v>
      </c>
    </row>
    <row r="4" spans="1:49" x14ac:dyDescent="0.25">
      <c r="A4" s="6">
        <v>1200</v>
      </c>
      <c r="B4" s="23"/>
      <c r="C4" s="23"/>
      <c r="D4" s="23"/>
      <c r="E4" s="23"/>
      <c r="F4" s="23"/>
      <c r="G4" s="23"/>
      <c r="H4" s="23"/>
      <c r="I4" s="23"/>
      <c r="J4" s="23"/>
      <c r="K4" s="23"/>
      <c r="L4" s="23"/>
      <c r="M4" s="23"/>
      <c r="N4" s="23"/>
      <c r="O4" s="23"/>
      <c r="P4" s="23"/>
      <c r="Q4" s="23"/>
      <c r="R4" s="23"/>
      <c r="S4" s="23"/>
      <c r="T4" s="23"/>
      <c r="U4" s="23"/>
      <c r="V4" s="23"/>
      <c r="W4" s="23"/>
      <c r="X4" s="24"/>
      <c r="Z4" s="6">
        <v>1200</v>
      </c>
      <c r="AA4" s="23">
        <v>0</v>
      </c>
      <c r="AB4" s="23">
        <v>0</v>
      </c>
      <c r="AC4" s="23">
        <v>0</v>
      </c>
      <c r="AD4" s="23">
        <v>0</v>
      </c>
      <c r="AE4" s="23">
        <v>0</v>
      </c>
      <c r="AF4" s="23">
        <v>0</v>
      </c>
      <c r="AG4" s="23">
        <v>0</v>
      </c>
      <c r="AH4" s="23">
        <v>0</v>
      </c>
      <c r="AI4" s="23">
        <v>0</v>
      </c>
      <c r="AJ4" s="23">
        <v>0</v>
      </c>
      <c r="AK4" s="23">
        <v>0</v>
      </c>
      <c r="AL4" s="23">
        <v>0</v>
      </c>
      <c r="AM4" s="23">
        <v>0</v>
      </c>
      <c r="AN4" s="23">
        <v>0</v>
      </c>
      <c r="AO4" s="23">
        <v>0</v>
      </c>
      <c r="AP4" s="23">
        <v>0</v>
      </c>
      <c r="AQ4" s="23">
        <v>0</v>
      </c>
      <c r="AR4" s="23">
        <v>0</v>
      </c>
      <c r="AS4" s="23">
        <v>0</v>
      </c>
      <c r="AT4" s="23">
        <v>0</v>
      </c>
      <c r="AU4" s="23">
        <v>0</v>
      </c>
      <c r="AV4" s="23">
        <v>0</v>
      </c>
      <c r="AW4" s="24">
        <v>0</v>
      </c>
    </row>
    <row r="5" spans="1:49" x14ac:dyDescent="0.25">
      <c r="A5" s="6">
        <v>1400</v>
      </c>
      <c r="B5" s="23"/>
      <c r="C5" s="23"/>
      <c r="D5" s="23"/>
      <c r="E5" s="23"/>
      <c r="F5" s="23"/>
      <c r="G5" s="23"/>
      <c r="H5" s="23"/>
      <c r="I5" s="23"/>
      <c r="J5" s="23"/>
      <c r="K5" s="23"/>
      <c r="L5" s="23"/>
      <c r="M5" s="23"/>
      <c r="N5" s="23"/>
      <c r="O5" s="23"/>
      <c r="P5" s="23"/>
      <c r="Q5" s="23"/>
      <c r="R5" s="23"/>
      <c r="S5" s="23"/>
      <c r="T5" s="23"/>
      <c r="U5" s="23"/>
      <c r="V5" s="23"/>
      <c r="W5" s="23"/>
      <c r="X5" s="24"/>
      <c r="Z5" s="6">
        <v>1400</v>
      </c>
      <c r="AA5" s="23">
        <v>0</v>
      </c>
      <c r="AB5" s="23">
        <v>0</v>
      </c>
      <c r="AC5" s="23">
        <v>0</v>
      </c>
      <c r="AD5" s="23">
        <v>0</v>
      </c>
      <c r="AE5" s="23">
        <v>0</v>
      </c>
      <c r="AF5" s="23">
        <v>0</v>
      </c>
      <c r="AG5" s="23">
        <v>0</v>
      </c>
      <c r="AH5" s="23">
        <v>0</v>
      </c>
      <c r="AI5" s="23">
        <v>0</v>
      </c>
      <c r="AJ5" s="23">
        <v>0</v>
      </c>
      <c r="AK5" s="23">
        <v>0</v>
      </c>
      <c r="AL5" s="23">
        <v>0</v>
      </c>
      <c r="AM5" s="23">
        <v>0</v>
      </c>
      <c r="AN5" s="23">
        <v>0</v>
      </c>
      <c r="AO5" s="23">
        <v>0</v>
      </c>
      <c r="AP5" s="23">
        <v>0</v>
      </c>
      <c r="AQ5" s="23">
        <v>0</v>
      </c>
      <c r="AR5" s="23">
        <v>0</v>
      </c>
      <c r="AS5" s="23">
        <v>0</v>
      </c>
      <c r="AT5" s="23">
        <v>0</v>
      </c>
      <c r="AU5" s="23">
        <v>0</v>
      </c>
      <c r="AV5" s="23">
        <v>0</v>
      </c>
      <c r="AW5" s="24">
        <v>0</v>
      </c>
    </row>
    <row r="6" spans="1:49" x14ac:dyDescent="0.25">
      <c r="A6" s="6">
        <v>1600</v>
      </c>
      <c r="B6" s="23"/>
      <c r="C6" s="23"/>
      <c r="D6" s="23"/>
      <c r="E6" s="23"/>
      <c r="F6" s="23"/>
      <c r="G6" s="23"/>
      <c r="H6" s="23"/>
      <c r="I6" s="23"/>
      <c r="J6" s="23"/>
      <c r="K6" s="23"/>
      <c r="L6" s="23"/>
      <c r="M6" s="23"/>
      <c r="N6" s="23"/>
      <c r="O6" s="23"/>
      <c r="P6" s="23"/>
      <c r="Q6" s="23"/>
      <c r="R6" s="23"/>
      <c r="S6" s="23"/>
      <c r="T6" s="23"/>
      <c r="U6" s="23"/>
      <c r="V6" s="23"/>
      <c r="W6" s="23"/>
      <c r="X6" s="24"/>
      <c r="Z6" s="6">
        <v>1600</v>
      </c>
      <c r="AA6" s="23">
        <v>0</v>
      </c>
      <c r="AB6" s="23">
        <v>0</v>
      </c>
      <c r="AC6" s="23">
        <v>0</v>
      </c>
      <c r="AD6" s="23">
        <v>0</v>
      </c>
      <c r="AE6" s="23">
        <v>0</v>
      </c>
      <c r="AF6" s="23">
        <v>0</v>
      </c>
      <c r="AG6" s="23">
        <v>0</v>
      </c>
      <c r="AH6" s="23">
        <v>0</v>
      </c>
      <c r="AI6" s="23">
        <v>0</v>
      </c>
      <c r="AJ6" s="23">
        <v>0</v>
      </c>
      <c r="AK6" s="23">
        <v>0</v>
      </c>
      <c r="AL6" s="23">
        <v>0</v>
      </c>
      <c r="AM6" s="23">
        <v>0</v>
      </c>
      <c r="AN6" s="23">
        <v>0</v>
      </c>
      <c r="AO6" s="23">
        <v>0</v>
      </c>
      <c r="AP6" s="23">
        <v>0</v>
      </c>
      <c r="AQ6" s="23">
        <v>0</v>
      </c>
      <c r="AR6" s="23">
        <v>0</v>
      </c>
      <c r="AS6" s="23">
        <v>0</v>
      </c>
      <c r="AT6" s="23">
        <v>0</v>
      </c>
      <c r="AU6" s="23">
        <v>0</v>
      </c>
      <c r="AV6" s="23">
        <v>0</v>
      </c>
      <c r="AW6" s="24">
        <v>0</v>
      </c>
    </row>
    <row r="7" spans="1:49" x14ac:dyDescent="0.25">
      <c r="A7" s="6">
        <v>1800</v>
      </c>
      <c r="B7" s="23"/>
      <c r="C7" s="23"/>
      <c r="D7" s="23"/>
      <c r="E7" s="23"/>
      <c r="F7" s="23"/>
      <c r="G7" s="23"/>
      <c r="H7" s="23"/>
      <c r="I7" s="23"/>
      <c r="J7" s="23"/>
      <c r="K7" s="23"/>
      <c r="L7" s="23"/>
      <c r="M7" s="23"/>
      <c r="N7" s="23"/>
      <c r="O7" s="23"/>
      <c r="P7" s="23"/>
      <c r="Q7" s="23"/>
      <c r="R7" s="23"/>
      <c r="S7" s="23"/>
      <c r="T7" s="23"/>
      <c r="U7" s="23"/>
      <c r="V7" s="23"/>
      <c r="W7" s="23"/>
      <c r="X7" s="24"/>
      <c r="Z7" s="6">
        <v>1800</v>
      </c>
      <c r="AA7" s="23">
        <v>0</v>
      </c>
      <c r="AB7" s="23">
        <v>0</v>
      </c>
      <c r="AC7" s="23">
        <v>0</v>
      </c>
      <c r="AD7" s="23">
        <v>0</v>
      </c>
      <c r="AE7" s="23">
        <v>0</v>
      </c>
      <c r="AF7" s="23">
        <v>0</v>
      </c>
      <c r="AG7" s="23">
        <v>0</v>
      </c>
      <c r="AH7" s="23">
        <v>0</v>
      </c>
      <c r="AI7" s="23">
        <v>0</v>
      </c>
      <c r="AJ7" s="23">
        <v>0</v>
      </c>
      <c r="AK7" s="23">
        <v>0</v>
      </c>
      <c r="AL7" s="23">
        <v>0</v>
      </c>
      <c r="AM7" s="23">
        <v>0</v>
      </c>
      <c r="AN7" s="23">
        <v>0</v>
      </c>
      <c r="AO7" s="23">
        <v>0</v>
      </c>
      <c r="AP7" s="23">
        <v>0</v>
      </c>
      <c r="AQ7" s="23">
        <v>0</v>
      </c>
      <c r="AR7" s="23">
        <v>0</v>
      </c>
      <c r="AS7" s="23">
        <v>0</v>
      </c>
      <c r="AT7" s="23">
        <v>0</v>
      </c>
      <c r="AU7" s="23">
        <v>0</v>
      </c>
      <c r="AV7" s="23">
        <v>0</v>
      </c>
      <c r="AW7" s="24">
        <v>0</v>
      </c>
    </row>
    <row r="8" spans="1:49" x14ac:dyDescent="0.25">
      <c r="A8" s="6">
        <v>2000</v>
      </c>
      <c r="B8" s="23"/>
      <c r="C8" s="23"/>
      <c r="D8" s="23"/>
      <c r="E8" s="23"/>
      <c r="F8" s="23"/>
      <c r="G8" s="23"/>
      <c r="H8" s="23"/>
      <c r="I8" s="23"/>
      <c r="J8" s="23"/>
      <c r="K8" s="23"/>
      <c r="L8" s="23"/>
      <c r="M8" s="23"/>
      <c r="N8" s="23"/>
      <c r="O8" s="23"/>
      <c r="P8" s="23"/>
      <c r="Q8" s="23"/>
      <c r="R8" s="23"/>
      <c r="S8" s="23"/>
      <c r="T8" s="23"/>
      <c r="U8" s="23"/>
      <c r="V8" s="23"/>
      <c r="W8" s="23"/>
      <c r="X8" s="24"/>
      <c r="Z8" s="6">
        <v>2000</v>
      </c>
      <c r="AA8" s="23">
        <v>0</v>
      </c>
      <c r="AB8" s="23">
        <v>0</v>
      </c>
      <c r="AC8" s="23">
        <v>0</v>
      </c>
      <c r="AD8" s="23">
        <v>0</v>
      </c>
      <c r="AE8" s="23">
        <v>0</v>
      </c>
      <c r="AF8" s="23">
        <v>0</v>
      </c>
      <c r="AG8" s="23">
        <v>0</v>
      </c>
      <c r="AH8" s="23">
        <v>0</v>
      </c>
      <c r="AI8" s="23">
        <v>0</v>
      </c>
      <c r="AJ8" s="23">
        <v>0</v>
      </c>
      <c r="AK8" s="23">
        <v>0</v>
      </c>
      <c r="AL8" s="23">
        <v>0</v>
      </c>
      <c r="AM8" s="23">
        <v>0</v>
      </c>
      <c r="AN8" s="23">
        <v>0</v>
      </c>
      <c r="AO8" s="23">
        <v>0</v>
      </c>
      <c r="AP8" s="23">
        <v>0</v>
      </c>
      <c r="AQ8" s="23">
        <v>0</v>
      </c>
      <c r="AR8" s="23">
        <v>0</v>
      </c>
      <c r="AS8" s="23">
        <v>0</v>
      </c>
      <c r="AT8" s="23">
        <v>0</v>
      </c>
      <c r="AU8" s="23">
        <v>0</v>
      </c>
      <c r="AV8" s="23">
        <v>0</v>
      </c>
      <c r="AW8" s="24">
        <v>0</v>
      </c>
    </row>
    <row r="9" spans="1:49" x14ac:dyDescent="0.25">
      <c r="A9" s="6">
        <v>2200</v>
      </c>
      <c r="B9" s="23"/>
      <c r="C9" s="23"/>
      <c r="D9" s="23"/>
      <c r="E9" s="23"/>
      <c r="F9" s="23"/>
      <c r="G9" s="23"/>
      <c r="H9" s="23"/>
      <c r="I9" s="23"/>
      <c r="J9" s="23"/>
      <c r="K9" s="23"/>
      <c r="L9" s="23"/>
      <c r="M9" s="23"/>
      <c r="N9" s="23"/>
      <c r="O9" s="23"/>
      <c r="P9" s="23"/>
      <c r="Q9" s="23"/>
      <c r="R9" s="23"/>
      <c r="S9" s="23"/>
      <c r="T9" s="23"/>
      <c r="U9" s="23"/>
      <c r="V9" s="23"/>
      <c r="W9" s="23"/>
      <c r="X9" s="24"/>
      <c r="Z9" s="6">
        <v>2200</v>
      </c>
      <c r="AA9" s="23">
        <v>0</v>
      </c>
      <c r="AB9" s="23">
        <v>0</v>
      </c>
      <c r="AC9" s="23">
        <v>0</v>
      </c>
      <c r="AD9" s="23">
        <v>0</v>
      </c>
      <c r="AE9" s="23">
        <v>0</v>
      </c>
      <c r="AF9" s="23">
        <v>0</v>
      </c>
      <c r="AG9" s="23">
        <v>0</v>
      </c>
      <c r="AH9" s="23">
        <v>0</v>
      </c>
      <c r="AI9" s="23">
        <v>0</v>
      </c>
      <c r="AJ9" s="23">
        <v>0</v>
      </c>
      <c r="AK9" s="23">
        <v>0</v>
      </c>
      <c r="AL9" s="23">
        <v>0</v>
      </c>
      <c r="AM9" s="23">
        <v>0</v>
      </c>
      <c r="AN9" s="23">
        <v>0</v>
      </c>
      <c r="AO9" s="23">
        <v>0</v>
      </c>
      <c r="AP9" s="23">
        <v>0</v>
      </c>
      <c r="AQ9" s="23">
        <v>0</v>
      </c>
      <c r="AR9" s="23">
        <v>0</v>
      </c>
      <c r="AS9" s="23">
        <v>0</v>
      </c>
      <c r="AT9" s="23">
        <v>0</v>
      </c>
      <c r="AU9" s="23">
        <v>0</v>
      </c>
      <c r="AV9" s="23">
        <v>0</v>
      </c>
      <c r="AW9" s="24">
        <v>0</v>
      </c>
    </row>
    <row r="10" spans="1:49" x14ac:dyDescent="0.25">
      <c r="A10" s="6">
        <v>2400</v>
      </c>
      <c r="B10" s="23"/>
      <c r="C10" s="23"/>
      <c r="D10" s="23"/>
      <c r="E10" s="23"/>
      <c r="F10" s="23"/>
      <c r="G10" s="23"/>
      <c r="H10" s="23"/>
      <c r="I10" s="23"/>
      <c r="J10" s="23"/>
      <c r="K10" s="23"/>
      <c r="L10" s="23"/>
      <c r="M10" s="23"/>
      <c r="N10" s="23"/>
      <c r="O10" s="23"/>
      <c r="P10" s="23"/>
      <c r="Q10" s="23"/>
      <c r="R10" s="23"/>
      <c r="S10" s="23"/>
      <c r="T10" s="23"/>
      <c r="U10" s="23"/>
      <c r="V10" s="23"/>
      <c r="W10" s="23"/>
      <c r="X10" s="24"/>
      <c r="Z10" s="6">
        <v>2400</v>
      </c>
      <c r="AA10" s="23">
        <v>0</v>
      </c>
      <c r="AB10" s="23">
        <v>0</v>
      </c>
      <c r="AC10" s="23">
        <v>0</v>
      </c>
      <c r="AD10" s="23">
        <v>0</v>
      </c>
      <c r="AE10" s="23">
        <v>0</v>
      </c>
      <c r="AF10" s="23">
        <v>0</v>
      </c>
      <c r="AG10" s="23">
        <v>0</v>
      </c>
      <c r="AH10" s="23">
        <v>0</v>
      </c>
      <c r="AI10" s="23">
        <v>0</v>
      </c>
      <c r="AJ10" s="23">
        <v>0</v>
      </c>
      <c r="AK10" s="23">
        <v>0</v>
      </c>
      <c r="AL10" s="23">
        <v>0</v>
      </c>
      <c r="AM10" s="23">
        <v>0</v>
      </c>
      <c r="AN10" s="23">
        <v>0</v>
      </c>
      <c r="AO10" s="23">
        <v>0</v>
      </c>
      <c r="AP10" s="23">
        <v>0</v>
      </c>
      <c r="AQ10" s="23">
        <v>0</v>
      </c>
      <c r="AR10" s="23">
        <v>0</v>
      </c>
      <c r="AS10" s="23">
        <v>0</v>
      </c>
      <c r="AT10" s="23">
        <v>0</v>
      </c>
      <c r="AU10" s="23">
        <v>0</v>
      </c>
      <c r="AV10" s="23">
        <v>0</v>
      </c>
      <c r="AW10" s="24">
        <v>0</v>
      </c>
    </row>
    <row r="11" spans="1:49" x14ac:dyDescent="0.25">
      <c r="A11" s="6">
        <v>2600</v>
      </c>
      <c r="B11" s="23"/>
      <c r="C11" s="23"/>
      <c r="D11" s="23"/>
      <c r="E11" s="23"/>
      <c r="F11" s="23"/>
      <c r="G11" s="23"/>
      <c r="H11" s="23"/>
      <c r="I11" s="23"/>
      <c r="J11" s="23"/>
      <c r="K11" s="23"/>
      <c r="L11" s="23"/>
      <c r="M11" s="23"/>
      <c r="N11" s="23"/>
      <c r="O11" s="23"/>
      <c r="P11" s="23"/>
      <c r="Q11" s="23"/>
      <c r="R11" s="23"/>
      <c r="S11" s="23"/>
      <c r="T11" s="23"/>
      <c r="U11" s="23"/>
      <c r="V11" s="23"/>
      <c r="W11" s="23"/>
      <c r="X11" s="24"/>
      <c r="Z11" s="6">
        <v>2600</v>
      </c>
      <c r="AA11" s="23">
        <v>0</v>
      </c>
      <c r="AB11" s="23">
        <v>0</v>
      </c>
      <c r="AC11" s="23">
        <v>0</v>
      </c>
      <c r="AD11" s="23">
        <v>0</v>
      </c>
      <c r="AE11" s="23">
        <v>0</v>
      </c>
      <c r="AF11" s="23">
        <v>0</v>
      </c>
      <c r="AG11" s="23">
        <v>0</v>
      </c>
      <c r="AH11" s="23">
        <v>0</v>
      </c>
      <c r="AI11" s="23">
        <v>0</v>
      </c>
      <c r="AJ11" s="23">
        <v>0</v>
      </c>
      <c r="AK11" s="23">
        <v>0</v>
      </c>
      <c r="AL11" s="23">
        <v>0</v>
      </c>
      <c r="AM11" s="23">
        <v>0</v>
      </c>
      <c r="AN11" s="23">
        <v>0</v>
      </c>
      <c r="AO11" s="23">
        <v>0</v>
      </c>
      <c r="AP11" s="23">
        <v>0</v>
      </c>
      <c r="AQ11" s="23">
        <v>0</v>
      </c>
      <c r="AR11" s="23">
        <v>0</v>
      </c>
      <c r="AS11" s="23">
        <v>0</v>
      </c>
      <c r="AT11" s="23">
        <v>0</v>
      </c>
      <c r="AU11" s="23">
        <v>0</v>
      </c>
      <c r="AV11" s="23">
        <v>0</v>
      </c>
      <c r="AW11" s="24">
        <v>0</v>
      </c>
    </row>
    <row r="12" spans="1:49" x14ac:dyDescent="0.25">
      <c r="A12" s="6">
        <v>2800</v>
      </c>
      <c r="B12" s="23"/>
      <c r="C12" s="23"/>
      <c r="D12" s="23"/>
      <c r="E12" s="23"/>
      <c r="F12" s="23"/>
      <c r="G12" s="23"/>
      <c r="H12" s="23"/>
      <c r="I12" s="23"/>
      <c r="J12" s="23"/>
      <c r="K12" s="23"/>
      <c r="L12" s="23"/>
      <c r="M12" s="23"/>
      <c r="N12" s="23"/>
      <c r="O12" s="23"/>
      <c r="P12" s="23"/>
      <c r="Q12" s="23"/>
      <c r="R12" s="23"/>
      <c r="S12" s="23"/>
      <c r="T12" s="23"/>
      <c r="U12" s="23"/>
      <c r="V12" s="23"/>
      <c r="W12" s="23"/>
      <c r="X12" s="24"/>
      <c r="Z12" s="6">
        <v>2800</v>
      </c>
      <c r="AA12" s="23">
        <v>0</v>
      </c>
      <c r="AB12" s="23">
        <v>0</v>
      </c>
      <c r="AC12" s="23">
        <v>0</v>
      </c>
      <c r="AD12" s="23">
        <v>0</v>
      </c>
      <c r="AE12" s="23">
        <v>0</v>
      </c>
      <c r="AF12" s="23">
        <v>0</v>
      </c>
      <c r="AG12" s="23">
        <v>0</v>
      </c>
      <c r="AH12" s="23">
        <v>0</v>
      </c>
      <c r="AI12" s="23">
        <v>0</v>
      </c>
      <c r="AJ12" s="23">
        <v>0</v>
      </c>
      <c r="AK12" s="23">
        <v>0</v>
      </c>
      <c r="AL12" s="23">
        <v>0</v>
      </c>
      <c r="AM12" s="23">
        <v>0</v>
      </c>
      <c r="AN12" s="23">
        <v>0</v>
      </c>
      <c r="AO12" s="23">
        <v>0</v>
      </c>
      <c r="AP12" s="23">
        <v>0</v>
      </c>
      <c r="AQ12" s="23">
        <v>0</v>
      </c>
      <c r="AR12" s="23">
        <v>0</v>
      </c>
      <c r="AS12" s="23">
        <v>0</v>
      </c>
      <c r="AT12" s="23">
        <v>0</v>
      </c>
      <c r="AU12" s="23">
        <v>0</v>
      </c>
      <c r="AV12" s="23">
        <v>0</v>
      </c>
      <c r="AW12" s="24">
        <v>0</v>
      </c>
    </row>
    <row r="13" spans="1:49" x14ac:dyDescent="0.25">
      <c r="A13" s="6">
        <v>3000</v>
      </c>
      <c r="B13" s="23"/>
      <c r="C13" s="23"/>
      <c r="D13" s="23"/>
      <c r="E13" s="23"/>
      <c r="F13" s="23"/>
      <c r="G13" s="23"/>
      <c r="H13" s="23"/>
      <c r="I13" s="23"/>
      <c r="J13" s="23"/>
      <c r="K13" s="23"/>
      <c r="L13" s="23"/>
      <c r="M13" s="23"/>
      <c r="N13" s="23"/>
      <c r="O13" s="23"/>
      <c r="P13" s="23"/>
      <c r="Q13" s="23"/>
      <c r="R13" s="23"/>
      <c r="S13" s="23"/>
      <c r="T13" s="23"/>
      <c r="U13" s="23"/>
      <c r="V13" s="23"/>
      <c r="W13" s="23"/>
      <c r="X13" s="24"/>
      <c r="Z13" s="6">
        <v>3000</v>
      </c>
      <c r="AA13" s="23">
        <v>0</v>
      </c>
      <c r="AB13" s="23">
        <v>0</v>
      </c>
      <c r="AC13" s="23">
        <v>0</v>
      </c>
      <c r="AD13" s="23">
        <v>0</v>
      </c>
      <c r="AE13" s="23">
        <v>0</v>
      </c>
      <c r="AF13" s="23">
        <v>0</v>
      </c>
      <c r="AG13" s="23">
        <v>0</v>
      </c>
      <c r="AH13" s="23">
        <v>0</v>
      </c>
      <c r="AI13" s="23">
        <v>0</v>
      </c>
      <c r="AJ13" s="23">
        <v>0</v>
      </c>
      <c r="AK13" s="23">
        <v>0</v>
      </c>
      <c r="AL13" s="23">
        <v>0</v>
      </c>
      <c r="AM13" s="23">
        <v>0</v>
      </c>
      <c r="AN13" s="23">
        <v>0</v>
      </c>
      <c r="AO13" s="23">
        <v>0</v>
      </c>
      <c r="AP13" s="23">
        <v>0</v>
      </c>
      <c r="AQ13" s="23">
        <v>0</v>
      </c>
      <c r="AR13" s="23">
        <v>0</v>
      </c>
      <c r="AS13" s="23">
        <v>0</v>
      </c>
      <c r="AT13" s="23">
        <v>0</v>
      </c>
      <c r="AU13" s="23">
        <v>0</v>
      </c>
      <c r="AV13" s="23">
        <v>0</v>
      </c>
      <c r="AW13" s="24">
        <v>0</v>
      </c>
    </row>
    <row r="14" spans="1:49" x14ac:dyDescent="0.25">
      <c r="A14" s="6">
        <v>3200</v>
      </c>
      <c r="B14" s="23"/>
      <c r="C14" s="23"/>
      <c r="D14" s="23"/>
      <c r="E14" s="23"/>
      <c r="F14" s="23"/>
      <c r="G14" s="23"/>
      <c r="H14" s="23"/>
      <c r="I14" s="23"/>
      <c r="J14" s="23"/>
      <c r="K14" s="23"/>
      <c r="L14" s="23"/>
      <c r="M14" s="23"/>
      <c r="N14" s="23"/>
      <c r="O14" s="23"/>
      <c r="P14" s="23"/>
      <c r="Q14" s="23"/>
      <c r="R14" s="23"/>
      <c r="S14" s="23"/>
      <c r="T14" s="23"/>
      <c r="U14" s="23"/>
      <c r="V14" s="23"/>
      <c r="W14" s="23"/>
      <c r="X14" s="24"/>
      <c r="Z14" s="6">
        <v>3200</v>
      </c>
      <c r="AA14" s="23">
        <v>0</v>
      </c>
      <c r="AB14" s="23">
        <v>0</v>
      </c>
      <c r="AC14" s="23">
        <v>0</v>
      </c>
      <c r="AD14" s="23">
        <v>0</v>
      </c>
      <c r="AE14" s="23">
        <v>0</v>
      </c>
      <c r="AF14" s="23">
        <v>0</v>
      </c>
      <c r="AG14" s="23">
        <v>0</v>
      </c>
      <c r="AH14" s="23">
        <v>0</v>
      </c>
      <c r="AI14" s="23">
        <v>0</v>
      </c>
      <c r="AJ14" s="23">
        <v>0</v>
      </c>
      <c r="AK14" s="23">
        <v>0</v>
      </c>
      <c r="AL14" s="23">
        <v>0</v>
      </c>
      <c r="AM14" s="23">
        <v>0</v>
      </c>
      <c r="AN14" s="23">
        <v>0</v>
      </c>
      <c r="AO14" s="23">
        <v>0</v>
      </c>
      <c r="AP14" s="23">
        <v>0</v>
      </c>
      <c r="AQ14" s="23">
        <v>0</v>
      </c>
      <c r="AR14" s="23">
        <v>0</v>
      </c>
      <c r="AS14" s="23">
        <v>0</v>
      </c>
      <c r="AT14" s="23">
        <v>0</v>
      </c>
      <c r="AU14" s="23">
        <v>0</v>
      </c>
      <c r="AV14" s="23">
        <v>0</v>
      </c>
      <c r="AW14" s="24">
        <v>0</v>
      </c>
    </row>
    <row r="15" spans="1:49" x14ac:dyDescent="0.25">
      <c r="A15" s="6">
        <v>3400</v>
      </c>
      <c r="B15" s="23"/>
      <c r="C15" s="23"/>
      <c r="D15" s="23"/>
      <c r="E15" s="23"/>
      <c r="F15" s="23"/>
      <c r="G15" s="23"/>
      <c r="H15" s="23"/>
      <c r="I15" s="23"/>
      <c r="J15" s="23"/>
      <c r="K15" s="23"/>
      <c r="L15" s="23"/>
      <c r="M15" s="23"/>
      <c r="N15" s="23"/>
      <c r="O15" s="23"/>
      <c r="P15" s="23"/>
      <c r="Q15" s="23"/>
      <c r="R15" s="23"/>
      <c r="S15" s="23"/>
      <c r="T15" s="23"/>
      <c r="U15" s="23"/>
      <c r="V15" s="23"/>
      <c r="W15" s="23"/>
      <c r="X15" s="24"/>
      <c r="Z15" s="6">
        <v>3400</v>
      </c>
      <c r="AA15" s="23">
        <v>0</v>
      </c>
      <c r="AB15" s="23">
        <v>0</v>
      </c>
      <c r="AC15" s="23">
        <v>0</v>
      </c>
      <c r="AD15" s="23">
        <v>0</v>
      </c>
      <c r="AE15" s="23">
        <v>0</v>
      </c>
      <c r="AF15" s="23">
        <v>0</v>
      </c>
      <c r="AG15" s="23">
        <v>0</v>
      </c>
      <c r="AH15" s="23">
        <v>0</v>
      </c>
      <c r="AI15" s="23">
        <v>0</v>
      </c>
      <c r="AJ15" s="23">
        <v>0</v>
      </c>
      <c r="AK15" s="23">
        <v>0</v>
      </c>
      <c r="AL15" s="23">
        <v>0</v>
      </c>
      <c r="AM15" s="23">
        <v>0</v>
      </c>
      <c r="AN15" s="23">
        <v>0</v>
      </c>
      <c r="AO15" s="23">
        <v>0</v>
      </c>
      <c r="AP15" s="23">
        <v>0</v>
      </c>
      <c r="AQ15" s="23">
        <v>0</v>
      </c>
      <c r="AR15" s="23">
        <v>0</v>
      </c>
      <c r="AS15" s="23">
        <v>0</v>
      </c>
      <c r="AT15" s="23">
        <v>0</v>
      </c>
      <c r="AU15" s="23">
        <v>0</v>
      </c>
      <c r="AV15" s="23">
        <v>0</v>
      </c>
      <c r="AW15" s="24">
        <v>0</v>
      </c>
    </row>
    <row r="16" spans="1:49" x14ac:dyDescent="0.25">
      <c r="A16" s="6">
        <v>3600</v>
      </c>
      <c r="B16" s="23"/>
      <c r="C16" s="23"/>
      <c r="D16" s="23"/>
      <c r="E16" s="23"/>
      <c r="F16" s="23"/>
      <c r="G16" s="23"/>
      <c r="H16" s="23"/>
      <c r="I16" s="23"/>
      <c r="J16" s="23"/>
      <c r="K16" s="23"/>
      <c r="L16" s="23"/>
      <c r="M16" s="23"/>
      <c r="N16" s="23"/>
      <c r="O16" s="23"/>
      <c r="P16" s="23"/>
      <c r="Q16" s="23"/>
      <c r="R16" s="23"/>
      <c r="S16" s="23"/>
      <c r="T16" s="23"/>
      <c r="U16" s="23"/>
      <c r="V16" s="23"/>
      <c r="W16" s="23"/>
      <c r="X16" s="24"/>
      <c r="Z16" s="6">
        <v>3600</v>
      </c>
      <c r="AA16" s="23">
        <v>0</v>
      </c>
      <c r="AB16" s="23">
        <v>0</v>
      </c>
      <c r="AC16" s="23">
        <v>0</v>
      </c>
      <c r="AD16" s="23">
        <v>0</v>
      </c>
      <c r="AE16" s="23">
        <v>0</v>
      </c>
      <c r="AF16" s="23">
        <v>0</v>
      </c>
      <c r="AG16" s="23">
        <v>0</v>
      </c>
      <c r="AH16" s="23">
        <v>0</v>
      </c>
      <c r="AI16" s="23">
        <v>0</v>
      </c>
      <c r="AJ16" s="23">
        <v>0</v>
      </c>
      <c r="AK16" s="23">
        <v>0</v>
      </c>
      <c r="AL16" s="23">
        <v>0</v>
      </c>
      <c r="AM16" s="23">
        <v>0</v>
      </c>
      <c r="AN16" s="23">
        <v>0</v>
      </c>
      <c r="AO16" s="23">
        <v>0</v>
      </c>
      <c r="AP16" s="23">
        <v>0</v>
      </c>
      <c r="AQ16" s="23">
        <v>0</v>
      </c>
      <c r="AR16" s="23">
        <v>0</v>
      </c>
      <c r="AS16" s="23">
        <v>0</v>
      </c>
      <c r="AT16" s="23">
        <v>0</v>
      </c>
      <c r="AU16" s="23">
        <v>0</v>
      </c>
      <c r="AV16" s="23">
        <v>0</v>
      </c>
      <c r="AW16" s="24">
        <v>0</v>
      </c>
    </row>
    <row r="17" spans="1:49" x14ac:dyDescent="0.25">
      <c r="A17" s="6">
        <v>3800</v>
      </c>
      <c r="B17" s="23"/>
      <c r="C17" s="23"/>
      <c r="D17" s="23"/>
      <c r="E17" s="23"/>
      <c r="F17" s="23"/>
      <c r="G17" s="23"/>
      <c r="H17" s="23"/>
      <c r="I17" s="23"/>
      <c r="J17" s="23"/>
      <c r="K17" s="23"/>
      <c r="L17" s="23"/>
      <c r="M17" s="23"/>
      <c r="N17" s="23"/>
      <c r="O17" s="23"/>
      <c r="P17" s="23"/>
      <c r="Q17" s="23"/>
      <c r="R17" s="23"/>
      <c r="S17" s="23"/>
      <c r="T17" s="23"/>
      <c r="U17" s="23"/>
      <c r="V17" s="23"/>
      <c r="W17" s="23"/>
      <c r="X17" s="24"/>
      <c r="Z17" s="6">
        <v>3800</v>
      </c>
      <c r="AA17" s="23">
        <v>0</v>
      </c>
      <c r="AB17" s="23">
        <v>0</v>
      </c>
      <c r="AC17" s="23">
        <v>0</v>
      </c>
      <c r="AD17" s="23">
        <v>0</v>
      </c>
      <c r="AE17" s="23">
        <v>0</v>
      </c>
      <c r="AF17" s="23">
        <v>0</v>
      </c>
      <c r="AG17" s="23">
        <v>0</v>
      </c>
      <c r="AH17" s="23">
        <v>0</v>
      </c>
      <c r="AI17" s="23">
        <v>0</v>
      </c>
      <c r="AJ17" s="23">
        <v>0</v>
      </c>
      <c r="AK17" s="23">
        <v>0</v>
      </c>
      <c r="AL17" s="23">
        <v>0</v>
      </c>
      <c r="AM17" s="23">
        <v>0</v>
      </c>
      <c r="AN17" s="23">
        <v>0</v>
      </c>
      <c r="AO17" s="23">
        <v>0</v>
      </c>
      <c r="AP17" s="23">
        <v>0</v>
      </c>
      <c r="AQ17" s="23">
        <v>0</v>
      </c>
      <c r="AR17" s="23">
        <v>0</v>
      </c>
      <c r="AS17" s="23">
        <v>0</v>
      </c>
      <c r="AT17" s="23">
        <v>0</v>
      </c>
      <c r="AU17" s="23">
        <v>0</v>
      </c>
      <c r="AV17" s="23">
        <v>0</v>
      </c>
      <c r="AW17" s="24">
        <v>0</v>
      </c>
    </row>
    <row r="18" spans="1:49" x14ac:dyDescent="0.25">
      <c r="A18" s="6">
        <v>4000</v>
      </c>
      <c r="B18" s="23"/>
      <c r="C18" s="23"/>
      <c r="D18" s="23"/>
      <c r="E18" s="23"/>
      <c r="F18" s="23"/>
      <c r="G18" s="23"/>
      <c r="H18" s="23"/>
      <c r="I18" s="23"/>
      <c r="J18" s="23"/>
      <c r="K18" s="23"/>
      <c r="L18" s="23"/>
      <c r="M18" s="23"/>
      <c r="N18" s="23"/>
      <c r="O18" s="23"/>
      <c r="P18" s="23"/>
      <c r="Q18" s="23"/>
      <c r="R18" s="23"/>
      <c r="S18" s="23"/>
      <c r="T18" s="23"/>
      <c r="U18" s="23"/>
      <c r="V18" s="23"/>
      <c r="W18" s="23"/>
      <c r="X18" s="24"/>
      <c r="Z18" s="6">
        <v>4000</v>
      </c>
      <c r="AA18" s="23">
        <v>0</v>
      </c>
      <c r="AB18" s="23">
        <v>0</v>
      </c>
      <c r="AC18" s="23">
        <v>0</v>
      </c>
      <c r="AD18" s="23">
        <v>0</v>
      </c>
      <c r="AE18" s="23">
        <v>0</v>
      </c>
      <c r="AF18" s="23">
        <v>0</v>
      </c>
      <c r="AG18" s="23">
        <v>0</v>
      </c>
      <c r="AH18" s="23">
        <v>0</v>
      </c>
      <c r="AI18" s="23">
        <v>0</v>
      </c>
      <c r="AJ18" s="23">
        <v>0</v>
      </c>
      <c r="AK18" s="23">
        <v>0</v>
      </c>
      <c r="AL18" s="23">
        <v>0</v>
      </c>
      <c r="AM18" s="23">
        <v>0</v>
      </c>
      <c r="AN18" s="23">
        <v>0</v>
      </c>
      <c r="AO18" s="23">
        <v>0</v>
      </c>
      <c r="AP18" s="23">
        <v>0</v>
      </c>
      <c r="AQ18" s="23">
        <v>0</v>
      </c>
      <c r="AR18" s="23">
        <v>0</v>
      </c>
      <c r="AS18" s="23">
        <v>0</v>
      </c>
      <c r="AT18" s="23">
        <v>0</v>
      </c>
      <c r="AU18" s="23">
        <v>0</v>
      </c>
      <c r="AV18" s="23">
        <v>0</v>
      </c>
      <c r="AW18" s="24">
        <v>0</v>
      </c>
    </row>
    <row r="19" spans="1:49" x14ac:dyDescent="0.25">
      <c r="A19" s="6">
        <v>4200</v>
      </c>
      <c r="B19" s="23"/>
      <c r="C19" s="23"/>
      <c r="D19" s="23"/>
      <c r="E19" s="23"/>
      <c r="F19" s="23"/>
      <c r="G19" s="23"/>
      <c r="H19" s="23"/>
      <c r="I19" s="23"/>
      <c r="J19" s="23"/>
      <c r="K19" s="23"/>
      <c r="L19" s="23"/>
      <c r="M19" s="23"/>
      <c r="N19" s="23"/>
      <c r="O19" s="23"/>
      <c r="P19" s="23"/>
      <c r="Q19" s="23"/>
      <c r="R19" s="23"/>
      <c r="S19" s="23"/>
      <c r="T19" s="23"/>
      <c r="U19" s="23"/>
      <c r="V19" s="23"/>
      <c r="W19" s="23"/>
      <c r="X19" s="24"/>
      <c r="Z19" s="6">
        <v>4200</v>
      </c>
      <c r="AA19" s="23">
        <v>0</v>
      </c>
      <c r="AB19" s="23">
        <v>0</v>
      </c>
      <c r="AC19" s="23">
        <v>0</v>
      </c>
      <c r="AD19" s="23">
        <v>0</v>
      </c>
      <c r="AE19" s="23">
        <v>0</v>
      </c>
      <c r="AF19" s="23">
        <v>0</v>
      </c>
      <c r="AG19" s="23">
        <v>0</v>
      </c>
      <c r="AH19" s="23">
        <v>0</v>
      </c>
      <c r="AI19" s="23">
        <v>0</v>
      </c>
      <c r="AJ19" s="23">
        <v>0</v>
      </c>
      <c r="AK19" s="23">
        <v>0</v>
      </c>
      <c r="AL19" s="23">
        <v>0</v>
      </c>
      <c r="AM19" s="23">
        <v>0</v>
      </c>
      <c r="AN19" s="23">
        <v>0</v>
      </c>
      <c r="AO19" s="23">
        <v>0</v>
      </c>
      <c r="AP19" s="23">
        <v>0</v>
      </c>
      <c r="AQ19" s="23">
        <v>0</v>
      </c>
      <c r="AR19" s="23">
        <v>0</v>
      </c>
      <c r="AS19" s="23">
        <v>0</v>
      </c>
      <c r="AT19" s="23">
        <v>0</v>
      </c>
      <c r="AU19" s="23">
        <v>0</v>
      </c>
      <c r="AV19" s="23">
        <v>0</v>
      </c>
      <c r="AW19" s="24">
        <v>0</v>
      </c>
    </row>
    <row r="20" spans="1:49" x14ac:dyDescent="0.25">
      <c r="A20" s="6">
        <v>4400</v>
      </c>
      <c r="B20" s="23"/>
      <c r="C20" s="23"/>
      <c r="D20" s="23"/>
      <c r="E20" s="23"/>
      <c r="F20" s="23"/>
      <c r="G20" s="23"/>
      <c r="H20" s="23"/>
      <c r="I20" s="23"/>
      <c r="J20" s="23"/>
      <c r="K20" s="23"/>
      <c r="L20" s="23"/>
      <c r="M20" s="23"/>
      <c r="N20" s="23"/>
      <c r="O20" s="23"/>
      <c r="P20" s="23"/>
      <c r="Q20" s="23"/>
      <c r="R20" s="23"/>
      <c r="S20" s="23"/>
      <c r="T20" s="23"/>
      <c r="U20" s="23"/>
      <c r="V20" s="23"/>
      <c r="W20" s="23"/>
      <c r="X20" s="24"/>
      <c r="Z20" s="6">
        <v>4400</v>
      </c>
      <c r="AA20" s="23">
        <v>0</v>
      </c>
      <c r="AB20" s="23">
        <v>0</v>
      </c>
      <c r="AC20" s="23">
        <v>0</v>
      </c>
      <c r="AD20" s="23">
        <v>0</v>
      </c>
      <c r="AE20" s="23">
        <v>0</v>
      </c>
      <c r="AF20" s="23">
        <v>0</v>
      </c>
      <c r="AG20" s="23">
        <v>0</v>
      </c>
      <c r="AH20" s="23">
        <v>0</v>
      </c>
      <c r="AI20" s="23">
        <v>0</v>
      </c>
      <c r="AJ20" s="23">
        <v>0</v>
      </c>
      <c r="AK20" s="23">
        <v>0</v>
      </c>
      <c r="AL20" s="23">
        <v>0</v>
      </c>
      <c r="AM20" s="23">
        <v>0</v>
      </c>
      <c r="AN20" s="23">
        <v>0</v>
      </c>
      <c r="AO20" s="23">
        <v>0</v>
      </c>
      <c r="AP20" s="23">
        <v>0</v>
      </c>
      <c r="AQ20" s="23">
        <v>0</v>
      </c>
      <c r="AR20" s="23">
        <v>0</v>
      </c>
      <c r="AS20" s="23">
        <v>0</v>
      </c>
      <c r="AT20" s="23">
        <v>0</v>
      </c>
      <c r="AU20" s="23">
        <v>0</v>
      </c>
      <c r="AV20" s="23">
        <v>0</v>
      </c>
      <c r="AW20" s="24">
        <v>0</v>
      </c>
    </row>
    <row r="21" spans="1:49" x14ac:dyDescent="0.25">
      <c r="A21" s="6">
        <v>4600</v>
      </c>
      <c r="B21" s="23"/>
      <c r="C21" s="23"/>
      <c r="D21" s="23"/>
      <c r="E21" s="23"/>
      <c r="F21" s="23"/>
      <c r="G21" s="23"/>
      <c r="H21" s="23"/>
      <c r="I21" s="23"/>
      <c r="J21" s="23"/>
      <c r="K21" s="23"/>
      <c r="L21" s="23"/>
      <c r="M21" s="23"/>
      <c r="N21" s="23"/>
      <c r="O21" s="23"/>
      <c r="P21" s="23"/>
      <c r="Q21" s="23"/>
      <c r="R21" s="23"/>
      <c r="S21" s="23"/>
      <c r="T21" s="23"/>
      <c r="U21" s="23"/>
      <c r="V21" s="23"/>
      <c r="W21" s="23"/>
      <c r="X21" s="24"/>
      <c r="Z21" s="6">
        <v>4600</v>
      </c>
      <c r="AA21" s="23">
        <v>0</v>
      </c>
      <c r="AB21" s="23">
        <v>0</v>
      </c>
      <c r="AC21" s="23">
        <v>0</v>
      </c>
      <c r="AD21" s="23">
        <v>0</v>
      </c>
      <c r="AE21" s="23">
        <v>0</v>
      </c>
      <c r="AF21" s="23">
        <v>0</v>
      </c>
      <c r="AG21" s="23">
        <v>0</v>
      </c>
      <c r="AH21" s="23">
        <v>0</v>
      </c>
      <c r="AI21" s="23">
        <v>0</v>
      </c>
      <c r="AJ21" s="23">
        <v>0</v>
      </c>
      <c r="AK21" s="23">
        <v>0</v>
      </c>
      <c r="AL21" s="23">
        <v>0</v>
      </c>
      <c r="AM21" s="23">
        <v>0</v>
      </c>
      <c r="AN21" s="23">
        <v>0</v>
      </c>
      <c r="AO21" s="23">
        <v>0</v>
      </c>
      <c r="AP21" s="23">
        <v>0</v>
      </c>
      <c r="AQ21" s="23">
        <v>0</v>
      </c>
      <c r="AR21" s="23">
        <v>0</v>
      </c>
      <c r="AS21" s="23">
        <v>0</v>
      </c>
      <c r="AT21" s="23">
        <v>0</v>
      </c>
      <c r="AU21" s="23">
        <v>0</v>
      </c>
      <c r="AV21" s="23">
        <v>0</v>
      </c>
      <c r="AW21" s="24">
        <v>0</v>
      </c>
    </row>
    <row r="22" spans="1:49" x14ac:dyDescent="0.25">
      <c r="A22" s="6">
        <v>4800</v>
      </c>
      <c r="B22" s="23"/>
      <c r="C22" s="23"/>
      <c r="D22" s="23"/>
      <c r="E22" s="23"/>
      <c r="F22" s="23"/>
      <c r="G22" s="23"/>
      <c r="H22" s="23"/>
      <c r="I22" s="23"/>
      <c r="J22" s="23"/>
      <c r="K22" s="23"/>
      <c r="L22" s="23"/>
      <c r="M22" s="23"/>
      <c r="N22" s="23"/>
      <c r="O22" s="23"/>
      <c r="P22" s="23"/>
      <c r="Q22" s="23"/>
      <c r="R22" s="23"/>
      <c r="S22" s="23"/>
      <c r="T22" s="23"/>
      <c r="U22" s="23"/>
      <c r="V22" s="23"/>
      <c r="W22" s="23"/>
      <c r="X22" s="24"/>
      <c r="Z22" s="6">
        <v>4800</v>
      </c>
      <c r="AA22" s="23">
        <v>0</v>
      </c>
      <c r="AB22" s="23">
        <v>0</v>
      </c>
      <c r="AC22" s="23">
        <v>0</v>
      </c>
      <c r="AD22" s="23">
        <v>0</v>
      </c>
      <c r="AE22" s="23">
        <v>0</v>
      </c>
      <c r="AF22" s="23">
        <v>0</v>
      </c>
      <c r="AG22" s="23">
        <v>0</v>
      </c>
      <c r="AH22" s="23">
        <v>0</v>
      </c>
      <c r="AI22" s="23">
        <v>0</v>
      </c>
      <c r="AJ22" s="23">
        <v>0</v>
      </c>
      <c r="AK22" s="23">
        <v>0</v>
      </c>
      <c r="AL22" s="23">
        <v>0</v>
      </c>
      <c r="AM22" s="23">
        <v>0</v>
      </c>
      <c r="AN22" s="23">
        <v>0</v>
      </c>
      <c r="AO22" s="23">
        <v>0</v>
      </c>
      <c r="AP22" s="23">
        <v>0</v>
      </c>
      <c r="AQ22" s="23">
        <v>0</v>
      </c>
      <c r="AR22" s="23">
        <v>0</v>
      </c>
      <c r="AS22" s="23">
        <v>0</v>
      </c>
      <c r="AT22" s="23">
        <v>0</v>
      </c>
      <c r="AU22" s="23">
        <v>0</v>
      </c>
      <c r="AV22" s="23">
        <v>0</v>
      </c>
      <c r="AW22" s="24">
        <v>0</v>
      </c>
    </row>
    <row r="23" spans="1:49" x14ac:dyDescent="0.25">
      <c r="A23" s="6">
        <v>5000</v>
      </c>
      <c r="B23" s="23"/>
      <c r="C23" s="23"/>
      <c r="D23" s="23"/>
      <c r="E23" s="23"/>
      <c r="F23" s="23"/>
      <c r="G23" s="23"/>
      <c r="H23" s="23"/>
      <c r="I23" s="23"/>
      <c r="J23" s="23"/>
      <c r="K23" s="23"/>
      <c r="L23" s="23"/>
      <c r="M23" s="23"/>
      <c r="N23" s="23"/>
      <c r="O23" s="23"/>
      <c r="P23" s="23"/>
      <c r="Q23" s="23"/>
      <c r="R23" s="23"/>
      <c r="S23" s="23"/>
      <c r="T23" s="23"/>
      <c r="U23" s="23"/>
      <c r="V23" s="23"/>
      <c r="W23" s="23"/>
      <c r="X23" s="24"/>
      <c r="Z23" s="6">
        <v>5000</v>
      </c>
      <c r="AA23" s="23">
        <v>0</v>
      </c>
      <c r="AB23" s="23">
        <v>0</v>
      </c>
      <c r="AC23" s="23">
        <v>0</v>
      </c>
      <c r="AD23" s="23">
        <v>0</v>
      </c>
      <c r="AE23" s="23">
        <v>0</v>
      </c>
      <c r="AF23" s="23">
        <v>0</v>
      </c>
      <c r="AG23" s="23">
        <v>0</v>
      </c>
      <c r="AH23" s="23">
        <v>0</v>
      </c>
      <c r="AI23" s="23">
        <v>0</v>
      </c>
      <c r="AJ23" s="23">
        <v>0</v>
      </c>
      <c r="AK23" s="23">
        <v>0</v>
      </c>
      <c r="AL23" s="23">
        <v>0</v>
      </c>
      <c r="AM23" s="23">
        <v>0</v>
      </c>
      <c r="AN23" s="23">
        <v>0</v>
      </c>
      <c r="AO23" s="23">
        <v>0</v>
      </c>
      <c r="AP23" s="23">
        <v>0</v>
      </c>
      <c r="AQ23" s="23">
        <v>0</v>
      </c>
      <c r="AR23" s="23">
        <v>0</v>
      </c>
      <c r="AS23" s="23">
        <v>0</v>
      </c>
      <c r="AT23" s="23">
        <v>0</v>
      </c>
      <c r="AU23" s="23">
        <v>0</v>
      </c>
      <c r="AV23" s="23">
        <v>0</v>
      </c>
      <c r="AW23" s="24">
        <v>0</v>
      </c>
    </row>
    <row r="24" spans="1:49" x14ac:dyDescent="0.25">
      <c r="A24" s="6">
        <v>5200</v>
      </c>
      <c r="B24" s="23"/>
      <c r="C24" s="23"/>
      <c r="D24" s="23"/>
      <c r="E24" s="23"/>
      <c r="F24" s="23"/>
      <c r="G24" s="23"/>
      <c r="H24" s="23"/>
      <c r="I24" s="23"/>
      <c r="J24" s="23"/>
      <c r="K24" s="23"/>
      <c r="L24" s="23"/>
      <c r="M24" s="23"/>
      <c r="N24" s="23"/>
      <c r="O24" s="23"/>
      <c r="P24" s="23"/>
      <c r="Q24" s="23"/>
      <c r="R24" s="23"/>
      <c r="S24" s="23"/>
      <c r="T24" s="23"/>
      <c r="U24" s="23"/>
      <c r="V24" s="23"/>
      <c r="W24" s="23"/>
      <c r="X24" s="24"/>
      <c r="Z24" s="6">
        <v>5200</v>
      </c>
      <c r="AA24" s="23">
        <v>0</v>
      </c>
      <c r="AB24" s="23">
        <v>0</v>
      </c>
      <c r="AC24" s="23">
        <v>0</v>
      </c>
      <c r="AD24" s="23">
        <v>0</v>
      </c>
      <c r="AE24" s="23">
        <v>0</v>
      </c>
      <c r="AF24" s="23">
        <v>0</v>
      </c>
      <c r="AG24" s="23">
        <v>0</v>
      </c>
      <c r="AH24" s="23">
        <v>0</v>
      </c>
      <c r="AI24" s="23">
        <v>0</v>
      </c>
      <c r="AJ24" s="23">
        <v>0</v>
      </c>
      <c r="AK24" s="23">
        <v>0</v>
      </c>
      <c r="AL24" s="23">
        <v>0</v>
      </c>
      <c r="AM24" s="23">
        <v>0</v>
      </c>
      <c r="AN24" s="23">
        <v>0</v>
      </c>
      <c r="AO24" s="23">
        <v>0</v>
      </c>
      <c r="AP24" s="23">
        <v>0</v>
      </c>
      <c r="AQ24" s="23">
        <v>0</v>
      </c>
      <c r="AR24" s="23">
        <v>0</v>
      </c>
      <c r="AS24" s="23">
        <v>0</v>
      </c>
      <c r="AT24" s="23">
        <v>0</v>
      </c>
      <c r="AU24" s="23">
        <v>0</v>
      </c>
      <c r="AV24" s="23">
        <v>0</v>
      </c>
      <c r="AW24" s="24">
        <v>0</v>
      </c>
    </row>
    <row r="25" spans="1:49" x14ac:dyDescent="0.25">
      <c r="A25" s="6">
        <v>5600</v>
      </c>
      <c r="B25" s="23"/>
      <c r="C25" s="23"/>
      <c r="D25" s="23"/>
      <c r="E25" s="23"/>
      <c r="F25" s="23"/>
      <c r="G25" s="23"/>
      <c r="H25" s="23"/>
      <c r="I25" s="23"/>
      <c r="J25" s="23"/>
      <c r="K25" s="23"/>
      <c r="L25" s="23"/>
      <c r="M25" s="23"/>
      <c r="N25" s="23"/>
      <c r="O25" s="23"/>
      <c r="P25" s="23"/>
      <c r="Q25" s="23">
        <v>16.600000000000001</v>
      </c>
      <c r="R25" s="23"/>
      <c r="S25" s="23"/>
      <c r="T25" s="23"/>
      <c r="U25" s="23"/>
      <c r="V25" s="23"/>
      <c r="W25" s="23"/>
      <c r="X25" s="24"/>
      <c r="Z25" s="6">
        <v>5600</v>
      </c>
      <c r="AA25" s="23">
        <v>0</v>
      </c>
      <c r="AB25" s="23">
        <v>0</v>
      </c>
      <c r="AC25" s="23">
        <v>0</v>
      </c>
      <c r="AD25" s="23">
        <v>0</v>
      </c>
      <c r="AE25" s="23">
        <v>0</v>
      </c>
      <c r="AF25" s="23">
        <v>0</v>
      </c>
      <c r="AG25" s="23">
        <v>0</v>
      </c>
      <c r="AH25" s="23">
        <v>0</v>
      </c>
      <c r="AI25" s="23">
        <v>0</v>
      </c>
      <c r="AJ25" s="23">
        <v>0</v>
      </c>
      <c r="AK25" s="23">
        <v>0</v>
      </c>
      <c r="AL25" s="23">
        <v>0</v>
      </c>
      <c r="AM25" s="23">
        <v>0</v>
      </c>
      <c r="AN25" s="23">
        <v>0</v>
      </c>
      <c r="AO25" s="23">
        <v>0</v>
      </c>
      <c r="AP25" s="23">
        <v>1</v>
      </c>
      <c r="AQ25" s="23">
        <v>0</v>
      </c>
      <c r="AR25" s="23">
        <v>0</v>
      </c>
      <c r="AS25" s="23">
        <v>0</v>
      </c>
      <c r="AT25" s="23">
        <v>0</v>
      </c>
      <c r="AU25" s="23">
        <v>0</v>
      </c>
      <c r="AV25" s="23">
        <v>0</v>
      </c>
      <c r="AW25" s="24">
        <v>0</v>
      </c>
    </row>
    <row r="26" spans="1:49" x14ac:dyDescent="0.25">
      <c r="A26" s="6">
        <v>6000</v>
      </c>
      <c r="B26" s="23"/>
      <c r="C26" s="23"/>
      <c r="D26" s="23"/>
      <c r="E26" s="23"/>
      <c r="F26" s="23"/>
      <c r="G26" s="23"/>
      <c r="H26" s="23"/>
      <c r="I26" s="23"/>
      <c r="J26" s="23"/>
      <c r="K26" s="23"/>
      <c r="L26" s="23"/>
      <c r="M26" s="23"/>
      <c r="N26" s="23"/>
      <c r="O26" s="23"/>
      <c r="P26" s="23"/>
      <c r="Q26" s="23"/>
      <c r="R26" s="23"/>
      <c r="S26" s="23"/>
      <c r="T26" s="23"/>
      <c r="U26" s="23"/>
      <c r="V26" s="23"/>
      <c r="W26" s="23"/>
      <c r="X26" s="24"/>
      <c r="Z26" s="6">
        <v>6000</v>
      </c>
      <c r="AA26" s="23">
        <v>0</v>
      </c>
      <c r="AB26" s="23">
        <v>0</v>
      </c>
      <c r="AC26" s="23">
        <v>0</v>
      </c>
      <c r="AD26" s="23">
        <v>0</v>
      </c>
      <c r="AE26" s="23">
        <v>0</v>
      </c>
      <c r="AF26" s="23">
        <v>0</v>
      </c>
      <c r="AG26" s="23">
        <v>0</v>
      </c>
      <c r="AH26" s="23">
        <v>0</v>
      </c>
      <c r="AI26" s="23">
        <v>0</v>
      </c>
      <c r="AJ26" s="23">
        <v>0</v>
      </c>
      <c r="AK26" s="23">
        <v>0</v>
      </c>
      <c r="AL26" s="23">
        <v>0</v>
      </c>
      <c r="AM26" s="23">
        <v>0</v>
      </c>
      <c r="AN26" s="23">
        <v>0</v>
      </c>
      <c r="AO26" s="23">
        <v>0</v>
      </c>
      <c r="AP26" s="23">
        <v>0</v>
      </c>
      <c r="AQ26" s="23">
        <v>0</v>
      </c>
      <c r="AR26" s="23">
        <v>0</v>
      </c>
      <c r="AS26" s="23">
        <v>0</v>
      </c>
      <c r="AT26" s="23">
        <v>0</v>
      </c>
      <c r="AU26" s="23">
        <v>0</v>
      </c>
      <c r="AV26" s="23">
        <v>0</v>
      </c>
      <c r="AW26" s="24">
        <v>0</v>
      </c>
    </row>
    <row r="27" spans="1:49" x14ac:dyDescent="0.25">
      <c r="A27" s="6">
        <v>6400</v>
      </c>
      <c r="B27" s="23"/>
      <c r="C27" s="23"/>
      <c r="D27" s="23"/>
      <c r="E27" s="23"/>
      <c r="F27" s="23"/>
      <c r="G27" s="23"/>
      <c r="H27" s="23"/>
      <c r="I27" s="23"/>
      <c r="J27" s="23"/>
      <c r="K27" s="23"/>
      <c r="L27" s="23"/>
      <c r="M27" s="23"/>
      <c r="N27" s="23"/>
      <c r="O27" s="23"/>
      <c r="P27" s="23"/>
      <c r="Q27" s="23"/>
      <c r="R27" s="23"/>
      <c r="S27" s="23"/>
      <c r="T27" s="23"/>
      <c r="U27" s="23"/>
      <c r="V27" s="23"/>
      <c r="W27" s="23"/>
      <c r="X27" s="24"/>
      <c r="Z27" s="6">
        <v>6400</v>
      </c>
      <c r="AA27" s="23">
        <v>0</v>
      </c>
      <c r="AB27" s="23">
        <v>0</v>
      </c>
      <c r="AC27" s="23">
        <v>0</v>
      </c>
      <c r="AD27" s="23">
        <v>0</v>
      </c>
      <c r="AE27" s="23">
        <v>0</v>
      </c>
      <c r="AF27" s="23">
        <v>0</v>
      </c>
      <c r="AG27" s="23">
        <v>0</v>
      </c>
      <c r="AH27" s="23">
        <v>0</v>
      </c>
      <c r="AI27" s="23">
        <v>0</v>
      </c>
      <c r="AJ27" s="23">
        <v>0</v>
      </c>
      <c r="AK27" s="23">
        <v>0</v>
      </c>
      <c r="AL27" s="23">
        <v>0</v>
      </c>
      <c r="AM27" s="23">
        <v>0</v>
      </c>
      <c r="AN27" s="23">
        <v>0</v>
      </c>
      <c r="AO27" s="23">
        <v>0</v>
      </c>
      <c r="AP27" s="23">
        <v>0</v>
      </c>
      <c r="AQ27" s="23">
        <v>0</v>
      </c>
      <c r="AR27" s="23">
        <v>0</v>
      </c>
      <c r="AS27" s="23">
        <v>0</v>
      </c>
      <c r="AT27" s="23">
        <v>0</v>
      </c>
      <c r="AU27" s="23">
        <v>0</v>
      </c>
      <c r="AV27" s="23">
        <v>0</v>
      </c>
      <c r="AW27" s="24">
        <v>0</v>
      </c>
    </row>
    <row r="28" spans="1:49" x14ac:dyDescent="0.25">
      <c r="A28" s="6">
        <v>6800</v>
      </c>
      <c r="B28" s="23"/>
      <c r="C28" s="23"/>
      <c r="D28" s="23"/>
      <c r="E28" s="23"/>
      <c r="F28" s="23"/>
      <c r="G28" s="23"/>
      <c r="H28" s="23"/>
      <c r="I28" s="23"/>
      <c r="J28" s="23"/>
      <c r="K28" s="23"/>
      <c r="L28" s="23"/>
      <c r="M28" s="23"/>
      <c r="N28" s="23"/>
      <c r="O28" s="23"/>
      <c r="P28" s="23"/>
      <c r="Q28" s="23"/>
      <c r="R28" s="23"/>
      <c r="S28" s="23"/>
      <c r="T28" s="23"/>
      <c r="U28" s="23"/>
      <c r="V28" s="23"/>
      <c r="W28" s="23"/>
      <c r="X28" s="24"/>
      <c r="Z28" s="6">
        <v>6800</v>
      </c>
      <c r="AA28" s="23">
        <v>0</v>
      </c>
      <c r="AB28" s="23">
        <v>0</v>
      </c>
      <c r="AC28" s="23">
        <v>0</v>
      </c>
      <c r="AD28" s="23">
        <v>0</v>
      </c>
      <c r="AE28" s="23">
        <v>0</v>
      </c>
      <c r="AF28" s="23">
        <v>0</v>
      </c>
      <c r="AG28" s="23">
        <v>0</v>
      </c>
      <c r="AH28" s="23">
        <v>0</v>
      </c>
      <c r="AI28" s="23">
        <v>0</v>
      </c>
      <c r="AJ28" s="23">
        <v>0</v>
      </c>
      <c r="AK28" s="23">
        <v>0</v>
      </c>
      <c r="AL28" s="23">
        <v>0</v>
      </c>
      <c r="AM28" s="23">
        <v>0</v>
      </c>
      <c r="AN28" s="23">
        <v>0</v>
      </c>
      <c r="AO28" s="23">
        <v>0</v>
      </c>
      <c r="AP28" s="23">
        <v>0</v>
      </c>
      <c r="AQ28" s="23">
        <v>0</v>
      </c>
      <c r="AR28" s="23">
        <v>0</v>
      </c>
      <c r="AS28" s="23">
        <v>0</v>
      </c>
      <c r="AT28" s="23">
        <v>0</v>
      </c>
      <c r="AU28" s="23">
        <v>0</v>
      </c>
      <c r="AV28" s="23">
        <v>0</v>
      </c>
      <c r="AW28" s="24">
        <v>0</v>
      </c>
    </row>
    <row r="29" spans="1:49" x14ac:dyDescent="0.25">
      <c r="A29" s="6">
        <v>7200</v>
      </c>
      <c r="B29" s="23"/>
      <c r="C29" s="23"/>
      <c r="D29" s="23"/>
      <c r="E29" s="23"/>
      <c r="F29" s="23"/>
      <c r="G29" s="23"/>
      <c r="H29" s="23"/>
      <c r="I29" s="23"/>
      <c r="J29" s="23"/>
      <c r="K29" s="23"/>
      <c r="L29" s="23"/>
      <c r="M29" s="23"/>
      <c r="N29" s="23"/>
      <c r="O29" s="23"/>
      <c r="P29" s="23"/>
      <c r="Q29" s="23"/>
      <c r="R29" s="23"/>
      <c r="S29" s="23"/>
      <c r="T29" s="23"/>
      <c r="U29" s="23"/>
      <c r="V29" s="23"/>
      <c r="W29" s="23"/>
      <c r="X29" s="24"/>
      <c r="Z29" s="6">
        <v>7200</v>
      </c>
      <c r="AA29" s="23">
        <v>0</v>
      </c>
      <c r="AB29" s="23">
        <v>0</v>
      </c>
      <c r="AC29" s="23">
        <v>0</v>
      </c>
      <c r="AD29" s="23">
        <v>0</v>
      </c>
      <c r="AE29" s="23">
        <v>0</v>
      </c>
      <c r="AF29" s="23">
        <v>0</v>
      </c>
      <c r="AG29" s="23">
        <v>0</v>
      </c>
      <c r="AH29" s="23">
        <v>0</v>
      </c>
      <c r="AI29" s="23">
        <v>0</v>
      </c>
      <c r="AJ29" s="23">
        <v>0</v>
      </c>
      <c r="AK29" s="23">
        <v>0</v>
      </c>
      <c r="AL29" s="23">
        <v>0</v>
      </c>
      <c r="AM29" s="23">
        <v>0</v>
      </c>
      <c r="AN29" s="23">
        <v>0</v>
      </c>
      <c r="AO29" s="23">
        <v>0</v>
      </c>
      <c r="AP29" s="23">
        <v>0</v>
      </c>
      <c r="AQ29" s="23">
        <v>0</v>
      </c>
      <c r="AR29" s="23">
        <v>0</v>
      </c>
      <c r="AS29" s="23">
        <v>0</v>
      </c>
      <c r="AT29" s="23">
        <v>0</v>
      </c>
      <c r="AU29" s="23">
        <v>0</v>
      </c>
      <c r="AV29" s="23">
        <v>0</v>
      </c>
      <c r="AW29" s="24">
        <v>0</v>
      </c>
    </row>
    <row r="30" spans="1:49" x14ac:dyDescent="0.25">
      <c r="A30" s="6">
        <v>7600</v>
      </c>
      <c r="B30" s="23"/>
      <c r="C30" s="23"/>
      <c r="D30" s="23"/>
      <c r="E30" s="23"/>
      <c r="F30" s="23"/>
      <c r="G30" s="23"/>
      <c r="H30" s="23"/>
      <c r="I30" s="23"/>
      <c r="J30" s="23"/>
      <c r="K30" s="23"/>
      <c r="L30" s="23"/>
      <c r="M30" s="23"/>
      <c r="N30" s="23"/>
      <c r="O30" s="23"/>
      <c r="P30" s="23"/>
      <c r="Q30" s="23"/>
      <c r="R30" s="23"/>
      <c r="S30" s="23"/>
      <c r="T30" s="23"/>
      <c r="U30" s="23"/>
      <c r="V30" s="23"/>
      <c r="W30" s="23"/>
      <c r="X30" s="24"/>
      <c r="Z30" s="6">
        <v>7600</v>
      </c>
      <c r="AA30" s="23">
        <v>0</v>
      </c>
      <c r="AB30" s="23">
        <v>0</v>
      </c>
      <c r="AC30" s="23">
        <v>0</v>
      </c>
      <c r="AD30" s="23">
        <v>0</v>
      </c>
      <c r="AE30" s="23">
        <v>0</v>
      </c>
      <c r="AF30" s="23">
        <v>0</v>
      </c>
      <c r="AG30" s="23">
        <v>0</v>
      </c>
      <c r="AH30" s="23">
        <v>0</v>
      </c>
      <c r="AI30" s="23">
        <v>0</v>
      </c>
      <c r="AJ30" s="23">
        <v>0</v>
      </c>
      <c r="AK30" s="23">
        <v>0</v>
      </c>
      <c r="AL30" s="23">
        <v>0</v>
      </c>
      <c r="AM30" s="23">
        <v>0</v>
      </c>
      <c r="AN30" s="23">
        <v>0</v>
      </c>
      <c r="AO30" s="23">
        <v>0</v>
      </c>
      <c r="AP30" s="23">
        <v>0</v>
      </c>
      <c r="AQ30" s="23">
        <v>0</v>
      </c>
      <c r="AR30" s="23">
        <v>0</v>
      </c>
      <c r="AS30" s="23">
        <v>0</v>
      </c>
      <c r="AT30" s="23">
        <v>0</v>
      </c>
      <c r="AU30" s="23">
        <v>0</v>
      </c>
      <c r="AV30" s="23">
        <v>0</v>
      </c>
      <c r="AW30" s="24">
        <v>0</v>
      </c>
    </row>
    <row r="31" spans="1:49" x14ac:dyDescent="0.25">
      <c r="A31" s="6">
        <v>8000</v>
      </c>
      <c r="B31" s="23"/>
      <c r="C31" s="23"/>
      <c r="D31" s="23"/>
      <c r="E31" s="23"/>
      <c r="F31" s="23"/>
      <c r="G31" s="23"/>
      <c r="H31" s="23"/>
      <c r="I31" s="23"/>
      <c r="J31" s="23"/>
      <c r="K31" s="23"/>
      <c r="L31" s="23"/>
      <c r="M31" s="23"/>
      <c r="N31" s="23"/>
      <c r="O31" s="23"/>
      <c r="P31" s="23"/>
      <c r="Q31" s="23"/>
      <c r="R31" s="23"/>
      <c r="S31" s="23"/>
      <c r="T31" s="23"/>
      <c r="U31" s="23"/>
      <c r="V31" s="23"/>
      <c r="W31" s="23"/>
      <c r="X31" s="24"/>
      <c r="Z31" s="6">
        <v>8000</v>
      </c>
      <c r="AA31" s="23">
        <v>0</v>
      </c>
      <c r="AB31" s="23">
        <v>0</v>
      </c>
      <c r="AC31" s="23">
        <v>0</v>
      </c>
      <c r="AD31" s="23">
        <v>0</v>
      </c>
      <c r="AE31" s="23">
        <v>0</v>
      </c>
      <c r="AF31" s="23">
        <v>0</v>
      </c>
      <c r="AG31" s="23">
        <v>0</v>
      </c>
      <c r="AH31" s="23">
        <v>0</v>
      </c>
      <c r="AI31" s="23">
        <v>0</v>
      </c>
      <c r="AJ31" s="23">
        <v>0</v>
      </c>
      <c r="AK31" s="23">
        <v>0</v>
      </c>
      <c r="AL31" s="23">
        <v>0</v>
      </c>
      <c r="AM31" s="23">
        <v>0</v>
      </c>
      <c r="AN31" s="23">
        <v>0</v>
      </c>
      <c r="AO31" s="23">
        <v>0</v>
      </c>
      <c r="AP31" s="23">
        <v>0</v>
      </c>
      <c r="AQ31" s="23">
        <v>0</v>
      </c>
      <c r="AR31" s="23">
        <v>0</v>
      </c>
      <c r="AS31" s="23">
        <v>0</v>
      </c>
      <c r="AT31" s="23">
        <v>0</v>
      </c>
      <c r="AU31" s="23">
        <v>0</v>
      </c>
      <c r="AV31" s="23">
        <v>0</v>
      </c>
      <c r="AW31" s="24">
        <v>0</v>
      </c>
    </row>
    <row r="32" spans="1:49" x14ac:dyDescent="0.25">
      <c r="A32" s="6">
        <v>8400</v>
      </c>
      <c r="B32" s="23"/>
      <c r="C32" s="23"/>
      <c r="D32" s="23"/>
      <c r="E32" s="23"/>
      <c r="F32" s="23"/>
      <c r="G32" s="23"/>
      <c r="H32" s="23"/>
      <c r="I32" s="23"/>
      <c r="J32" s="23"/>
      <c r="K32" s="23"/>
      <c r="L32" s="23"/>
      <c r="M32" s="23"/>
      <c r="N32" s="23"/>
      <c r="O32" s="23"/>
      <c r="P32" s="23"/>
      <c r="Q32" s="23"/>
      <c r="R32" s="23"/>
      <c r="S32" s="23"/>
      <c r="T32" s="23"/>
      <c r="U32" s="23"/>
      <c r="V32" s="23"/>
      <c r="W32" s="23"/>
      <c r="X32" s="24"/>
      <c r="Z32" s="6">
        <v>8400</v>
      </c>
      <c r="AA32" s="23">
        <v>0</v>
      </c>
      <c r="AB32" s="23">
        <v>0</v>
      </c>
      <c r="AC32" s="23">
        <v>0</v>
      </c>
      <c r="AD32" s="23">
        <v>0</v>
      </c>
      <c r="AE32" s="23">
        <v>0</v>
      </c>
      <c r="AF32" s="23">
        <v>0</v>
      </c>
      <c r="AG32" s="23">
        <v>0</v>
      </c>
      <c r="AH32" s="23">
        <v>0</v>
      </c>
      <c r="AI32" s="23">
        <v>0</v>
      </c>
      <c r="AJ32" s="23">
        <v>0</v>
      </c>
      <c r="AK32" s="23">
        <v>0</v>
      </c>
      <c r="AL32" s="23">
        <v>0</v>
      </c>
      <c r="AM32" s="23">
        <v>0</v>
      </c>
      <c r="AN32" s="23">
        <v>0</v>
      </c>
      <c r="AO32" s="23">
        <v>0</v>
      </c>
      <c r="AP32" s="23">
        <v>0</v>
      </c>
      <c r="AQ32" s="23">
        <v>0</v>
      </c>
      <c r="AR32" s="23">
        <v>0</v>
      </c>
      <c r="AS32" s="23">
        <v>0</v>
      </c>
      <c r="AT32" s="23">
        <v>0</v>
      </c>
      <c r="AU32" s="23">
        <v>0</v>
      </c>
      <c r="AV32" s="23">
        <v>0</v>
      </c>
      <c r="AW32" s="24">
        <v>0</v>
      </c>
    </row>
    <row r="33" spans="1:49" x14ac:dyDescent="0.25">
      <c r="A33" s="6">
        <v>8800</v>
      </c>
      <c r="B33" s="23"/>
      <c r="C33" s="23"/>
      <c r="D33" s="23"/>
      <c r="E33" s="23"/>
      <c r="F33" s="23"/>
      <c r="G33" s="23"/>
      <c r="H33" s="23"/>
      <c r="I33" s="23"/>
      <c r="J33" s="23"/>
      <c r="K33" s="23"/>
      <c r="L33" s="23"/>
      <c r="M33" s="23"/>
      <c r="N33" s="23"/>
      <c r="O33" s="23"/>
      <c r="P33" s="23"/>
      <c r="Q33" s="23"/>
      <c r="R33" s="23"/>
      <c r="S33" s="23"/>
      <c r="T33" s="23"/>
      <c r="U33" s="23"/>
      <c r="V33" s="23"/>
      <c r="W33" s="23"/>
      <c r="X33" s="24"/>
      <c r="Z33" s="6">
        <v>8800</v>
      </c>
      <c r="AA33" s="23">
        <v>0</v>
      </c>
      <c r="AB33" s="23">
        <v>0</v>
      </c>
      <c r="AC33" s="23">
        <v>0</v>
      </c>
      <c r="AD33" s="23">
        <v>0</v>
      </c>
      <c r="AE33" s="23">
        <v>0</v>
      </c>
      <c r="AF33" s="23">
        <v>0</v>
      </c>
      <c r="AG33" s="23">
        <v>0</v>
      </c>
      <c r="AH33" s="23">
        <v>0</v>
      </c>
      <c r="AI33" s="23">
        <v>0</v>
      </c>
      <c r="AJ33" s="23">
        <v>0</v>
      </c>
      <c r="AK33" s="23">
        <v>0</v>
      </c>
      <c r="AL33" s="23">
        <v>0</v>
      </c>
      <c r="AM33" s="23">
        <v>0</v>
      </c>
      <c r="AN33" s="23">
        <v>0</v>
      </c>
      <c r="AO33" s="23">
        <v>0</v>
      </c>
      <c r="AP33" s="23">
        <v>0</v>
      </c>
      <c r="AQ33" s="23">
        <v>0</v>
      </c>
      <c r="AR33" s="23">
        <v>0</v>
      </c>
      <c r="AS33" s="23">
        <v>0</v>
      </c>
      <c r="AT33" s="23">
        <v>0</v>
      </c>
      <c r="AU33" s="23">
        <v>0</v>
      </c>
      <c r="AV33" s="23">
        <v>0</v>
      </c>
      <c r="AW33" s="24">
        <v>0</v>
      </c>
    </row>
    <row r="34" spans="1:49" x14ac:dyDescent="0.25">
      <c r="A34" s="6">
        <v>9200</v>
      </c>
      <c r="B34" s="23"/>
      <c r="C34" s="23"/>
      <c r="D34" s="23"/>
      <c r="E34" s="23"/>
      <c r="F34" s="23"/>
      <c r="G34" s="23"/>
      <c r="H34" s="23"/>
      <c r="I34" s="23"/>
      <c r="J34" s="23"/>
      <c r="K34" s="23"/>
      <c r="L34" s="23"/>
      <c r="M34" s="23"/>
      <c r="N34" s="23"/>
      <c r="O34" s="23"/>
      <c r="P34" s="23"/>
      <c r="Q34" s="23"/>
      <c r="R34" s="23"/>
      <c r="S34" s="23"/>
      <c r="T34" s="23"/>
      <c r="U34" s="23"/>
      <c r="V34" s="23"/>
      <c r="W34" s="23"/>
      <c r="X34" s="24"/>
      <c r="Z34" s="6">
        <v>9200</v>
      </c>
      <c r="AA34" s="23">
        <v>0</v>
      </c>
      <c r="AB34" s="23">
        <v>0</v>
      </c>
      <c r="AC34" s="23">
        <v>0</v>
      </c>
      <c r="AD34" s="23">
        <v>0</v>
      </c>
      <c r="AE34" s="23">
        <v>0</v>
      </c>
      <c r="AF34" s="23">
        <v>0</v>
      </c>
      <c r="AG34" s="23">
        <v>0</v>
      </c>
      <c r="AH34" s="23">
        <v>0</v>
      </c>
      <c r="AI34" s="23">
        <v>0</v>
      </c>
      <c r="AJ34" s="23">
        <v>0</v>
      </c>
      <c r="AK34" s="23">
        <v>0</v>
      </c>
      <c r="AL34" s="23">
        <v>0</v>
      </c>
      <c r="AM34" s="23">
        <v>0</v>
      </c>
      <c r="AN34" s="23">
        <v>0</v>
      </c>
      <c r="AO34" s="23">
        <v>0</v>
      </c>
      <c r="AP34" s="23">
        <v>0</v>
      </c>
      <c r="AQ34" s="23">
        <v>0</v>
      </c>
      <c r="AR34" s="23">
        <v>0</v>
      </c>
      <c r="AS34" s="23">
        <v>0</v>
      </c>
      <c r="AT34" s="23">
        <v>0</v>
      </c>
      <c r="AU34" s="23">
        <v>0</v>
      </c>
      <c r="AV34" s="23">
        <v>0</v>
      </c>
      <c r="AW34" s="24">
        <v>0</v>
      </c>
    </row>
    <row r="35" spans="1:49" x14ac:dyDescent="0.25">
      <c r="A35" s="6">
        <v>9600</v>
      </c>
      <c r="B35" s="23"/>
      <c r="C35" s="23"/>
      <c r="D35" s="23"/>
      <c r="E35" s="23"/>
      <c r="F35" s="23"/>
      <c r="G35" s="23"/>
      <c r="H35" s="23"/>
      <c r="I35" s="23"/>
      <c r="J35" s="23"/>
      <c r="K35" s="23"/>
      <c r="L35" s="23"/>
      <c r="M35" s="23"/>
      <c r="N35" s="23"/>
      <c r="O35" s="23"/>
      <c r="P35" s="23"/>
      <c r="Q35" s="23"/>
      <c r="R35" s="23"/>
      <c r="S35" s="23"/>
      <c r="T35" s="23"/>
      <c r="U35" s="23"/>
      <c r="V35" s="23"/>
      <c r="W35" s="23"/>
      <c r="X35" s="24"/>
      <c r="Z35" s="6">
        <v>9600</v>
      </c>
      <c r="AA35" s="23">
        <v>0</v>
      </c>
      <c r="AB35" s="23">
        <v>0</v>
      </c>
      <c r="AC35" s="23">
        <v>0</v>
      </c>
      <c r="AD35" s="23">
        <v>0</v>
      </c>
      <c r="AE35" s="23">
        <v>0</v>
      </c>
      <c r="AF35" s="23">
        <v>0</v>
      </c>
      <c r="AG35" s="23">
        <v>0</v>
      </c>
      <c r="AH35" s="23">
        <v>0</v>
      </c>
      <c r="AI35" s="23">
        <v>0</v>
      </c>
      <c r="AJ35" s="23">
        <v>0</v>
      </c>
      <c r="AK35" s="23">
        <v>0</v>
      </c>
      <c r="AL35" s="23">
        <v>0</v>
      </c>
      <c r="AM35" s="23">
        <v>0</v>
      </c>
      <c r="AN35" s="23">
        <v>0</v>
      </c>
      <c r="AO35" s="23">
        <v>0</v>
      </c>
      <c r="AP35" s="23">
        <v>0</v>
      </c>
      <c r="AQ35" s="23">
        <v>0</v>
      </c>
      <c r="AR35" s="23">
        <v>0</v>
      </c>
      <c r="AS35" s="23">
        <v>0</v>
      </c>
      <c r="AT35" s="23">
        <v>0</v>
      </c>
      <c r="AU35" s="23">
        <v>0</v>
      </c>
      <c r="AV35" s="23">
        <v>0</v>
      </c>
      <c r="AW35" s="24">
        <v>0</v>
      </c>
    </row>
    <row r="36" spans="1:49" x14ac:dyDescent="0.25">
      <c r="A36" s="6">
        <v>10000</v>
      </c>
      <c r="B36" s="23"/>
      <c r="C36" s="23"/>
      <c r="D36" s="23"/>
      <c r="E36" s="23"/>
      <c r="F36" s="23"/>
      <c r="G36" s="23"/>
      <c r="H36" s="23"/>
      <c r="I36" s="23"/>
      <c r="J36" s="23"/>
      <c r="K36" s="23"/>
      <c r="L36" s="23"/>
      <c r="M36" s="23"/>
      <c r="N36" s="23"/>
      <c r="O36" s="23"/>
      <c r="P36" s="23"/>
      <c r="Q36" s="23"/>
      <c r="R36" s="23"/>
      <c r="S36" s="23"/>
      <c r="T36" s="23"/>
      <c r="U36" s="23"/>
      <c r="V36" s="23"/>
      <c r="W36" s="23"/>
      <c r="X36" s="24"/>
      <c r="Z36" s="6">
        <v>10000</v>
      </c>
      <c r="AA36" s="23">
        <v>0</v>
      </c>
      <c r="AB36" s="23">
        <v>0</v>
      </c>
      <c r="AC36" s="23">
        <v>0</v>
      </c>
      <c r="AD36" s="23">
        <v>0</v>
      </c>
      <c r="AE36" s="23">
        <v>0</v>
      </c>
      <c r="AF36" s="23">
        <v>0</v>
      </c>
      <c r="AG36" s="23">
        <v>0</v>
      </c>
      <c r="AH36" s="23">
        <v>0</v>
      </c>
      <c r="AI36" s="23">
        <v>0</v>
      </c>
      <c r="AJ36" s="23">
        <v>0</v>
      </c>
      <c r="AK36" s="23">
        <v>0</v>
      </c>
      <c r="AL36" s="23">
        <v>0</v>
      </c>
      <c r="AM36" s="23">
        <v>0</v>
      </c>
      <c r="AN36" s="23">
        <v>0</v>
      </c>
      <c r="AO36" s="23">
        <v>0</v>
      </c>
      <c r="AP36" s="23">
        <v>0</v>
      </c>
      <c r="AQ36" s="23">
        <v>0</v>
      </c>
      <c r="AR36" s="23">
        <v>0</v>
      </c>
      <c r="AS36" s="23">
        <v>0</v>
      </c>
      <c r="AT36" s="23">
        <v>0</v>
      </c>
      <c r="AU36" s="23">
        <v>0</v>
      </c>
      <c r="AV36" s="23">
        <v>0</v>
      </c>
      <c r="AW36" s="24">
        <v>0</v>
      </c>
    </row>
    <row r="37" spans="1:49" x14ac:dyDescent="0.25">
      <c r="A37" s="6">
        <v>10400</v>
      </c>
      <c r="B37" s="23"/>
      <c r="C37" s="23"/>
      <c r="D37" s="23"/>
      <c r="E37" s="23"/>
      <c r="F37" s="23"/>
      <c r="G37" s="23"/>
      <c r="H37" s="23"/>
      <c r="I37" s="23"/>
      <c r="J37" s="23"/>
      <c r="K37" s="23"/>
      <c r="L37" s="23"/>
      <c r="M37" s="23"/>
      <c r="N37" s="23"/>
      <c r="O37" s="23"/>
      <c r="P37" s="23"/>
      <c r="Q37" s="23"/>
      <c r="R37" s="23"/>
      <c r="S37" s="23"/>
      <c r="T37" s="23"/>
      <c r="U37" s="23"/>
      <c r="V37" s="23"/>
      <c r="W37" s="23"/>
      <c r="X37" s="24"/>
      <c r="Z37" s="6">
        <v>10400</v>
      </c>
      <c r="AA37" s="23">
        <v>0</v>
      </c>
      <c r="AB37" s="23">
        <v>0</v>
      </c>
      <c r="AC37" s="23">
        <v>0</v>
      </c>
      <c r="AD37" s="23">
        <v>0</v>
      </c>
      <c r="AE37" s="23">
        <v>0</v>
      </c>
      <c r="AF37" s="23">
        <v>0</v>
      </c>
      <c r="AG37" s="23">
        <v>0</v>
      </c>
      <c r="AH37" s="23">
        <v>0</v>
      </c>
      <c r="AI37" s="23">
        <v>0</v>
      </c>
      <c r="AJ37" s="23">
        <v>0</v>
      </c>
      <c r="AK37" s="23">
        <v>0</v>
      </c>
      <c r="AL37" s="23">
        <v>0</v>
      </c>
      <c r="AM37" s="23">
        <v>0</v>
      </c>
      <c r="AN37" s="23">
        <v>0</v>
      </c>
      <c r="AO37" s="23">
        <v>0</v>
      </c>
      <c r="AP37" s="23">
        <v>0</v>
      </c>
      <c r="AQ37" s="23">
        <v>0</v>
      </c>
      <c r="AR37" s="23">
        <v>0</v>
      </c>
      <c r="AS37" s="23">
        <v>0</v>
      </c>
      <c r="AT37" s="23">
        <v>0</v>
      </c>
      <c r="AU37" s="23">
        <v>0</v>
      </c>
      <c r="AV37" s="23">
        <v>0</v>
      </c>
      <c r="AW37" s="24">
        <v>0</v>
      </c>
    </row>
    <row r="38" spans="1:49" x14ac:dyDescent="0.25">
      <c r="A38" s="6">
        <v>10800</v>
      </c>
      <c r="B38" s="23"/>
      <c r="C38" s="23"/>
      <c r="D38" s="23"/>
      <c r="E38" s="23"/>
      <c r="F38" s="23"/>
      <c r="G38" s="23"/>
      <c r="H38" s="23"/>
      <c r="I38" s="23"/>
      <c r="J38" s="23"/>
      <c r="K38" s="23"/>
      <c r="L38" s="23"/>
      <c r="M38" s="23"/>
      <c r="N38" s="23"/>
      <c r="O38" s="23"/>
      <c r="P38" s="23"/>
      <c r="Q38" s="23"/>
      <c r="R38" s="23"/>
      <c r="S38" s="23"/>
      <c r="T38" s="23"/>
      <c r="U38" s="23"/>
      <c r="V38" s="23"/>
      <c r="W38" s="23"/>
      <c r="X38" s="24"/>
      <c r="Z38" s="6">
        <v>10800</v>
      </c>
      <c r="AA38" s="23">
        <v>0</v>
      </c>
      <c r="AB38" s="23">
        <v>0</v>
      </c>
      <c r="AC38" s="23">
        <v>0</v>
      </c>
      <c r="AD38" s="23">
        <v>0</v>
      </c>
      <c r="AE38" s="23">
        <v>0</v>
      </c>
      <c r="AF38" s="23">
        <v>0</v>
      </c>
      <c r="AG38" s="23">
        <v>0</v>
      </c>
      <c r="AH38" s="23">
        <v>0</v>
      </c>
      <c r="AI38" s="23">
        <v>0</v>
      </c>
      <c r="AJ38" s="23">
        <v>0</v>
      </c>
      <c r="AK38" s="23">
        <v>0</v>
      </c>
      <c r="AL38" s="23">
        <v>0</v>
      </c>
      <c r="AM38" s="23">
        <v>0</v>
      </c>
      <c r="AN38" s="23">
        <v>0</v>
      </c>
      <c r="AO38" s="23">
        <v>0</v>
      </c>
      <c r="AP38" s="23">
        <v>0</v>
      </c>
      <c r="AQ38" s="23">
        <v>0</v>
      </c>
      <c r="AR38" s="23">
        <v>0</v>
      </c>
      <c r="AS38" s="23">
        <v>0</v>
      </c>
      <c r="AT38" s="23">
        <v>0</v>
      </c>
      <c r="AU38" s="23">
        <v>0</v>
      </c>
      <c r="AV38" s="23">
        <v>0</v>
      </c>
      <c r="AW38" s="24">
        <v>0</v>
      </c>
    </row>
    <row r="39" spans="1:49" x14ac:dyDescent="0.25">
      <c r="A39" s="6">
        <v>11200</v>
      </c>
      <c r="B39" s="23"/>
      <c r="C39" s="23"/>
      <c r="D39" s="23"/>
      <c r="E39" s="23"/>
      <c r="F39" s="23"/>
      <c r="G39" s="23"/>
      <c r="H39" s="23"/>
      <c r="I39" s="23"/>
      <c r="J39" s="23"/>
      <c r="K39" s="23"/>
      <c r="L39" s="23"/>
      <c r="M39" s="23"/>
      <c r="N39" s="23"/>
      <c r="O39" s="23"/>
      <c r="P39" s="23"/>
      <c r="Q39" s="23"/>
      <c r="R39" s="23"/>
      <c r="S39" s="23"/>
      <c r="T39" s="23"/>
      <c r="U39" s="23"/>
      <c r="V39" s="23"/>
      <c r="W39" s="23"/>
      <c r="X39" s="24"/>
      <c r="Z39" s="6">
        <v>11200</v>
      </c>
      <c r="AA39" s="23">
        <v>0</v>
      </c>
      <c r="AB39" s="23">
        <v>0</v>
      </c>
      <c r="AC39" s="23">
        <v>0</v>
      </c>
      <c r="AD39" s="23">
        <v>0</v>
      </c>
      <c r="AE39" s="23">
        <v>0</v>
      </c>
      <c r="AF39" s="23">
        <v>0</v>
      </c>
      <c r="AG39" s="23">
        <v>0</v>
      </c>
      <c r="AH39" s="23">
        <v>0</v>
      </c>
      <c r="AI39" s="23">
        <v>0</v>
      </c>
      <c r="AJ39" s="23">
        <v>0</v>
      </c>
      <c r="AK39" s="23">
        <v>0</v>
      </c>
      <c r="AL39" s="23">
        <v>0</v>
      </c>
      <c r="AM39" s="23">
        <v>0</v>
      </c>
      <c r="AN39" s="23">
        <v>0</v>
      </c>
      <c r="AO39" s="23">
        <v>0</v>
      </c>
      <c r="AP39" s="23">
        <v>0</v>
      </c>
      <c r="AQ39" s="23">
        <v>0</v>
      </c>
      <c r="AR39" s="23">
        <v>0</v>
      </c>
      <c r="AS39" s="23">
        <v>0</v>
      </c>
      <c r="AT39" s="23">
        <v>0</v>
      </c>
      <c r="AU39" s="23">
        <v>0</v>
      </c>
      <c r="AV39" s="23">
        <v>0</v>
      </c>
      <c r="AW39" s="24">
        <v>0</v>
      </c>
    </row>
    <row r="40" spans="1:49" x14ac:dyDescent="0.25">
      <c r="A40" s="6">
        <v>11600</v>
      </c>
      <c r="B40" s="23"/>
      <c r="C40" s="23"/>
      <c r="D40" s="23"/>
      <c r="E40" s="23"/>
      <c r="F40" s="23"/>
      <c r="G40" s="23"/>
      <c r="H40" s="23"/>
      <c r="I40" s="23"/>
      <c r="J40" s="23"/>
      <c r="K40" s="23"/>
      <c r="L40" s="23"/>
      <c r="M40" s="23"/>
      <c r="N40" s="23"/>
      <c r="O40" s="23"/>
      <c r="P40" s="23"/>
      <c r="Q40" s="23"/>
      <c r="R40" s="23"/>
      <c r="S40" s="23"/>
      <c r="T40" s="23"/>
      <c r="U40" s="23"/>
      <c r="V40" s="23"/>
      <c r="W40" s="23"/>
      <c r="X40" s="24"/>
      <c r="Z40" s="6">
        <v>11600</v>
      </c>
      <c r="AA40" s="23">
        <v>0</v>
      </c>
      <c r="AB40" s="23">
        <v>0</v>
      </c>
      <c r="AC40" s="23">
        <v>0</v>
      </c>
      <c r="AD40" s="23">
        <v>0</v>
      </c>
      <c r="AE40" s="23">
        <v>0</v>
      </c>
      <c r="AF40" s="23">
        <v>0</v>
      </c>
      <c r="AG40" s="23">
        <v>0</v>
      </c>
      <c r="AH40" s="23">
        <v>0</v>
      </c>
      <c r="AI40" s="23">
        <v>0</v>
      </c>
      <c r="AJ40" s="23">
        <v>0</v>
      </c>
      <c r="AK40" s="23">
        <v>0</v>
      </c>
      <c r="AL40" s="23">
        <v>0</v>
      </c>
      <c r="AM40" s="23">
        <v>0</v>
      </c>
      <c r="AN40" s="23">
        <v>0</v>
      </c>
      <c r="AO40" s="23">
        <v>0</v>
      </c>
      <c r="AP40" s="23">
        <v>0</v>
      </c>
      <c r="AQ40" s="23">
        <v>0</v>
      </c>
      <c r="AR40" s="23">
        <v>0</v>
      </c>
      <c r="AS40" s="23">
        <v>0</v>
      </c>
      <c r="AT40" s="23">
        <v>0</v>
      </c>
      <c r="AU40" s="23">
        <v>0</v>
      </c>
      <c r="AV40" s="23">
        <v>0</v>
      </c>
      <c r="AW40" s="24">
        <v>0</v>
      </c>
    </row>
    <row r="41" spans="1:49" x14ac:dyDescent="0.25">
      <c r="A41" s="6">
        <v>12000</v>
      </c>
      <c r="B41" s="23"/>
      <c r="C41" s="23"/>
      <c r="D41" s="23"/>
      <c r="E41" s="23"/>
      <c r="F41" s="23"/>
      <c r="G41" s="23"/>
      <c r="H41" s="23"/>
      <c r="I41" s="23"/>
      <c r="J41" s="23"/>
      <c r="K41" s="23"/>
      <c r="L41" s="23"/>
      <c r="M41" s="23"/>
      <c r="N41" s="23"/>
      <c r="O41" s="23"/>
      <c r="P41" s="23"/>
      <c r="Q41" s="23"/>
      <c r="R41" s="23"/>
      <c r="S41" s="23"/>
      <c r="T41" s="23"/>
      <c r="U41" s="23"/>
      <c r="V41" s="23"/>
      <c r="W41" s="23"/>
      <c r="X41" s="24"/>
      <c r="Z41" s="6">
        <v>12000</v>
      </c>
      <c r="AA41" s="23">
        <v>0</v>
      </c>
      <c r="AB41" s="23">
        <v>0</v>
      </c>
      <c r="AC41" s="23">
        <v>0</v>
      </c>
      <c r="AD41" s="23">
        <v>0</v>
      </c>
      <c r="AE41" s="23">
        <v>0</v>
      </c>
      <c r="AF41" s="23">
        <v>0</v>
      </c>
      <c r="AG41" s="23">
        <v>0</v>
      </c>
      <c r="AH41" s="23">
        <v>0</v>
      </c>
      <c r="AI41" s="23">
        <v>0</v>
      </c>
      <c r="AJ41" s="23">
        <v>0</v>
      </c>
      <c r="AK41" s="23">
        <v>0</v>
      </c>
      <c r="AL41" s="23">
        <v>0</v>
      </c>
      <c r="AM41" s="23">
        <v>0</v>
      </c>
      <c r="AN41" s="23">
        <v>0</v>
      </c>
      <c r="AO41" s="23">
        <v>0</v>
      </c>
      <c r="AP41" s="23">
        <v>0</v>
      </c>
      <c r="AQ41" s="23">
        <v>0</v>
      </c>
      <c r="AR41" s="23">
        <v>0</v>
      </c>
      <c r="AS41" s="23">
        <v>0</v>
      </c>
      <c r="AT41" s="23">
        <v>0</v>
      </c>
      <c r="AU41" s="23">
        <v>0</v>
      </c>
      <c r="AV41" s="23">
        <v>0</v>
      </c>
      <c r="AW41" s="24">
        <v>0</v>
      </c>
    </row>
    <row r="42" spans="1:49" x14ac:dyDescent="0.25">
      <c r="A42" s="6">
        <v>12400</v>
      </c>
      <c r="B42" s="23"/>
      <c r="C42" s="23"/>
      <c r="D42" s="23"/>
      <c r="E42" s="23"/>
      <c r="F42" s="23"/>
      <c r="G42" s="23"/>
      <c r="H42" s="23"/>
      <c r="I42" s="23"/>
      <c r="J42" s="23"/>
      <c r="K42" s="23"/>
      <c r="L42" s="23"/>
      <c r="M42" s="23"/>
      <c r="N42" s="23"/>
      <c r="O42" s="23"/>
      <c r="P42" s="23"/>
      <c r="Q42" s="23"/>
      <c r="R42" s="23"/>
      <c r="S42" s="23"/>
      <c r="T42" s="23"/>
      <c r="U42" s="23"/>
      <c r="V42" s="23"/>
      <c r="W42" s="23"/>
      <c r="X42" s="24"/>
      <c r="Z42" s="6">
        <v>12400</v>
      </c>
      <c r="AA42" s="23">
        <v>0</v>
      </c>
      <c r="AB42" s="23">
        <v>0</v>
      </c>
      <c r="AC42" s="23">
        <v>0</v>
      </c>
      <c r="AD42" s="23">
        <v>0</v>
      </c>
      <c r="AE42" s="23">
        <v>0</v>
      </c>
      <c r="AF42" s="23">
        <v>0</v>
      </c>
      <c r="AG42" s="23">
        <v>0</v>
      </c>
      <c r="AH42" s="23">
        <v>0</v>
      </c>
      <c r="AI42" s="23">
        <v>0</v>
      </c>
      <c r="AJ42" s="23">
        <v>0</v>
      </c>
      <c r="AK42" s="23">
        <v>0</v>
      </c>
      <c r="AL42" s="23">
        <v>0</v>
      </c>
      <c r="AM42" s="23">
        <v>0</v>
      </c>
      <c r="AN42" s="23">
        <v>0</v>
      </c>
      <c r="AO42" s="23">
        <v>0</v>
      </c>
      <c r="AP42" s="23">
        <v>0</v>
      </c>
      <c r="AQ42" s="23">
        <v>0</v>
      </c>
      <c r="AR42" s="23">
        <v>0</v>
      </c>
      <c r="AS42" s="23">
        <v>0</v>
      </c>
      <c r="AT42" s="23">
        <v>0</v>
      </c>
      <c r="AU42" s="23">
        <v>0</v>
      </c>
      <c r="AV42" s="23">
        <v>0</v>
      </c>
      <c r="AW42" s="24">
        <v>0</v>
      </c>
    </row>
    <row r="43" spans="1:49" ht="13.8" thickBot="1" x14ac:dyDescent="0.3">
      <c r="A43" s="7">
        <v>12800</v>
      </c>
      <c r="B43" s="25"/>
      <c r="C43" s="25"/>
      <c r="D43" s="25"/>
      <c r="E43" s="25"/>
      <c r="F43" s="25"/>
      <c r="G43" s="25"/>
      <c r="H43" s="25"/>
      <c r="I43" s="25"/>
      <c r="J43" s="25"/>
      <c r="K43" s="25"/>
      <c r="L43" s="25"/>
      <c r="M43" s="25"/>
      <c r="N43" s="25">
        <v>18.5</v>
      </c>
      <c r="O43" s="25">
        <v>18.5</v>
      </c>
      <c r="P43" s="25">
        <v>18.5</v>
      </c>
      <c r="Q43" s="25">
        <v>18.5</v>
      </c>
      <c r="R43" s="25">
        <v>18.5</v>
      </c>
      <c r="S43" s="25">
        <v>16.427272727272726</v>
      </c>
      <c r="T43" s="25">
        <v>18.5</v>
      </c>
      <c r="U43" s="25"/>
      <c r="V43" s="25"/>
      <c r="W43" s="25"/>
      <c r="X43" s="26"/>
      <c r="Z43" s="7">
        <v>12800</v>
      </c>
      <c r="AA43" s="25">
        <v>0</v>
      </c>
      <c r="AB43" s="25">
        <v>0</v>
      </c>
      <c r="AC43" s="25">
        <v>0</v>
      </c>
      <c r="AD43" s="25">
        <v>0</v>
      </c>
      <c r="AE43" s="25">
        <v>0</v>
      </c>
      <c r="AF43" s="25">
        <v>0</v>
      </c>
      <c r="AG43" s="25">
        <v>0</v>
      </c>
      <c r="AH43" s="25">
        <v>0</v>
      </c>
      <c r="AI43" s="25">
        <v>0</v>
      </c>
      <c r="AJ43" s="25">
        <v>0</v>
      </c>
      <c r="AK43" s="25">
        <v>0</v>
      </c>
      <c r="AL43" s="25">
        <v>0</v>
      </c>
      <c r="AM43" s="25">
        <v>1</v>
      </c>
      <c r="AN43" s="25">
        <v>2</v>
      </c>
      <c r="AO43" s="25">
        <v>1</v>
      </c>
      <c r="AP43" s="25">
        <v>4</v>
      </c>
      <c r="AQ43" s="25">
        <v>19</v>
      </c>
      <c r="AR43" s="25">
        <v>11</v>
      </c>
      <c r="AS43" s="25">
        <v>3</v>
      </c>
      <c r="AT43" s="25">
        <v>0</v>
      </c>
      <c r="AU43" s="25">
        <v>0</v>
      </c>
      <c r="AV43" s="25">
        <v>0</v>
      </c>
      <c r="AW43" s="26">
        <v>0</v>
      </c>
    </row>
    <row r="44" spans="1:49" x14ac:dyDescent="0.25">
      <c r="A44" s="1"/>
    </row>
    <row r="45" spans="1:49" x14ac:dyDescent="0.25">
      <c r="A45" s="1"/>
    </row>
    <row r="46" spans="1:49" x14ac:dyDescent="0.25">
      <c r="A46" s="1"/>
    </row>
    <row r="47" spans="1:49" x14ac:dyDescent="0.25">
      <c r="A47" s="1"/>
    </row>
    <row r="48" spans="1:49" x14ac:dyDescent="0.25">
      <c r="A48" s="1"/>
    </row>
    <row r="49" spans="1:1" x14ac:dyDescent="0.25">
      <c r="A49" s="1"/>
    </row>
    <row r="50" spans="1:1" x14ac:dyDescent="0.25">
      <c r="A50" s="1"/>
    </row>
    <row r="51" spans="1:1" x14ac:dyDescent="0.25">
      <c r="A51" s="1"/>
    </row>
    <row r="52" spans="1:1" x14ac:dyDescent="0.25">
      <c r="A52" s="1"/>
    </row>
    <row r="53" spans="1:1" x14ac:dyDescent="0.25">
      <c r="A53" s="1"/>
    </row>
    <row r="54" spans="1:1" x14ac:dyDescent="0.25">
      <c r="A54" s="1"/>
    </row>
    <row r="55" spans="1:1" x14ac:dyDescent="0.25">
      <c r="A55" s="1"/>
    </row>
    <row r="56" spans="1:1" x14ac:dyDescent="0.25">
      <c r="A56" s="1"/>
    </row>
    <row r="57" spans="1:1" x14ac:dyDescent="0.25">
      <c r="A57" s="1"/>
    </row>
    <row r="58" spans="1:1" x14ac:dyDescent="0.25">
      <c r="A58" s="1"/>
    </row>
    <row r="59" spans="1:1" x14ac:dyDescent="0.25">
      <c r="A59" s="1"/>
    </row>
    <row r="60" spans="1:1" x14ac:dyDescent="0.25">
      <c r="A60" s="1"/>
    </row>
    <row r="61" spans="1:1" x14ac:dyDescent="0.25">
      <c r="A61" s="1"/>
    </row>
    <row r="62" spans="1:1" x14ac:dyDescent="0.25">
      <c r="A62" s="1"/>
    </row>
    <row r="63" spans="1:1" x14ac:dyDescent="0.25">
      <c r="A63" s="1"/>
    </row>
    <row r="64" spans="1:1" x14ac:dyDescent="0.25">
      <c r="A64" s="1"/>
    </row>
    <row r="65" spans="1:1" x14ac:dyDescent="0.25">
      <c r="A65" s="1"/>
    </row>
    <row r="66" spans="1:1" x14ac:dyDescent="0.25">
      <c r="A66" s="1"/>
    </row>
    <row r="67" spans="1:1" x14ac:dyDescent="0.25">
      <c r="A67" s="1"/>
    </row>
    <row r="68" spans="1:1" x14ac:dyDescent="0.25">
      <c r="A68" s="1"/>
    </row>
    <row r="69" spans="1:1" x14ac:dyDescent="0.25">
      <c r="A69" s="1"/>
    </row>
    <row r="70" spans="1:1" x14ac:dyDescent="0.25">
      <c r="A70" s="1"/>
    </row>
    <row r="71" spans="1:1" x14ac:dyDescent="0.25">
      <c r="A71" s="1"/>
    </row>
    <row r="72" spans="1:1" x14ac:dyDescent="0.25">
      <c r="A72" s="1"/>
    </row>
    <row r="73" spans="1:1" x14ac:dyDescent="0.25">
      <c r="A73" s="1"/>
    </row>
    <row r="74" spans="1:1" x14ac:dyDescent="0.25">
      <c r="A74" s="1"/>
    </row>
    <row r="75" spans="1:1" x14ac:dyDescent="0.25">
      <c r="A75" s="1"/>
    </row>
    <row r="76" spans="1:1" x14ac:dyDescent="0.25">
      <c r="A76" s="1"/>
    </row>
    <row r="77" spans="1:1" x14ac:dyDescent="0.25">
      <c r="A77" s="1"/>
    </row>
    <row r="78" spans="1:1" x14ac:dyDescent="0.25">
      <c r="A78" s="1"/>
    </row>
    <row r="79" spans="1:1" x14ac:dyDescent="0.25">
      <c r="A79" s="1"/>
    </row>
    <row r="80" spans="1:1" x14ac:dyDescent="0.25">
      <c r="A80" s="1"/>
    </row>
    <row r="81" spans="1:1" x14ac:dyDescent="0.25">
      <c r="A81" s="1"/>
    </row>
    <row r="82" spans="1:1" x14ac:dyDescent="0.25">
      <c r="A82" s="1"/>
    </row>
    <row r="83" spans="1:1" x14ac:dyDescent="0.25">
      <c r="A83" s="1"/>
    </row>
    <row r="84" spans="1:1" x14ac:dyDescent="0.25">
      <c r="A84" s="1"/>
    </row>
    <row r="85" spans="1:1" x14ac:dyDescent="0.25">
      <c r="A85" s="1"/>
    </row>
    <row r="86" spans="1:1" x14ac:dyDescent="0.25">
      <c r="A86" s="1"/>
    </row>
    <row r="87" spans="1:1" x14ac:dyDescent="0.25">
      <c r="A87" s="1"/>
    </row>
    <row r="88" spans="1:1" x14ac:dyDescent="0.25">
      <c r="A88" s="1"/>
    </row>
    <row r="89" spans="1:1" x14ac:dyDescent="0.25">
      <c r="A89" s="1"/>
    </row>
    <row r="90" spans="1:1" x14ac:dyDescent="0.25">
      <c r="A90" s="1"/>
    </row>
    <row r="91" spans="1:1" x14ac:dyDescent="0.25">
      <c r="A91" s="1"/>
    </row>
    <row r="92" spans="1:1" x14ac:dyDescent="0.25">
      <c r="A92" s="1"/>
    </row>
    <row r="93" spans="1:1" x14ac:dyDescent="0.25">
      <c r="A93" s="1"/>
    </row>
    <row r="94" spans="1:1" x14ac:dyDescent="0.25">
      <c r="A94" s="1"/>
    </row>
    <row r="95" spans="1:1" x14ac:dyDescent="0.25">
      <c r="A95" s="1"/>
    </row>
    <row r="96" spans="1:1" x14ac:dyDescent="0.25">
      <c r="A96" s="1"/>
    </row>
    <row r="97" spans="1:1" x14ac:dyDescent="0.25">
      <c r="A97" s="1"/>
    </row>
    <row r="98" spans="1:1" x14ac:dyDescent="0.25">
      <c r="A98" s="1"/>
    </row>
    <row r="99" spans="1:1" x14ac:dyDescent="0.25">
      <c r="A99" s="1"/>
    </row>
    <row r="100" spans="1:1" x14ac:dyDescent="0.25">
      <c r="A100" s="1"/>
    </row>
    <row r="101" spans="1:1" x14ac:dyDescent="0.25">
      <c r="A101" s="1"/>
    </row>
    <row r="102" spans="1:1" x14ac:dyDescent="0.25">
      <c r="A102" s="1"/>
    </row>
    <row r="103" spans="1:1" x14ac:dyDescent="0.25">
      <c r="A103" s="1"/>
    </row>
    <row r="104" spans="1:1" x14ac:dyDescent="0.25">
      <c r="A104" s="1"/>
    </row>
    <row r="105" spans="1:1" x14ac:dyDescent="0.25">
      <c r="A105" s="1"/>
    </row>
    <row r="106" spans="1:1" x14ac:dyDescent="0.25">
      <c r="A106" s="1"/>
    </row>
    <row r="107" spans="1:1" x14ac:dyDescent="0.25">
      <c r="A107" s="1"/>
    </row>
    <row r="108" spans="1:1" x14ac:dyDescent="0.25">
      <c r="A108" s="1"/>
    </row>
    <row r="109" spans="1:1" x14ac:dyDescent="0.25">
      <c r="A109" s="1"/>
    </row>
    <row r="110" spans="1:1" x14ac:dyDescent="0.25">
      <c r="A110" s="1"/>
    </row>
    <row r="111" spans="1:1" x14ac:dyDescent="0.25">
      <c r="A111" s="1"/>
    </row>
    <row r="112" spans="1:1"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row r="248" spans="1:1" x14ac:dyDescent="0.25">
      <c r="A248" s="1"/>
    </row>
    <row r="249" spans="1:1" x14ac:dyDescent="0.25">
      <c r="A249" s="1"/>
    </row>
    <row r="250" spans="1:1" x14ac:dyDescent="0.25">
      <c r="A250" s="1"/>
    </row>
    <row r="251" spans="1:1" x14ac:dyDescent="0.25">
      <c r="A251" s="1"/>
    </row>
    <row r="252" spans="1:1" x14ac:dyDescent="0.25">
      <c r="A252" s="1"/>
    </row>
    <row r="253" spans="1:1" x14ac:dyDescent="0.25">
      <c r="A253" s="1"/>
    </row>
    <row r="254" spans="1:1" x14ac:dyDescent="0.25">
      <c r="A254" s="1"/>
    </row>
    <row r="255" spans="1:1" x14ac:dyDescent="0.25">
      <c r="A255" s="1"/>
    </row>
    <row r="256" spans="1:1" x14ac:dyDescent="0.25">
      <c r="A256" s="1"/>
    </row>
    <row r="257" spans="1:1" x14ac:dyDescent="0.25">
      <c r="A257" s="1"/>
    </row>
    <row r="258" spans="1:1" x14ac:dyDescent="0.25">
      <c r="A258" s="1"/>
    </row>
    <row r="259" spans="1:1" x14ac:dyDescent="0.25">
      <c r="A259" s="1"/>
    </row>
    <row r="260" spans="1:1" x14ac:dyDescent="0.25">
      <c r="A260" s="1"/>
    </row>
    <row r="261" spans="1:1" x14ac:dyDescent="0.25">
      <c r="A261" s="1"/>
    </row>
    <row r="262" spans="1:1" x14ac:dyDescent="0.25">
      <c r="A262" s="1"/>
    </row>
    <row r="263" spans="1:1" x14ac:dyDescent="0.25">
      <c r="A263" s="1"/>
    </row>
    <row r="264" spans="1:1" x14ac:dyDescent="0.25">
      <c r="A264" s="1"/>
    </row>
    <row r="265" spans="1:1" x14ac:dyDescent="0.25">
      <c r="A265" s="1"/>
    </row>
    <row r="266" spans="1:1" x14ac:dyDescent="0.25">
      <c r="A266" s="1"/>
    </row>
    <row r="267" spans="1:1" x14ac:dyDescent="0.25">
      <c r="A267" s="1"/>
    </row>
    <row r="268" spans="1:1" x14ac:dyDescent="0.25">
      <c r="A268" s="1"/>
    </row>
    <row r="269" spans="1:1" x14ac:dyDescent="0.25">
      <c r="A269" s="1"/>
    </row>
    <row r="270" spans="1:1" x14ac:dyDescent="0.25">
      <c r="A270" s="1"/>
    </row>
    <row r="271" spans="1:1" x14ac:dyDescent="0.25">
      <c r="A271" s="1"/>
    </row>
    <row r="272" spans="1:1" x14ac:dyDescent="0.25">
      <c r="A272" s="1"/>
    </row>
    <row r="273" spans="1:1" x14ac:dyDescent="0.25">
      <c r="A273" s="1"/>
    </row>
    <row r="274" spans="1:1" x14ac:dyDescent="0.25">
      <c r="A274" s="1"/>
    </row>
    <row r="275" spans="1:1" x14ac:dyDescent="0.25">
      <c r="A275" s="1"/>
    </row>
    <row r="276" spans="1:1" x14ac:dyDescent="0.25">
      <c r="A276" s="1"/>
    </row>
    <row r="277" spans="1:1" x14ac:dyDescent="0.25">
      <c r="A277" s="1"/>
    </row>
    <row r="278" spans="1:1" x14ac:dyDescent="0.25">
      <c r="A278" s="1"/>
    </row>
    <row r="279" spans="1:1" x14ac:dyDescent="0.25">
      <c r="A279" s="1"/>
    </row>
    <row r="280" spans="1:1" x14ac:dyDescent="0.25">
      <c r="A280" s="1"/>
    </row>
    <row r="281" spans="1:1" x14ac:dyDescent="0.25">
      <c r="A281" s="1"/>
    </row>
    <row r="282" spans="1:1" x14ac:dyDescent="0.25">
      <c r="A282" s="1"/>
    </row>
    <row r="283" spans="1:1" x14ac:dyDescent="0.25">
      <c r="A283" s="1"/>
    </row>
    <row r="284" spans="1:1" x14ac:dyDescent="0.25">
      <c r="A284" s="1"/>
    </row>
    <row r="285" spans="1:1" x14ac:dyDescent="0.25">
      <c r="A285" s="1"/>
    </row>
    <row r="286" spans="1:1" x14ac:dyDescent="0.25">
      <c r="A286" s="1"/>
    </row>
    <row r="287" spans="1:1" x14ac:dyDescent="0.25">
      <c r="A287" s="1"/>
    </row>
    <row r="288" spans="1:1" x14ac:dyDescent="0.25">
      <c r="A288" s="1"/>
    </row>
    <row r="289" spans="1:1" x14ac:dyDescent="0.25">
      <c r="A289" s="1"/>
    </row>
    <row r="290" spans="1:1" x14ac:dyDescent="0.25">
      <c r="A290" s="1"/>
    </row>
    <row r="291" spans="1:1" x14ac:dyDescent="0.25">
      <c r="A291" s="1"/>
    </row>
    <row r="292" spans="1:1" x14ac:dyDescent="0.25">
      <c r="A292" s="1"/>
    </row>
    <row r="293" spans="1:1" x14ac:dyDescent="0.25">
      <c r="A293" s="1"/>
    </row>
    <row r="294" spans="1:1" x14ac:dyDescent="0.25">
      <c r="A294" s="1"/>
    </row>
    <row r="295" spans="1:1" x14ac:dyDescent="0.25">
      <c r="A295" s="1"/>
    </row>
    <row r="296" spans="1:1" x14ac:dyDescent="0.25">
      <c r="A296" s="1"/>
    </row>
    <row r="297" spans="1:1" x14ac:dyDescent="0.25">
      <c r="A297" s="1"/>
    </row>
    <row r="298" spans="1:1" x14ac:dyDescent="0.25">
      <c r="A298" s="1"/>
    </row>
    <row r="299" spans="1:1" x14ac:dyDescent="0.25">
      <c r="A299" s="1"/>
    </row>
    <row r="300" spans="1:1" x14ac:dyDescent="0.25">
      <c r="A300" s="1"/>
    </row>
    <row r="301" spans="1:1" x14ac:dyDescent="0.25">
      <c r="A301" s="1"/>
    </row>
    <row r="302" spans="1:1" x14ac:dyDescent="0.25">
      <c r="A302" s="1"/>
    </row>
    <row r="303" spans="1:1" x14ac:dyDescent="0.25">
      <c r="A303" s="1"/>
    </row>
    <row r="304" spans="1:1" x14ac:dyDescent="0.25">
      <c r="A304" s="1"/>
    </row>
    <row r="305" spans="1:1" x14ac:dyDescent="0.25">
      <c r="A305" s="1"/>
    </row>
    <row r="306" spans="1:1" x14ac:dyDescent="0.25">
      <c r="A306" s="1"/>
    </row>
    <row r="307" spans="1:1" x14ac:dyDescent="0.25">
      <c r="A307" s="1"/>
    </row>
    <row r="308" spans="1:1" x14ac:dyDescent="0.25">
      <c r="A308" s="1"/>
    </row>
    <row r="309" spans="1:1" x14ac:dyDescent="0.25">
      <c r="A309" s="1"/>
    </row>
    <row r="310" spans="1:1" x14ac:dyDescent="0.25">
      <c r="A310" s="1"/>
    </row>
    <row r="311" spans="1:1" x14ac:dyDescent="0.25">
      <c r="A311" s="1"/>
    </row>
    <row r="312" spans="1:1" x14ac:dyDescent="0.25">
      <c r="A312" s="1"/>
    </row>
    <row r="313" spans="1:1" x14ac:dyDescent="0.25">
      <c r="A313" s="1"/>
    </row>
    <row r="314" spans="1:1" x14ac:dyDescent="0.25">
      <c r="A314" s="1"/>
    </row>
    <row r="315" spans="1:1" x14ac:dyDescent="0.25">
      <c r="A315" s="1"/>
    </row>
    <row r="316" spans="1:1" x14ac:dyDescent="0.25">
      <c r="A316" s="1"/>
    </row>
    <row r="317" spans="1:1" x14ac:dyDescent="0.25">
      <c r="A317" s="1"/>
    </row>
    <row r="318" spans="1:1" x14ac:dyDescent="0.25">
      <c r="A318" s="1"/>
    </row>
    <row r="319" spans="1:1" x14ac:dyDescent="0.25">
      <c r="A319" s="1"/>
    </row>
    <row r="320" spans="1:1" x14ac:dyDescent="0.25">
      <c r="A320" s="1"/>
    </row>
    <row r="321" spans="1:1" x14ac:dyDescent="0.25">
      <c r="A321" s="1"/>
    </row>
    <row r="322" spans="1:1" x14ac:dyDescent="0.25">
      <c r="A322" s="1"/>
    </row>
    <row r="323" spans="1:1" x14ac:dyDescent="0.25">
      <c r="A323" s="1"/>
    </row>
    <row r="324" spans="1:1" x14ac:dyDescent="0.25">
      <c r="A324" s="1"/>
    </row>
    <row r="325" spans="1:1" x14ac:dyDescent="0.25">
      <c r="A325" s="1"/>
    </row>
    <row r="326" spans="1:1" x14ac:dyDescent="0.25">
      <c r="A326" s="1"/>
    </row>
    <row r="327" spans="1:1" x14ac:dyDescent="0.25">
      <c r="A327" s="1"/>
    </row>
    <row r="328" spans="1:1" x14ac:dyDescent="0.25">
      <c r="A328" s="1"/>
    </row>
    <row r="329" spans="1:1" x14ac:dyDescent="0.25">
      <c r="A329" s="1"/>
    </row>
    <row r="330" spans="1:1" x14ac:dyDescent="0.25">
      <c r="A330" s="1"/>
    </row>
    <row r="331" spans="1:1" x14ac:dyDescent="0.25">
      <c r="A331" s="1"/>
    </row>
    <row r="332" spans="1:1" x14ac:dyDescent="0.25">
      <c r="A332" s="1"/>
    </row>
    <row r="333" spans="1:1" x14ac:dyDescent="0.25">
      <c r="A333" s="1"/>
    </row>
    <row r="334" spans="1:1" x14ac:dyDescent="0.25">
      <c r="A334" s="1"/>
    </row>
    <row r="335" spans="1:1" x14ac:dyDescent="0.25">
      <c r="A335" s="1"/>
    </row>
    <row r="336" spans="1:1" x14ac:dyDescent="0.25">
      <c r="A336" s="1"/>
    </row>
    <row r="337" spans="1:1" x14ac:dyDescent="0.25">
      <c r="A337" s="1"/>
    </row>
    <row r="338" spans="1:1" x14ac:dyDescent="0.25">
      <c r="A338" s="1"/>
    </row>
    <row r="339" spans="1:1" x14ac:dyDescent="0.25">
      <c r="A339" s="1"/>
    </row>
    <row r="340" spans="1:1" x14ac:dyDescent="0.25">
      <c r="A340" s="1"/>
    </row>
    <row r="341" spans="1:1" x14ac:dyDescent="0.25">
      <c r="A341" s="1"/>
    </row>
    <row r="342" spans="1:1" x14ac:dyDescent="0.25">
      <c r="A342" s="1"/>
    </row>
    <row r="343" spans="1:1" x14ac:dyDescent="0.25">
      <c r="A343" s="1"/>
    </row>
    <row r="344" spans="1:1" x14ac:dyDescent="0.25">
      <c r="A344" s="1"/>
    </row>
    <row r="345" spans="1:1" x14ac:dyDescent="0.25">
      <c r="A345" s="1"/>
    </row>
    <row r="346" spans="1:1" x14ac:dyDescent="0.25">
      <c r="A346" s="1"/>
    </row>
    <row r="347" spans="1:1" x14ac:dyDescent="0.25">
      <c r="A347" s="1"/>
    </row>
    <row r="348" spans="1:1" x14ac:dyDescent="0.25">
      <c r="A348" s="1"/>
    </row>
    <row r="349" spans="1:1" x14ac:dyDescent="0.25">
      <c r="A349" s="1"/>
    </row>
    <row r="350" spans="1:1" x14ac:dyDescent="0.25">
      <c r="A350" s="1"/>
    </row>
    <row r="351" spans="1:1" x14ac:dyDescent="0.25">
      <c r="A351" s="1"/>
    </row>
    <row r="352" spans="1:1" x14ac:dyDescent="0.25">
      <c r="A352" s="1"/>
    </row>
    <row r="353" spans="1:1" x14ac:dyDescent="0.25">
      <c r="A353" s="1"/>
    </row>
    <row r="354" spans="1:1" x14ac:dyDescent="0.25">
      <c r="A354" s="1"/>
    </row>
    <row r="355" spans="1:1" x14ac:dyDescent="0.25">
      <c r="A355" s="1"/>
    </row>
    <row r="356" spans="1:1" x14ac:dyDescent="0.25">
      <c r="A356" s="1"/>
    </row>
    <row r="357" spans="1:1" x14ac:dyDescent="0.25">
      <c r="A357" s="1"/>
    </row>
    <row r="358" spans="1:1" x14ac:dyDescent="0.25">
      <c r="A358" s="1"/>
    </row>
    <row r="359" spans="1:1" x14ac:dyDescent="0.25">
      <c r="A359" s="1"/>
    </row>
    <row r="360" spans="1:1" x14ac:dyDescent="0.25">
      <c r="A360" s="1"/>
    </row>
    <row r="361" spans="1:1" x14ac:dyDescent="0.25">
      <c r="A361" s="1"/>
    </row>
    <row r="362" spans="1:1" x14ac:dyDescent="0.25">
      <c r="A362" s="1"/>
    </row>
    <row r="363" spans="1:1" x14ac:dyDescent="0.25">
      <c r="A363" s="1"/>
    </row>
    <row r="364" spans="1:1" x14ac:dyDescent="0.25">
      <c r="A364" s="1"/>
    </row>
    <row r="365" spans="1:1" x14ac:dyDescent="0.25">
      <c r="A365" s="1"/>
    </row>
    <row r="366" spans="1:1" x14ac:dyDescent="0.25">
      <c r="A366" s="1"/>
    </row>
    <row r="367" spans="1:1" x14ac:dyDescent="0.25">
      <c r="A367" s="1"/>
    </row>
    <row r="368" spans="1:1" x14ac:dyDescent="0.25">
      <c r="A368" s="1"/>
    </row>
    <row r="369" spans="1:1" x14ac:dyDescent="0.25">
      <c r="A369" s="1"/>
    </row>
    <row r="370" spans="1:1" x14ac:dyDescent="0.25">
      <c r="A370" s="1"/>
    </row>
    <row r="371" spans="1:1" x14ac:dyDescent="0.25">
      <c r="A371" s="1"/>
    </row>
    <row r="372" spans="1:1" x14ac:dyDescent="0.25">
      <c r="A372" s="1"/>
    </row>
    <row r="373" spans="1:1" x14ac:dyDescent="0.25">
      <c r="A373" s="1"/>
    </row>
    <row r="374" spans="1:1" x14ac:dyDescent="0.25">
      <c r="A374" s="1"/>
    </row>
    <row r="375" spans="1:1" x14ac:dyDescent="0.25">
      <c r="A375" s="1"/>
    </row>
    <row r="376" spans="1:1" x14ac:dyDescent="0.25">
      <c r="A376" s="1"/>
    </row>
    <row r="377" spans="1:1" x14ac:dyDescent="0.25">
      <c r="A377" s="1"/>
    </row>
    <row r="378" spans="1:1" x14ac:dyDescent="0.25">
      <c r="A378" s="1"/>
    </row>
    <row r="379" spans="1:1" x14ac:dyDescent="0.25">
      <c r="A379" s="1"/>
    </row>
    <row r="380" spans="1:1" x14ac:dyDescent="0.25">
      <c r="A380" s="1"/>
    </row>
    <row r="381" spans="1:1" x14ac:dyDescent="0.25">
      <c r="A381" s="1"/>
    </row>
    <row r="382" spans="1:1" x14ac:dyDescent="0.25">
      <c r="A382" s="1"/>
    </row>
    <row r="383" spans="1:1" x14ac:dyDescent="0.25">
      <c r="A383" s="1"/>
    </row>
    <row r="384" spans="1:1" x14ac:dyDescent="0.25">
      <c r="A384" s="1"/>
    </row>
    <row r="385" spans="1:1" x14ac:dyDescent="0.25">
      <c r="A385" s="1"/>
    </row>
    <row r="386" spans="1:1" x14ac:dyDescent="0.25">
      <c r="A386" s="1"/>
    </row>
    <row r="387" spans="1:1" x14ac:dyDescent="0.25">
      <c r="A387" s="1"/>
    </row>
    <row r="388" spans="1:1" x14ac:dyDescent="0.25">
      <c r="A388" s="1"/>
    </row>
    <row r="389" spans="1:1" x14ac:dyDescent="0.25">
      <c r="A389" s="1"/>
    </row>
    <row r="390" spans="1:1" x14ac:dyDescent="0.25">
      <c r="A390" s="1"/>
    </row>
    <row r="391" spans="1:1" x14ac:dyDescent="0.25">
      <c r="A391" s="1"/>
    </row>
    <row r="392" spans="1:1" x14ac:dyDescent="0.25">
      <c r="A392" s="1"/>
    </row>
    <row r="393" spans="1:1" x14ac:dyDescent="0.25">
      <c r="A393" s="1"/>
    </row>
    <row r="394" spans="1:1" x14ac:dyDescent="0.25">
      <c r="A394" s="1"/>
    </row>
    <row r="395" spans="1:1" x14ac:dyDescent="0.25">
      <c r="A395" s="1"/>
    </row>
    <row r="396" spans="1:1" x14ac:dyDescent="0.25">
      <c r="A396" s="1"/>
    </row>
    <row r="397" spans="1:1" x14ac:dyDescent="0.25">
      <c r="A397" s="1"/>
    </row>
    <row r="398" spans="1:1" x14ac:dyDescent="0.25">
      <c r="A398" s="1"/>
    </row>
    <row r="399" spans="1:1" x14ac:dyDescent="0.25">
      <c r="A399" s="1"/>
    </row>
    <row r="400" spans="1:1" x14ac:dyDescent="0.25">
      <c r="A400" s="1"/>
    </row>
    <row r="401" spans="1:1" x14ac:dyDescent="0.25">
      <c r="A401" s="1"/>
    </row>
    <row r="402" spans="1:1" x14ac:dyDescent="0.25">
      <c r="A402" s="1"/>
    </row>
    <row r="403" spans="1:1" x14ac:dyDescent="0.25">
      <c r="A403" s="1"/>
    </row>
    <row r="404" spans="1:1" x14ac:dyDescent="0.25">
      <c r="A404" s="1"/>
    </row>
    <row r="405" spans="1:1" x14ac:dyDescent="0.25">
      <c r="A405" s="1"/>
    </row>
    <row r="406" spans="1:1" x14ac:dyDescent="0.25">
      <c r="A406" s="1"/>
    </row>
    <row r="407" spans="1:1" x14ac:dyDescent="0.25">
      <c r="A407" s="1"/>
    </row>
    <row r="408" spans="1:1" x14ac:dyDescent="0.25">
      <c r="A408" s="1"/>
    </row>
    <row r="409" spans="1:1" x14ac:dyDescent="0.25">
      <c r="A409" s="1"/>
    </row>
    <row r="410" spans="1:1" x14ac:dyDescent="0.25">
      <c r="A410" s="1"/>
    </row>
    <row r="411" spans="1:1" x14ac:dyDescent="0.25">
      <c r="A411" s="1"/>
    </row>
    <row r="412" spans="1:1" x14ac:dyDescent="0.25">
      <c r="A412" s="1"/>
    </row>
    <row r="413" spans="1:1" x14ac:dyDescent="0.25">
      <c r="A413" s="1"/>
    </row>
    <row r="414" spans="1:1" x14ac:dyDescent="0.25">
      <c r="A414" s="1"/>
    </row>
    <row r="415" spans="1:1" x14ac:dyDescent="0.25">
      <c r="A415" s="1"/>
    </row>
    <row r="416" spans="1:1" x14ac:dyDescent="0.25">
      <c r="A416" s="1"/>
    </row>
    <row r="417" spans="1:1" x14ac:dyDescent="0.25">
      <c r="A417" s="1"/>
    </row>
    <row r="418" spans="1:1" x14ac:dyDescent="0.25">
      <c r="A418" s="1"/>
    </row>
    <row r="419" spans="1:1" x14ac:dyDescent="0.25">
      <c r="A419" s="1"/>
    </row>
    <row r="420" spans="1:1" x14ac:dyDescent="0.25">
      <c r="A420" s="1"/>
    </row>
    <row r="421" spans="1:1" x14ac:dyDescent="0.25">
      <c r="A421" s="1"/>
    </row>
    <row r="422" spans="1:1" x14ac:dyDescent="0.25">
      <c r="A422" s="1"/>
    </row>
    <row r="423" spans="1:1" x14ac:dyDescent="0.25">
      <c r="A423" s="1"/>
    </row>
    <row r="424" spans="1:1" x14ac:dyDescent="0.25">
      <c r="A424" s="1"/>
    </row>
    <row r="425" spans="1:1" x14ac:dyDescent="0.25">
      <c r="A425" s="1"/>
    </row>
    <row r="426" spans="1:1" x14ac:dyDescent="0.25">
      <c r="A426" s="1"/>
    </row>
    <row r="427" spans="1:1" x14ac:dyDescent="0.25">
      <c r="A427" s="1"/>
    </row>
    <row r="428" spans="1:1" x14ac:dyDescent="0.25">
      <c r="A428" s="1"/>
    </row>
    <row r="429" spans="1:1" x14ac:dyDescent="0.25">
      <c r="A429" s="1"/>
    </row>
    <row r="430" spans="1:1" x14ac:dyDescent="0.25">
      <c r="A430" s="1"/>
    </row>
    <row r="431" spans="1:1" x14ac:dyDescent="0.25">
      <c r="A431" s="1"/>
    </row>
    <row r="432" spans="1:1" x14ac:dyDescent="0.25">
      <c r="A432" s="1"/>
    </row>
    <row r="433" spans="1:1" x14ac:dyDescent="0.25">
      <c r="A433" s="1"/>
    </row>
    <row r="434" spans="1:1" x14ac:dyDescent="0.25">
      <c r="A434" s="1"/>
    </row>
    <row r="435" spans="1:1" x14ac:dyDescent="0.25">
      <c r="A435" s="1"/>
    </row>
    <row r="436" spans="1:1" x14ac:dyDescent="0.25">
      <c r="A436" s="1"/>
    </row>
    <row r="437" spans="1:1" x14ac:dyDescent="0.25">
      <c r="A437" s="1"/>
    </row>
    <row r="438" spans="1:1" x14ac:dyDescent="0.25">
      <c r="A438" s="1"/>
    </row>
    <row r="439" spans="1:1" x14ac:dyDescent="0.25">
      <c r="A439" s="1"/>
    </row>
    <row r="440" spans="1:1" x14ac:dyDescent="0.25">
      <c r="A440" s="1"/>
    </row>
    <row r="441" spans="1:1" x14ac:dyDescent="0.25">
      <c r="A441" s="1"/>
    </row>
    <row r="442" spans="1:1" x14ac:dyDescent="0.25">
      <c r="A442" s="1"/>
    </row>
    <row r="443" spans="1:1" x14ac:dyDescent="0.25">
      <c r="A443" s="1"/>
    </row>
    <row r="444" spans="1:1" x14ac:dyDescent="0.25">
      <c r="A444" s="1"/>
    </row>
    <row r="445" spans="1:1" x14ac:dyDescent="0.25">
      <c r="A445" s="1"/>
    </row>
    <row r="446" spans="1:1" x14ac:dyDescent="0.25">
      <c r="A446" s="1"/>
    </row>
    <row r="447" spans="1:1" x14ac:dyDescent="0.25">
      <c r="A447" s="1"/>
    </row>
    <row r="448" spans="1:1" x14ac:dyDescent="0.25">
      <c r="A448" s="1"/>
    </row>
    <row r="449" spans="1:1" x14ac:dyDescent="0.25">
      <c r="A449" s="1"/>
    </row>
    <row r="450" spans="1:1" x14ac:dyDescent="0.25">
      <c r="A450" s="1"/>
    </row>
    <row r="451" spans="1:1" x14ac:dyDescent="0.25">
      <c r="A451" s="1"/>
    </row>
    <row r="452" spans="1:1" x14ac:dyDescent="0.25">
      <c r="A452" s="1"/>
    </row>
    <row r="453" spans="1:1" x14ac:dyDescent="0.25">
      <c r="A453" s="1"/>
    </row>
    <row r="454" spans="1:1" x14ac:dyDescent="0.25">
      <c r="A454" s="1"/>
    </row>
    <row r="455" spans="1:1" x14ac:dyDescent="0.25">
      <c r="A455" s="1"/>
    </row>
    <row r="456" spans="1:1" x14ac:dyDescent="0.25">
      <c r="A456" s="1"/>
    </row>
    <row r="457" spans="1:1" x14ac:dyDescent="0.25">
      <c r="A457" s="1"/>
    </row>
    <row r="458" spans="1:1" x14ac:dyDescent="0.25">
      <c r="A458" s="1"/>
    </row>
    <row r="459" spans="1:1" x14ac:dyDescent="0.25">
      <c r="A459" s="1"/>
    </row>
    <row r="460" spans="1:1" x14ac:dyDescent="0.25">
      <c r="A460" s="1"/>
    </row>
    <row r="461" spans="1:1" x14ac:dyDescent="0.25">
      <c r="A461" s="1"/>
    </row>
    <row r="462" spans="1:1" x14ac:dyDescent="0.25">
      <c r="A462" s="1"/>
    </row>
    <row r="463" spans="1:1" x14ac:dyDescent="0.25">
      <c r="A463" s="1"/>
    </row>
    <row r="464" spans="1:1" x14ac:dyDescent="0.25">
      <c r="A464" s="1"/>
    </row>
    <row r="465" spans="1:1" x14ac:dyDescent="0.25">
      <c r="A465" s="1"/>
    </row>
    <row r="466" spans="1:1" x14ac:dyDescent="0.25">
      <c r="A466" s="1"/>
    </row>
    <row r="467" spans="1:1" x14ac:dyDescent="0.25">
      <c r="A467" s="1"/>
    </row>
    <row r="468" spans="1:1" x14ac:dyDescent="0.25">
      <c r="A468" s="1"/>
    </row>
    <row r="469" spans="1:1" x14ac:dyDescent="0.25">
      <c r="A469" s="1"/>
    </row>
    <row r="470" spans="1:1" x14ac:dyDescent="0.25">
      <c r="A470" s="1"/>
    </row>
    <row r="471" spans="1:1" x14ac:dyDescent="0.25">
      <c r="A471" s="1"/>
    </row>
    <row r="472" spans="1:1" x14ac:dyDescent="0.25">
      <c r="A472" s="1"/>
    </row>
    <row r="473" spans="1:1" x14ac:dyDescent="0.25">
      <c r="A473" s="1"/>
    </row>
    <row r="474" spans="1:1" x14ac:dyDescent="0.25">
      <c r="A474" s="1"/>
    </row>
    <row r="475" spans="1:1" x14ac:dyDescent="0.25">
      <c r="A475" s="1"/>
    </row>
    <row r="476" spans="1:1" x14ac:dyDescent="0.25">
      <c r="A476" s="1"/>
    </row>
    <row r="477" spans="1:1" x14ac:dyDescent="0.25">
      <c r="A477" s="1"/>
    </row>
    <row r="478" spans="1:1" x14ac:dyDescent="0.25">
      <c r="A478" s="1"/>
    </row>
    <row r="479" spans="1:1" x14ac:dyDescent="0.25">
      <c r="A479" s="1"/>
    </row>
    <row r="480" spans="1:1" x14ac:dyDescent="0.25">
      <c r="A480" s="1"/>
    </row>
    <row r="481" spans="1:1" x14ac:dyDescent="0.25">
      <c r="A481" s="1"/>
    </row>
    <row r="482" spans="1:1" x14ac:dyDescent="0.25">
      <c r="A482" s="1"/>
    </row>
    <row r="483" spans="1:1" x14ac:dyDescent="0.25">
      <c r="A483" s="1"/>
    </row>
    <row r="484" spans="1:1" x14ac:dyDescent="0.25">
      <c r="A484" s="1"/>
    </row>
    <row r="485" spans="1:1" x14ac:dyDescent="0.25">
      <c r="A485" s="1"/>
    </row>
    <row r="486" spans="1:1" x14ac:dyDescent="0.25">
      <c r="A486" s="1"/>
    </row>
    <row r="487" spans="1:1" x14ac:dyDescent="0.25">
      <c r="A487" s="1"/>
    </row>
    <row r="488" spans="1:1" x14ac:dyDescent="0.25">
      <c r="A488" s="1"/>
    </row>
    <row r="489" spans="1:1" x14ac:dyDescent="0.25">
      <c r="A489" s="1"/>
    </row>
    <row r="490" spans="1:1" x14ac:dyDescent="0.25">
      <c r="A490" s="1"/>
    </row>
    <row r="491" spans="1:1" x14ac:dyDescent="0.25">
      <c r="A491" s="1"/>
    </row>
    <row r="492" spans="1:1" x14ac:dyDescent="0.25">
      <c r="A492" s="1"/>
    </row>
    <row r="493" spans="1:1" x14ac:dyDescent="0.25">
      <c r="A493" s="1"/>
    </row>
    <row r="494" spans="1:1" x14ac:dyDescent="0.25">
      <c r="A494" s="1"/>
    </row>
    <row r="495" spans="1:1" x14ac:dyDescent="0.25">
      <c r="A495" s="1"/>
    </row>
    <row r="496" spans="1:1" x14ac:dyDescent="0.25">
      <c r="A496" s="1"/>
    </row>
    <row r="497" spans="1:1" x14ac:dyDescent="0.25">
      <c r="A497" s="1"/>
    </row>
    <row r="498" spans="1:1" x14ac:dyDescent="0.25">
      <c r="A498" s="1"/>
    </row>
    <row r="499" spans="1:1" x14ac:dyDescent="0.25">
      <c r="A499" s="1"/>
    </row>
    <row r="500" spans="1:1" x14ac:dyDescent="0.25">
      <c r="A500" s="1"/>
    </row>
    <row r="501" spans="1:1" x14ac:dyDescent="0.25">
      <c r="A501" s="1"/>
    </row>
    <row r="502" spans="1:1" x14ac:dyDescent="0.25">
      <c r="A502" s="1"/>
    </row>
    <row r="503" spans="1:1" x14ac:dyDescent="0.25">
      <c r="A503" s="1"/>
    </row>
    <row r="504" spans="1:1" x14ac:dyDescent="0.25">
      <c r="A504" s="1"/>
    </row>
    <row r="505" spans="1:1" x14ac:dyDescent="0.25">
      <c r="A505" s="1"/>
    </row>
    <row r="506" spans="1:1" x14ac:dyDescent="0.25">
      <c r="A506" s="1"/>
    </row>
    <row r="507" spans="1:1" x14ac:dyDescent="0.25">
      <c r="A507" s="1"/>
    </row>
    <row r="508" spans="1:1" x14ac:dyDescent="0.25">
      <c r="A508" s="1"/>
    </row>
    <row r="509" spans="1:1" x14ac:dyDescent="0.25">
      <c r="A509" s="1"/>
    </row>
    <row r="510" spans="1:1" x14ac:dyDescent="0.25">
      <c r="A510" s="1"/>
    </row>
    <row r="511" spans="1:1" x14ac:dyDescent="0.25">
      <c r="A511" s="1"/>
    </row>
    <row r="512" spans="1:1" x14ac:dyDescent="0.25">
      <c r="A512" s="1"/>
    </row>
    <row r="513" spans="1:1" x14ac:dyDescent="0.25">
      <c r="A513" s="1"/>
    </row>
    <row r="514" spans="1:1" x14ac:dyDescent="0.25">
      <c r="A514" s="1"/>
    </row>
    <row r="515" spans="1:1" x14ac:dyDescent="0.25">
      <c r="A515" s="1"/>
    </row>
    <row r="516" spans="1:1" x14ac:dyDescent="0.25">
      <c r="A516" s="1"/>
    </row>
    <row r="517" spans="1:1" x14ac:dyDescent="0.25">
      <c r="A517" s="1"/>
    </row>
    <row r="518" spans="1:1" x14ac:dyDescent="0.25">
      <c r="A518" s="1"/>
    </row>
    <row r="519" spans="1:1" x14ac:dyDescent="0.25">
      <c r="A519" s="1"/>
    </row>
    <row r="520" spans="1:1" x14ac:dyDescent="0.25">
      <c r="A520" s="1"/>
    </row>
    <row r="521" spans="1:1" x14ac:dyDescent="0.25">
      <c r="A521" s="1"/>
    </row>
    <row r="522" spans="1:1" x14ac:dyDescent="0.25">
      <c r="A522" s="1"/>
    </row>
    <row r="523" spans="1:1" x14ac:dyDescent="0.25">
      <c r="A523" s="1"/>
    </row>
    <row r="524" spans="1:1" x14ac:dyDescent="0.25">
      <c r="A524" s="1"/>
    </row>
    <row r="525" spans="1:1" x14ac:dyDescent="0.25">
      <c r="A525" s="1"/>
    </row>
    <row r="526" spans="1:1" x14ac:dyDescent="0.25">
      <c r="A526" s="1"/>
    </row>
    <row r="527" spans="1:1" x14ac:dyDescent="0.25">
      <c r="A527" s="1"/>
    </row>
    <row r="528" spans="1:1" x14ac:dyDescent="0.25">
      <c r="A528" s="1"/>
    </row>
    <row r="529" spans="1:1" x14ac:dyDescent="0.25">
      <c r="A529" s="1"/>
    </row>
    <row r="530" spans="1:1" x14ac:dyDescent="0.25">
      <c r="A530" s="1"/>
    </row>
    <row r="531" spans="1:1" x14ac:dyDescent="0.25">
      <c r="A531" s="1"/>
    </row>
    <row r="532" spans="1:1" x14ac:dyDescent="0.25">
      <c r="A532" s="1"/>
    </row>
    <row r="533" spans="1:1" x14ac:dyDescent="0.25">
      <c r="A533" s="1"/>
    </row>
    <row r="534" spans="1:1" x14ac:dyDescent="0.25">
      <c r="A534" s="1"/>
    </row>
    <row r="535" spans="1:1" x14ac:dyDescent="0.25">
      <c r="A535" s="1"/>
    </row>
    <row r="536" spans="1:1" x14ac:dyDescent="0.25">
      <c r="A536" s="1"/>
    </row>
    <row r="537" spans="1:1" x14ac:dyDescent="0.25">
      <c r="A537" s="1"/>
    </row>
    <row r="538" spans="1:1" x14ac:dyDescent="0.25">
      <c r="A538" s="1"/>
    </row>
    <row r="539" spans="1:1" x14ac:dyDescent="0.25">
      <c r="A539" s="1"/>
    </row>
    <row r="540" spans="1:1" x14ac:dyDescent="0.25">
      <c r="A540" s="1"/>
    </row>
    <row r="541" spans="1:1" x14ac:dyDescent="0.25">
      <c r="A541" s="1"/>
    </row>
    <row r="542" spans="1:1" x14ac:dyDescent="0.25">
      <c r="A542" s="1"/>
    </row>
    <row r="543" spans="1:1" x14ac:dyDescent="0.25">
      <c r="A543" s="1"/>
    </row>
    <row r="544" spans="1:1" x14ac:dyDescent="0.25">
      <c r="A544" s="1"/>
    </row>
    <row r="545" spans="1:1" x14ac:dyDescent="0.25">
      <c r="A545" s="1"/>
    </row>
    <row r="546" spans="1:1" x14ac:dyDescent="0.25">
      <c r="A546" s="1"/>
    </row>
    <row r="547" spans="1:1" x14ac:dyDescent="0.25">
      <c r="A547" s="1"/>
    </row>
    <row r="548" spans="1:1" x14ac:dyDescent="0.25">
      <c r="A548" s="1"/>
    </row>
    <row r="549" spans="1:1" x14ac:dyDescent="0.25">
      <c r="A549" s="1"/>
    </row>
    <row r="550" spans="1:1" x14ac:dyDescent="0.25">
      <c r="A550" s="1"/>
    </row>
    <row r="551" spans="1:1" x14ac:dyDescent="0.25">
      <c r="A551" s="1"/>
    </row>
    <row r="552" spans="1:1" x14ac:dyDescent="0.25">
      <c r="A552" s="1"/>
    </row>
    <row r="553" spans="1:1" x14ac:dyDescent="0.25">
      <c r="A553" s="1"/>
    </row>
    <row r="554" spans="1:1" x14ac:dyDescent="0.25">
      <c r="A554" s="1"/>
    </row>
    <row r="555" spans="1:1" x14ac:dyDescent="0.25">
      <c r="A555" s="1"/>
    </row>
    <row r="556" spans="1:1" x14ac:dyDescent="0.25">
      <c r="A556" s="1"/>
    </row>
    <row r="557" spans="1:1" x14ac:dyDescent="0.25">
      <c r="A557" s="1"/>
    </row>
    <row r="558" spans="1:1" x14ac:dyDescent="0.25">
      <c r="A558" s="1"/>
    </row>
    <row r="559" spans="1:1" x14ac:dyDescent="0.25">
      <c r="A559" s="1"/>
    </row>
    <row r="560" spans="1:1" x14ac:dyDescent="0.25">
      <c r="A560" s="1"/>
    </row>
    <row r="561" spans="1:1" x14ac:dyDescent="0.25">
      <c r="A561" s="1"/>
    </row>
    <row r="562" spans="1:1" x14ac:dyDescent="0.25">
      <c r="A562" s="1"/>
    </row>
    <row r="563" spans="1:1" x14ac:dyDescent="0.25">
      <c r="A563" s="1"/>
    </row>
    <row r="564" spans="1:1" x14ac:dyDescent="0.25">
      <c r="A564" s="1"/>
    </row>
    <row r="565" spans="1:1" x14ac:dyDescent="0.25">
      <c r="A565" s="1"/>
    </row>
    <row r="566" spans="1:1" x14ac:dyDescent="0.25">
      <c r="A566" s="1"/>
    </row>
    <row r="567" spans="1:1" x14ac:dyDescent="0.25">
      <c r="A567" s="1"/>
    </row>
    <row r="568" spans="1:1" x14ac:dyDescent="0.25">
      <c r="A568" s="1"/>
    </row>
    <row r="569" spans="1:1" x14ac:dyDescent="0.25">
      <c r="A569" s="1"/>
    </row>
    <row r="570" spans="1:1" x14ac:dyDescent="0.25">
      <c r="A570" s="1"/>
    </row>
    <row r="571" spans="1:1" x14ac:dyDescent="0.25">
      <c r="A571" s="1"/>
    </row>
    <row r="572" spans="1:1" x14ac:dyDescent="0.25">
      <c r="A572" s="1"/>
    </row>
    <row r="573" spans="1:1" x14ac:dyDescent="0.25">
      <c r="A573" s="1"/>
    </row>
    <row r="574" spans="1:1" x14ac:dyDescent="0.25">
      <c r="A574" s="1"/>
    </row>
    <row r="575" spans="1:1" x14ac:dyDescent="0.25">
      <c r="A575" s="1"/>
    </row>
    <row r="576" spans="1:1" x14ac:dyDescent="0.25">
      <c r="A576" s="1"/>
    </row>
    <row r="577" spans="1:1" x14ac:dyDescent="0.25">
      <c r="A577" s="1"/>
    </row>
    <row r="578" spans="1:1" x14ac:dyDescent="0.25">
      <c r="A578" s="1"/>
    </row>
    <row r="579" spans="1:1" x14ac:dyDescent="0.25">
      <c r="A579" s="1"/>
    </row>
    <row r="580" spans="1:1" x14ac:dyDescent="0.25">
      <c r="A580" s="1"/>
    </row>
    <row r="581" spans="1:1" x14ac:dyDescent="0.25">
      <c r="A581" s="1"/>
    </row>
    <row r="582" spans="1:1" x14ac:dyDescent="0.25">
      <c r="A582" s="1"/>
    </row>
    <row r="583" spans="1:1" x14ac:dyDescent="0.25">
      <c r="A583" s="1"/>
    </row>
    <row r="584" spans="1:1" x14ac:dyDescent="0.25">
      <c r="A584" s="1"/>
    </row>
    <row r="585" spans="1:1" x14ac:dyDescent="0.25">
      <c r="A585" s="1"/>
    </row>
    <row r="586" spans="1:1" x14ac:dyDescent="0.25">
      <c r="A586" s="1"/>
    </row>
    <row r="587" spans="1:1" x14ac:dyDescent="0.25">
      <c r="A587" s="1"/>
    </row>
    <row r="588" spans="1:1" x14ac:dyDescent="0.25">
      <c r="A588" s="1"/>
    </row>
    <row r="589" spans="1:1" x14ac:dyDescent="0.25">
      <c r="A589" s="1"/>
    </row>
    <row r="590" spans="1:1" x14ac:dyDescent="0.25">
      <c r="A590" s="1"/>
    </row>
    <row r="591" spans="1:1" x14ac:dyDescent="0.25">
      <c r="A591" s="1"/>
    </row>
    <row r="592" spans="1:1" x14ac:dyDescent="0.25">
      <c r="A592" s="1"/>
    </row>
    <row r="593" spans="1:1" x14ac:dyDescent="0.25">
      <c r="A593" s="1"/>
    </row>
    <row r="594" spans="1:1" x14ac:dyDescent="0.25">
      <c r="A594" s="1"/>
    </row>
    <row r="595" spans="1:1" x14ac:dyDescent="0.25">
      <c r="A595" s="1"/>
    </row>
    <row r="596" spans="1:1" x14ac:dyDescent="0.25">
      <c r="A596" s="1"/>
    </row>
    <row r="597" spans="1:1" x14ac:dyDescent="0.25">
      <c r="A597" s="1"/>
    </row>
    <row r="598" spans="1:1" x14ac:dyDescent="0.25">
      <c r="A598" s="1"/>
    </row>
    <row r="599" spans="1:1" x14ac:dyDescent="0.25">
      <c r="A599" s="1"/>
    </row>
    <row r="600" spans="1:1" x14ac:dyDescent="0.25">
      <c r="A600" s="1"/>
    </row>
    <row r="601" spans="1:1" x14ac:dyDescent="0.25">
      <c r="A601" s="1"/>
    </row>
    <row r="602" spans="1:1" x14ac:dyDescent="0.25">
      <c r="A602" s="1"/>
    </row>
    <row r="603" spans="1:1" x14ac:dyDescent="0.25">
      <c r="A603" s="1"/>
    </row>
    <row r="604" spans="1:1" x14ac:dyDescent="0.25">
      <c r="A604" s="1"/>
    </row>
    <row r="605" spans="1:1" x14ac:dyDescent="0.25">
      <c r="A605" s="1"/>
    </row>
    <row r="606" spans="1:1" x14ac:dyDescent="0.25">
      <c r="A606" s="1"/>
    </row>
    <row r="607" spans="1:1" x14ac:dyDescent="0.25">
      <c r="A607" s="1"/>
    </row>
    <row r="608" spans="1:1" x14ac:dyDescent="0.25">
      <c r="A608" s="1"/>
    </row>
    <row r="609" spans="1:1" x14ac:dyDescent="0.25">
      <c r="A609" s="1"/>
    </row>
    <row r="610" spans="1:1" x14ac:dyDescent="0.25">
      <c r="A610" s="1"/>
    </row>
    <row r="611" spans="1:1" x14ac:dyDescent="0.25">
      <c r="A611" s="1"/>
    </row>
    <row r="612" spans="1:1" x14ac:dyDescent="0.25">
      <c r="A612" s="1"/>
    </row>
    <row r="613" spans="1:1" x14ac:dyDescent="0.25">
      <c r="A613" s="1"/>
    </row>
    <row r="614" spans="1:1" x14ac:dyDescent="0.25">
      <c r="A614" s="1"/>
    </row>
    <row r="615" spans="1:1" x14ac:dyDescent="0.25">
      <c r="A615" s="1"/>
    </row>
    <row r="616" spans="1:1" x14ac:dyDescent="0.25">
      <c r="A616" s="1"/>
    </row>
    <row r="617" spans="1:1" x14ac:dyDescent="0.25">
      <c r="A617" s="1"/>
    </row>
    <row r="618" spans="1:1" x14ac:dyDescent="0.25">
      <c r="A618" s="1"/>
    </row>
    <row r="619" spans="1:1" x14ac:dyDescent="0.25">
      <c r="A619" s="1"/>
    </row>
    <row r="620" spans="1:1" x14ac:dyDescent="0.25">
      <c r="A620" s="1"/>
    </row>
    <row r="621" spans="1:1" x14ac:dyDescent="0.25">
      <c r="A621" s="1"/>
    </row>
    <row r="622" spans="1:1" x14ac:dyDescent="0.25">
      <c r="A622" s="1"/>
    </row>
    <row r="623" spans="1:1" x14ac:dyDescent="0.25">
      <c r="A623" s="1"/>
    </row>
    <row r="624" spans="1:1" x14ac:dyDescent="0.25">
      <c r="A624" s="1"/>
    </row>
    <row r="625" spans="1:1" x14ac:dyDescent="0.25">
      <c r="A625" s="1"/>
    </row>
    <row r="626" spans="1:1" x14ac:dyDescent="0.25">
      <c r="A626" s="1"/>
    </row>
    <row r="627" spans="1:1" x14ac:dyDescent="0.25">
      <c r="A627" s="1"/>
    </row>
    <row r="628" spans="1:1" x14ac:dyDescent="0.25">
      <c r="A628" s="1"/>
    </row>
    <row r="629" spans="1:1" x14ac:dyDescent="0.25">
      <c r="A629" s="1"/>
    </row>
    <row r="630" spans="1:1" x14ac:dyDescent="0.25">
      <c r="A630" s="1"/>
    </row>
    <row r="631" spans="1:1" x14ac:dyDescent="0.25">
      <c r="A631" s="1"/>
    </row>
    <row r="632" spans="1:1" x14ac:dyDescent="0.25">
      <c r="A632" s="1"/>
    </row>
    <row r="633" spans="1:1" x14ac:dyDescent="0.25">
      <c r="A633" s="1"/>
    </row>
    <row r="634" spans="1:1" x14ac:dyDescent="0.25">
      <c r="A634" s="1"/>
    </row>
    <row r="635" spans="1:1" x14ac:dyDescent="0.25">
      <c r="A635" s="1"/>
    </row>
    <row r="636" spans="1:1" x14ac:dyDescent="0.25">
      <c r="A636" s="1"/>
    </row>
    <row r="637" spans="1:1" x14ac:dyDescent="0.25">
      <c r="A637" s="1"/>
    </row>
    <row r="638" spans="1:1" x14ac:dyDescent="0.25">
      <c r="A638" s="1"/>
    </row>
    <row r="639" spans="1:1" x14ac:dyDescent="0.25">
      <c r="A639" s="1"/>
    </row>
    <row r="640" spans="1:1" x14ac:dyDescent="0.25">
      <c r="A640" s="1"/>
    </row>
    <row r="641" spans="1:1" x14ac:dyDescent="0.25">
      <c r="A641" s="1"/>
    </row>
    <row r="642" spans="1:1" x14ac:dyDescent="0.25">
      <c r="A642" s="1"/>
    </row>
    <row r="643" spans="1:1" x14ac:dyDescent="0.25">
      <c r="A643" s="1"/>
    </row>
    <row r="644" spans="1:1" x14ac:dyDescent="0.25">
      <c r="A644" s="1"/>
    </row>
    <row r="645" spans="1:1" x14ac:dyDescent="0.25">
      <c r="A645" s="1"/>
    </row>
    <row r="646" spans="1:1" x14ac:dyDescent="0.25">
      <c r="A646" s="1"/>
    </row>
    <row r="647" spans="1:1" x14ac:dyDescent="0.25">
      <c r="A647" s="1"/>
    </row>
    <row r="648" spans="1:1" x14ac:dyDescent="0.25">
      <c r="A648" s="1"/>
    </row>
    <row r="649" spans="1:1" x14ac:dyDescent="0.25">
      <c r="A649" s="1"/>
    </row>
    <row r="650" spans="1:1" x14ac:dyDescent="0.25">
      <c r="A650" s="1"/>
    </row>
    <row r="651" spans="1:1" x14ac:dyDescent="0.25">
      <c r="A651" s="1"/>
    </row>
    <row r="652" spans="1:1" x14ac:dyDescent="0.25">
      <c r="A652" s="1"/>
    </row>
    <row r="653" spans="1:1" x14ac:dyDescent="0.25">
      <c r="A653" s="1"/>
    </row>
    <row r="654" spans="1:1" x14ac:dyDescent="0.25">
      <c r="A654" s="1"/>
    </row>
    <row r="655" spans="1:1" x14ac:dyDescent="0.25">
      <c r="A655" s="1"/>
    </row>
    <row r="656" spans="1:1" x14ac:dyDescent="0.25">
      <c r="A656" s="1"/>
    </row>
    <row r="657" spans="1:1" x14ac:dyDescent="0.25">
      <c r="A657" s="1"/>
    </row>
    <row r="658" spans="1:1" x14ac:dyDescent="0.25">
      <c r="A658" s="1"/>
    </row>
    <row r="659" spans="1:1" x14ac:dyDescent="0.25">
      <c r="A659" s="1"/>
    </row>
    <row r="660" spans="1:1" x14ac:dyDescent="0.25">
      <c r="A660" s="1"/>
    </row>
    <row r="661" spans="1:1" x14ac:dyDescent="0.25">
      <c r="A661" s="1"/>
    </row>
    <row r="662" spans="1:1" x14ac:dyDescent="0.25">
      <c r="A662" s="1"/>
    </row>
    <row r="663" spans="1:1" x14ac:dyDescent="0.25">
      <c r="A663" s="1"/>
    </row>
    <row r="664" spans="1:1" x14ac:dyDescent="0.25">
      <c r="A664" s="1"/>
    </row>
    <row r="665" spans="1:1" x14ac:dyDescent="0.25">
      <c r="A665" s="1"/>
    </row>
    <row r="666" spans="1:1" x14ac:dyDescent="0.25">
      <c r="A666" s="1"/>
    </row>
    <row r="667" spans="1:1" x14ac:dyDescent="0.25">
      <c r="A667" s="1"/>
    </row>
    <row r="668" spans="1:1" x14ac:dyDescent="0.25">
      <c r="A668" s="1"/>
    </row>
    <row r="669" spans="1:1" x14ac:dyDescent="0.25">
      <c r="A669" s="1"/>
    </row>
    <row r="670" spans="1:1" x14ac:dyDescent="0.25">
      <c r="A670" s="1"/>
    </row>
    <row r="671" spans="1:1" x14ac:dyDescent="0.25">
      <c r="A671" s="1"/>
    </row>
    <row r="672" spans="1:1" x14ac:dyDescent="0.25">
      <c r="A672" s="1"/>
    </row>
    <row r="673" spans="1:1" x14ac:dyDescent="0.25">
      <c r="A673" s="1"/>
    </row>
    <row r="674" spans="1:1" x14ac:dyDescent="0.25">
      <c r="A674" s="1"/>
    </row>
    <row r="675" spans="1:1" x14ac:dyDescent="0.25">
      <c r="A675" s="1"/>
    </row>
    <row r="676" spans="1:1" x14ac:dyDescent="0.25">
      <c r="A676" s="1"/>
    </row>
    <row r="677" spans="1:1" x14ac:dyDescent="0.25">
      <c r="A677" s="1"/>
    </row>
    <row r="678" spans="1:1" x14ac:dyDescent="0.25">
      <c r="A678" s="1"/>
    </row>
    <row r="679" spans="1:1" x14ac:dyDescent="0.25">
      <c r="A679" s="1"/>
    </row>
    <row r="680" spans="1:1" x14ac:dyDescent="0.25">
      <c r="A680" s="1"/>
    </row>
    <row r="681" spans="1:1" x14ac:dyDescent="0.25">
      <c r="A681" s="1"/>
    </row>
    <row r="682" spans="1:1" x14ac:dyDescent="0.25">
      <c r="A682" s="1"/>
    </row>
    <row r="683" spans="1:1" x14ac:dyDescent="0.25">
      <c r="A683" s="1"/>
    </row>
    <row r="684" spans="1:1" x14ac:dyDescent="0.25">
      <c r="A684" s="1"/>
    </row>
    <row r="685" spans="1:1" x14ac:dyDescent="0.25">
      <c r="A685" s="1"/>
    </row>
    <row r="686" spans="1:1" x14ac:dyDescent="0.25">
      <c r="A686" s="1"/>
    </row>
    <row r="687" spans="1:1" x14ac:dyDescent="0.25">
      <c r="A687" s="1"/>
    </row>
    <row r="688" spans="1:1" x14ac:dyDescent="0.25">
      <c r="A688" s="1"/>
    </row>
    <row r="689" spans="1:1" x14ac:dyDescent="0.25">
      <c r="A689" s="1"/>
    </row>
    <row r="690" spans="1:1" x14ac:dyDescent="0.25">
      <c r="A690" s="1"/>
    </row>
    <row r="691" spans="1:1" x14ac:dyDescent="0.25">
      <c r="A691" s="1"/>
    </row>
    <row r="692" spans="1:1" x14ac:dyDescent="0.25">
      <c r="A692" s="1"/>
    </row>
    <row r="693" spans="1:1" x14ac:dyDescent="0.25">
      <c r="A693" s="1"/>
    </row>
    <row r="694" spans="1:1" x14ac:dyDescent="0.25">
      <c r="A694" s="1"/>
    </row>
    <row r="695" spans="1:1" x14ac:dyDescent="0.25">
      <c r="A695" s="1"/>
    </row>
    <row r="696" spans="1:1" x14ac:dyDescent="0.25">
      <c r="A696" s="1"/>
    </row>
    <row r="697" spans="1:1" x14ac:dyDescent="0.25">
      <c r="A697" s="1"/>
    </row>
    <row r="698" spans="1:1" x14ac:dyDescent="0.25">
      <c r="A698" s="1"/>
    </row>
    <row r="699" spans="1:1" x14ac:dyDescent="0.25">
      <c r="A699" s="1"/>
    </row>
    <row r="700" spans="1:1" x14ac:dyDescent="0.25">
      <c r="A700" s="1"/>
    </row>
    <row r="701" spans="1:1" x14ac:dyDescent="0.25">
      <c r="A701" s="1"/>
    </row>
    <row r="702" spans="1:1" x14ac:dyDescent="0.25">
      <c r="A702" s="1"/>
    </row>
    <row r="703" spans="1:1" x14ac:dyDescent="0.25">
      <c r="A703" s="1"/>
    </row>
    <row r="704" spans="1:1" x14ac:dyDescent="0.25">
      <c r="A704" s="1"/>
    </row>
    <row r="705" spans="1:1" x14ac:dyDescent="0.25">
      <c r="A705" s="1"/>
    </row>
    <row r="706" spans="1:1" x14ac:dyDescent="0.25">
      <c r="A706" s="1"/>
    </row>
    <row r="707" spans="1:1" x14ac:dyDescent="0.25">
      <c r="A707" s="1"/>
    </row>
    <row r="708" spans="1:1" x14ac:dyDescent="0.25">
      <c r="A708" s="1"/>
    </row>
    <row r="709" spans="1:1" x14ac:dyDescent="0.25">
      <c r="A709" s="1"/>
    </row>
    <row r="710" spans="1:1" x14ac:dyDescent="0.25">
      <c r="A710" s="1"/>
    </row>
    <row r="711" spans="1:1" x14ac:dyDescent="0.25">
      <c r="A711" s="1"/>
    </row>
    <row r="712" spans="1:1" x14ac:dyDescent="0.25">
      <c r="A712" s="1"/>
    </row>
    <row r="713" spans="1:1" x14ac:dyDescent="0.25">
      <c r="A713" s="1"/>
    </row>
    <row r="714" spans="1:1" x14ac:dyDescent="0.25">
      <c r="A714" s="1"/>
    </row>
    <row r="715" spans="1:1" x14ac:dyDescent="0.25">
      <c r="A715" s="1"/>
    </row>
    <row r="716" spans="1:1" x14ac:dyDescent="0.25">
      <c r="A716" s="1"/>
    </row>
    <row r="717" spans="1:1" x14ac:dyDescent="0.25">
      <c r="A717" s="1"/>
    </row>
    <row r="718" spans="1:1" x14ac:dyDescent="0.25">
      <c r="A718" s="1"/>
    </row>
    <row r="719" spans="1:1" x14ac:dyDescent="0.25">
      <c r="A719" s="1"/>
    </row>
    <row r="720" spans="1:1" x14ac:dyDescent="0.25">
      <c r="A720" s="1"/>
    </row>
    <row r="721" spans="1:1" x14ac:dyDescent="0.25">
      <c r="A721" s="1"/>
    </row>
    <row r="722" spans="1:1" x14ac:dyDescent="0.25">
      <c r="A722" s="1"/>
    </row>
    <row r="723" spans="1:1" x14ac:dyDescent="0.25">
      <c r="A723" s="1"/>
    </row>
    <row r="724" spans="1:1" x14ac:dyDescent="0.25">
      <c r="A724" s="1"/>
    </row>
    <row r="725" spans="1:1" x14ac:dyDescent="0.25">
      <c r="A725" s="1"/>
    </row>
    <row r="726" spans="1:1" x14ac:dyDescent="0.25">
      <c r="A726" s="1"/>
    </row>
    <row r="727" spans="1:1" x14ac:dyDescent="0.25">
      <c r="A727" s="1"/>
    </row>
    <row r="728" spans="1:1" x14ac:dyDescent="0.25">
      <c r="A728" s="1"/>
    </row>
    <row r="729" spans="1:1" x14ac:dyDescent="0.25">
      <c r="A729" s="1"/>
    </row>
    <row r="730" spans="1:1" x14ac:dyDescent="0.25">
      <c r="A730" s="1"/>
    </row>
    <row r="731" spans="1:1" x14ac:dyDescent="0.25">
      <c r="A731" s="1"/>
    </row>
    <row r="732" spans="1:1" x14ac:dyDescent="0.25">
      <c r="A732" s="1"/>
    </row>
    <row r="733" spans="1:1" x14ac:dyDescent="0.25">
      <c r="A733" s="1"/>
    </row>
    <row r="734" spans="1:1" x14ac:dyDescent="0.25">
      <c r="A734" s="1"/>
    </row>
    <row r="735" spans="1:1" x14ac:dyDescent="0.25">
      <c r="A735" s="1"/>
    </row>
    <row r="736" spans="1:1" x14ac:dyDescent="0.25">
      <c r="A736" s="1"/>
    </row>
    <row r="737" spans="1:1" x14ac:dyDescent="0.25">
      <c r="A737" s="1"/>
    </row>
    <row r="738" spans="1:1" x14ac:dyDescent="0.25">
      <c r="A738" s="1"/>
    </row>
    <row r="739" spans="1:1" x14ac:dyDescent="0.25">
      <c r="A739" s="1"/>
    </row>
    <row r="740" spans="1:1" x14ac:dyDescent="0.25">
      <c r="A740" s="1"/>
    </row>
    <row r="741" spans="1:1" x14ac:dyDescent="0.25">
      <c r="A741" s="1"/>
    </row>
    <row r="742" spans="1:1" x14ac:dyDescent="0.25">
      <c r="A742" s="1"/>
    </row>
    <row r="743" spans="1:1" x14ac:dyDescent="0.25">
      <c r="A743" s="1"/>
    </row>
    <row r="744" spans="1:1" x14ac:dyDescent="0.25">
      <c r="A744" s="1"/>
    </row>
    <row r="745" spans="1:1" x14ac:dyDescent="0.25">
      <c r="A745" s="1"/>
    </row>
    <row r="746" spans="1:1" x14ac:dyDescent="0.25">
      <c r="A746" s="1"/>
    </row>
    <row r="747" spans="1:1" x14ac:dyDescent="0.25">
      <c r="A747" s="1"/>
    </row>
    <row r="748" spans="1:1" x14ac:dyDescent="0.25">
      <c r="A748" s="1"/>
    </row>
    <row r="749" spans="1:1" x14ac:dyDescent="0.25">
      <c r="A749" s="1"/>
    </row>
    <row r="750" spans="1:1" x14ac:dyDescent="0.25">
      <c r="A750" s="1"/>
    </row>
    <row r="751" spans="1:1" x14ac:dyDescent="0.25">
      <c r="A751" s="1"/>
    </row>
    <row r="752" spans="1:1" x14ac:dyDescent="0.25">
      <c r="A752" s="1"/>
    </row>
    <row r="753" spans="1:1" x14ac:dyDescent="0.25">
      <c r="A753" s="1"/>
    </row>
    <row r="754" spans="1:1" x14ac:dyDescent="0.25">
      <c r="A754" s="1"/>
    </row>
    <row r="755" spans="1:1" x14ac:dyDescent="0.25">
      <c r="A755" s="1"/>
    </row>
    <row r="756" spans="1:1" x14ac:dyDescent="0.25">
      <c r="A756" s="1"/>
    </row>
    <row r="757" spans="1:1" x14ac:dyDescent="0.25">
      <c r="A757" s="1"/>
    </row>
    <row r="758" spans="1:1" x14ac:dyDescent="0.25">
      <c r="A758" s="1"/>
    </row>
    <row r="759" spans="1:1" x14ac:dyDescent="0.25">
      <c r="A759" s="1"/>
    </row>
    <row r="760" spans="1:1" x14ac:dyDescent="0.25">
      <c r="A760" s="1"/>
    </row>
    <row r="761" spans="1:1" x14ac:dyDescent="0.25">
      <c r="A761" s="1"/>
    </row>
    <row r="762" spans="1:1" x14ac:dyDescent="0.25">
      <c r="A762" s="1"/>
    </row>
    <row r="763" spans="1:1" x14ac:dyDescent="0.25">
      <c r="A763" s="1"/>
    </row>
    <row r="764" spans="1:1" x14ac:dyDescent="0.25">
      <c r="A764" s="1"/>
    </row>
    <row r="765" spans="1:1" x14ac:dyDescent="0.25">
      <c r="A765" s="1"/>
    </row>
    <row r="766" spans="1:1" x14ac:dyDescent="0.25">
      <c r="A766" s="1"/>
    </row>
    <row r="767" spans="1:1" x14ac:dyDescent="0.25">
      <c r="A767" s="1"/>
    </row>
    <row r="768" spans="1:1" x14ac:dyDescent="0.25">
      <c r="A768" s="1"/>
    </row>
    <row r="769" spans="1:1" x14ac:dyDescent="0.25">
      <c r="A769" s="1"/>
    </row>
    <row r="770" spans="1:1" x14ac:dyDescent="0.25">
      <c r="A770" s="1"/>
    </row>
    <row r="771" spans="1:1" x14ac:dyDescent="0.25">
      <c r="A771" s="1"/>
    </row>
    <row r="772" spans="1:1" x14ac:dyDescent="0.25">
      <c r="A772" s="1"/>
    </row>
    <row r="773" spans="1:1" x14ac:dyDescent="0.25">
      <c r="A773" s="1"/>
    </row>
    <row r="774" spans="1:1" x14ac:dyDescent="0.25">
      <c r="A774" s="1"/>
    </row>
    <row r="775" spans="1:1" x14ac:dyDescent="0.25">
      <c r="A775" s="1"/>
    </row>
    <row r="776" spans="1:1" x14ac:dyDescent="0.25">
      <c r="A776" s="1"/>
    </row>
    <row r="777" spans="1:1" x14ac:dyDescent="0.25">
      <c r="A777" s="1"/>
    </row>
    <row r="778" spans="1:1" x14ac:dyDescent="0.25">
      <c r="A778" s="1"/>
    </row>
    <row r="779" spans="1:1" x14ac:dyDescent="0.25">
      <c r="A779" s="1"/>
    </row>
    <row r="780" spans="1:1" x14ac:dyDescent="0.25">
      <c r="A780" s="1"/>
    </row>
    <row r="781" spans="1:1" x14ac:dyDescent="0.25">
      <c r="A781" s="1"/>
    </row>
    <row r="782" spans="1:1" x14ac:dyDescent="0.25">
      <c r="A782" s="1"/>
    </row>
    <row r="783" spans="1:1" x14ac:dyDescent="0.25">
      <c r="A783" s="1"/>
    </row>
    <row r="784" spans="1:1" x14ac:dyDescent="0.25">
      <c r="A784" s="1"/>
    </row>
    <row r="785" spans="1:1" x14ac:dyDescent="0.25">
      <c r="A785" s="1"/>
    </row>
    <row r="786" spans="1:1" x14ac:dyDescent="0.25">
      <c r="A786" s="1"/>
    </row>
    <row r="787" spans="1:1" x14ac:dyDescent="0.25">
      <c r="A787" s="1"/>
    </row>
    <row r="788" spans="1:1" x14ac:dyDescent="0.25">
      <c r="A788" s="1"/>
    </row>
    <row r="789" spans="1:1" x14ac:dyDescent="0.25">
      <c r="A789" s="1"/>
    </row>
    <row r="790" spans="1:1" x14ac:dyDescent="0.25">
      <c r="A790" s="1"/>
    </row>
    <row r="791" spans="1:1" x14ac:dyDescent="0.25">
      <c r="A791" s="1"/>
    </row>
    <row r="792" spans="1:1" x14ac:dyDescent="0.25">
      <c r="A792" s="1"/>
    </row>
    <row r="793" spans="1:1" x14ac:dyDescent="0.25">
      <c r="A793" s="1"/>
    </row>
    <row r="794" spans="1:1" x14ac:dyDescent="0.25">
      <c r="A794" s="1"/>
    </row>
    <row r="795" spans="1:1" x14ac:dyDescent="0.25">
      <c r="A795" s="1"/>
    </row>
    <row r="796" spans="1:1" x14ac:dyDescent="0.25">
      <c r="A796" s="1"/>
    </row>
    <row r="797" spans="1:1" x14ac:dyDescent="0.25">
      <c r="A797" s="1"/>
    </row>
    <row r="798" spans="1:1" x14ac:dyDescent="0.25">
      <c r="A798" s="1"/>
    </row>
    <row r="799" spans="1:1" x14ac:dyDescent="0.25">
      <c r="A799" s="1"/>
    </row>
    <row r="800" spans="1:1" x14ac:dyDescent="0.25">
      <c r="A800" s="1"/>
    </row>
    <row r="801" spans="1:1" x14ac:dyDescent="0.25">
      <c r="A801" s="1"/>
    </row>
    <row r="802" spans="1:1" x14ac:dyDescent="0.25">
      <c r="A802" s="1"/>
    </row>
    <row r="803" spans="1:1" x14ac:dyDescent="0.25">
      <c r="A803" s="1"/>
    </row>
    <row r="804" spans="1:1" x14ac:dyDescent="0.25">
      <c r="A804" s="1"/>
    </row>
    <row r="805" spans="1:1" x14ac:dyDescent="0.25">
      <c r="A805" s="1"/>
    </row>
    <row r="806" spans="1:1" x14ac:dyDescent="0.25">
      <c r="A806" s="1"/>
    </row>
    <row r="807" spans="1:1" x14ac:dyDescent="0.25">
      <c r="A807" s="1"/>
    </row>
    <row r="808" spans="1:1" x14ac:dyDescent="0.25">
      <c r="A808" s="1"/>
    </row>
    <row r="809" spans="1:1" x14ac:dyDescent="0.25">
      <c r="A809" s="1"/>
    </row>
    <row r="810" spans="1:1" x14ac:dyDescent="0.25">
      <c r="A810" s="1"/>
    </row>
    <row r="811" spans="1:1" x14ac:dyDescent="0.25">
      <c r="A811" s="1"/>
    </row>
    <row r="812" spans="1:1" x14ac:dyDescent="0.25">
      <c r="A812" s="1"/>
    </row>
    <row r="813" spans="1:1" x14ac:dyDescent="0.25">
      <c r="A813" s="1"/>
    </row>
    <row r="814" spans="1:1" x14ac:dyDescent="0.25">
      <c r="A814" s="1"/>
    </row>
    <row r="815" spans="1:1" x14ac:dyDescent="0.25">
      <c r="A815" s="1"/>
    </row>
    <row r="816" spans="1:1" x14ac:dyDescent="0.25">
      <c r="A816" s="1"/>
    </row>
    <row r="817" spans="1:1" x14ac:dyDescent="0.25">
      <c r="A817" s="1"/>
    </row>
    <row r="818" spans="1:1" x14ac:dyDescent="0.25">
      <c r="A818" s="1"/>
    </row>
    <row r="819" spans="1:1" x14ac:dyDescent="0.25">
      <c r="A819" s="1"/>
    </row>
    <row r="820" spans="1:1" x14ac:dyDescent="0.25">
      <c r="A820" s="1"/>
    </row>
    <row r="821" spans="1:1" x14ac:dyDescent="0.25">
      <c r="A821" s="1"/>
    </row>
    <row r="822" spans="1:1" x14ac:dyDescent="0.25">
      <c r="A822" s="1"/>
    </row>
    <row r="823" spans="1:1" x14ac:dyDescent="0.25">
      <c r="A823" s="1"/>
    </row>
    <row r="824" spans="1:1" x14ac:dyDescent="0.25">
      <c r="A824" s="1"/>
    </row>
    <row r="825" spans="1:1" x14ac:dyDescent="0.25">
      <c r="A825" s="1"/>
    </row>
    <row r="826" spans="1:1" x14ac:dyDescent="0.25">
      <c r="A826" s="1"/>
    </row>
    <row r="827" spans="1:1" x14ac:dyDescent="0.25">
      <c r="A827" s="1"/>
    </row>
    <row r="828" spans="1:1" x14ac:dyDescent="0.25">
      <c r="A828" s="1"/>
    </row>
    <row r="829" spans="1:1" x14ac:dyDescent="0.25">
      <c r="A829" s="1"/>
    </row>
    <row r="830" spans="1:1" x14ac:dyDescent="0.25">
      <c r="A830" s="1"/>
    </row>
    <row r="831" spans="1:1" x14ac:dyDescent="0.25">
      <c r="A831" s="1"/>
    </row>
    <row r="832" spans="1:1" x14ac:dyDescent="0.25">
      <c r="A832" s="1"/>
    </row>
    <row r="833" spans="1:1" x14ac:dyDescent="0.25">
      <c r="A833" s="1"/>
    </row>
    <row r="834" spans="1:1" x14ac:dyDescent="0.25">
      <c r="A834" s="1"/>
    </row>
    <row r="835" spans="1:1" x14ac:dyDescent="0.25">
      <c r="A835" s="1"/>
    </row>
    <row r="836" spans="1:1" x14ac:dyDescent="0.25">
      <c r="A836" s="1"/>
    </row>
    <row r="837" spans="1:1" x14ac:dyDescent="0.25">
      <c r="A837" s="1"/>
    </row>
    <row r="838" spans="1:1" x14ac:dyDescent="0.25">
      <c r="A838" s="1"/>
    </row>
    <row r="839" spans="1:1" x14ac:dyDescent="0.25">
      <c r="A839" s="1"/>
    </row>
    <row r="840" spans="1:1" x14ac:dyDescent="0.25">
      <c r="A840" s="1"/>
    </row>
    <row r="841" spans="1:1" x14ac:dyDescent="0.25">
      <c r="A841" s="1"/>
    </row>
    <row r="842" spans="1:1" x14ac:dyDescent="0.25">
      <c r="A842" s="1"/>
    </row>
    <row r="843" spans="1:1" x14ac:dyDescent="0.25">
      <c r="A843" s="1"/>
    </row>
    <row r="844" spans="1:1" x14ac:dyDescent="0.25">
      <c r="A844" s="1"/>
    </row>
    <row r="845" spans="1:1" x14ac:dyDescent="0.25">
      <c r="A845" s="1"/>
    </row>
    <row r="846" spans="1:1" x14ac:dyDescent="0.25">
      <c r="A846" s="1"/>
    </row>
    <row r="847" spans="1:1" x14ac:dyDescent="0.25">
      <c r="A847" s="1"/>
    </row>
    <row r="848" spans="1:1" x14ac:dyDescent="0.25">
      <c r="A848" s="1"/>
    </row>
    <row r="849" spans="1:1" x14ac:dyDescent="0.25">
      <c r="A849" s="1"/>
    </row>
    <row r="850" spans="1:1" x14ac:dyDescent="0.25">
      <c r="A850" s="1"/>
    </row>
    <row r="851" spans="1:1" x14ac:dyDescent="0.25">
      <c r="A851" s="1"/>
    </row>
    <row r="852" spans="1:1" x14ac:dyDescent="0.25">
      <c r="A852" s="1"/>
    </row>
    <row r="853" spans="1:1" x14ac:dyDescent="0.25">
      <c r="A853" s="1"/>
    </row>
    <row r="854" spans="1:1" x14ac:dyDescent="0.25">
      <c r="A854" s="1"/>
    </row>
    <row r="855" spans="1:1" x14ac:dyDescent="0.25">
      <c r="A855" s="1"/>
    </row>
    <row r="856" spans="1:1" x14ac:dyDescent="0.25">
      <c r="A856" s="1"/>
    </row>
    <row r="857" spans="1:1" x14ac:dyDescent="0.25">
      <c r="A857" s="1"/>
    </row>
    <row r="858" spans="1:1" x14ac:dyDescent="0.25">
      <c r="A858" s="1"/>
    </row>
    <row r="859" spans="1:1" x14ac:dyDescent="0.25">
      <c r="A859" s="1"/>
    </row>
    <row r="860" spans="1:1" x14ac:dyDescent="0.25">
      <c r="A860" s="1"/>
    </row>
    <row r="861" spans="1:1" x14ac:dyDescent="0.25">
      <c r="A861" s="1"/>
    </row>
    <row r="862" spans="1:1" x14ac:dyDescent="0.25">
      <c r="A862" s="1"/>
    </row>
    <row r="863" spans="1:1" x14ac:dyDescent="0.25">
      <c r="A863" s="1"/>
    </row>
    <row r="864" spans="1:1" x14ac:dyDescent="0.25">
      <c r="A864" s="1"/>
    </row>
    <row r="865" spans="1:1" x14ac:dyDescent="0.25">
      <c r="A865" s="1"/>
    </row>
    <row r="866" spans="1:1" x14ac:dyDescent="0.25">
      <c r="A866" s="1"/>
    </row>
    <row r="867" spans="1:1" x14ac:dyDescent="0.25">
      <c r="A867" s="1"/>
    </row>
    <row r="868" spans="1:1" x14ac:dyDescent="0.25">
      <c r="A868" s="1"/>
    </row>
    <row r="869" spans="1:1" x14ac:dyDescent="0.25">
      <c r="A869" s="1"/>
    </row>
    <row r="870" spans="1:1" x14ac:dyDescent="0.25">
      <c r="A870" s="1"/>
    </row>
    <row r="871" spans="1:1" x14ac:dyDescent="0.25">
      <c r="A871" s="1"/>
    </row>
    <row r="872" spans="1:1" x14ac:dyDescent="0.25">
      <c r="A872" s="1"/>
    </row>
    <row r="873" spans="1:1" x14ac:dyDescent="0.25">
      <c r="A873" s="1"/>
    </row>
    <row r="874" spans="1:1" x14ac:dyDescent="0.25">
      <c r="A874" s="1"/>
    </row>
    <row r="875" spans="1:1" x14ac:dyDescent="0.25">
      <c r="A875" s="1"/>
    </row>
    <row r="876" spans="1:1" x14ac:dyDescent="0.25">
      <c r="A876" s="1"/>
    </row>
    <row r="877" spans="1:1" x14ac:dyDescent="0.25">
      <c r="A877" s="1"/>
    </row>
    <row r="878" spans="1:1" x14ac:dyDescent="0.25">
      <c r="A878" s="1"/>
    </row>
    <row r="879" spans="1:1" x14ac:dyDescent="0.25">
      <c r="A879" s="1"/>
    </row>
    <row r="880" spans="1:1" x14ac:dyDescent="0.25">
      <c r="A880" s="1"/>
    </row>
    <row r="881" spans="1:1" x14ac:dyDescent="0.25">
      <c r="A881" s="1"/>
    </row>
    <row r="882" spans="1:1" x14ac:dyDescent="0.25">
      <c r="A882" s="1"/>
    </row>
    <row r="883" spans="1:1" x14ac:dyDescent="0.25">
      <c r="A883" s="1"/>
    </row>
    <row r="884" spans="1:1" x14ac:dyDescent="0.25">
      <c r="A884" s="1"/>
    </row>
    <row r="885" spans="1:1" x14ac:dyDescent="0.25">
      <c r="A885" s="1"/>
    </row>
    <row r="886" spans="1:1" x14ac:dyDescent="0.25">
      <c r="A886" s="1"/>
    </row>
    <row r="887" spans="1:1" x14ac:dyDescent="0.25">
      <c r="A887" s="1"/>
    </row>
    <row r="888" spans="1:1" x14ac:dyDescent="0.25">
      <c r="A888" s="1"/>
    </row>
    <row r="889" spans="1:1" x14ac:dyDescent="0.25">
      <c r="A889" s="1"/>
    </row>
    <row r="890" spans="1:1" x14ac:dyDescent="0.25">
      <c r="A890" s="1"/>
    </row>
    <row r="891" spans="1:1" x14ac:dyDescent="0.25">
      <c r="A891" s="1"/>
    </row>
    <row r="892" spans="1:1" x14ac:dyDescent="0.25">
      <c r="A892" s="1"/>
    </row>
    <row r="893" spans="1:1" x14ac:dyDescent="0.25">
      <c r="A893" s="1"/>
    </row>
    <row r="894" spans="1:1" x14ac:dyDescent="0.25">
      <c r="A894" s="1"/>
    </row>
    <row r="895" spans="1:1" x14ac:dyDescent="0.25">
      <c r="A895" s="1"/>
    </row>
    <row r="896" spans="1:1" x14ac:dyDescent="0.25">
      <c r="A896" s="1"/>
    </row>
    <row r="897" spans="1:1" x14ac:dyDescent="0.25">
      <c r="A897" s="1"/>
    </row>
    <row r="898" spans="1:1" x14ac:dyDescent="0.25">
      <c r="A898" s="1"/>
    </row>
    <row r="899" spans="1:1" x14ac:dyDescent="0.25">
      <c r="A899" s="1"/>
    </row>
    <row r="900" spans="1:1" x14ac:dyDescent="0.25">
      <c r="A900" s="1"/>
    </row>
    <row r="901" spans="1:1" x14ac:dyDescent="0.25">
      <c r="A901" s="1"/>
    </row>
    <row r="902" spans="1:1" x14ac:dyDescent="0.25">
      <c r="A902" s="1"/>
    </row>
    <row r="903" spans="1:1" x14ac:dyDescent="0.25">
      <c r="A903" s="1"/>
    </row>
    <row r="904" spans="1:1" x14ac:dyDescent="0.25">
      <c r="A904" s="1"/>
    </row>
    <row r="905" spans="1:1" x14ac:dyDescent="0.25">
      <c r="A905" s="1"/>
    </row>
    <row r="906" spans="1:1" x14ac:dyDescent="0.25">
      <c r="A906" s="1"/>
    </row>
    <row r="907" spans="1:1" x14ac:dyDescent="0.25">
      <c r="A907" s="1"/>
    </row>
    <row r="908" spans="1:1" x14ac:dyDescent="0.25">
      <c r="A908" s="1"/>
    </row>
    <row r="909" spans="1:1" x14ac:dyDescent="0.25">
      <c r="A909" s="1"/>
    </row>
    <row r="910" spans="1:1" x14ac:dyDescent="0.25">
      <c r="A910" s="1"/>
    </row>
    <row r="911" spans="1:1" x14ac:dyDescent="0.25">
      <c r="A911" s="1"/>
    </row>
    <row r="912" spans="1:1" x14ac:dyDescent="0.25">
      <c r="A912" s="1"/>
    </row>
    <row r="913" spans="1:1" x14ac:dyDescent="0.25">
      <c r="A913" s="1"/>
    </row>
    <row r="914" spans="1:1" x14ac:dyDescent="0.25">
      <c r="A914" s="1"/>
    </row>
    <row r="915" spans="1:1" x14ac:dyDescent="0.25">
      <c r="A915" s="1"/>
    </row>
    <row r="916" spans="1:1" x14ac:dyDescent="0.25">
      <c r="A916" s="1"/>
    </row>
    <row r="917" spans="1:1" x14ac:dyDescent="0.25">
      <c r="A917" s="1"/>
    </row>
    <row r="918" spans="1:1" x14ac:dyDescent="0.25">
      <c r="A918" s="1"/>
    </row>
    <row r="919" spans="1:1" x14ac:dyDescent="0.25">
      <c r="A919" s="1"/>
    </row>
    <row r="920" spans="1:1" x14ac:dyDescent="0.25">
      <c r="A920" s="1"/>
    </row>
    <row r="921" spans="1:1" x14ac:dyDescent="0.25">
      <c r="A921" s="1"/>
    </row>
    <row r="922" spans="1:1" x14ac:dyDescent="0.25">
      <c r="A922" s="1"/>
    </row>
    <row r="923" spans="1:1" x14ac:dyDescent="0.25">
      <c r="A923" s="1"/>
    </row>
    <row r="924" spans="1:1" x14ac:dyDescent="0.25">
      <c r="A924" s="1"/>
    </row>
    <row r="925" spans="1:1" x14ac:dyDescent="0.25">
      <c r="A925" s="1"/>
    </row>
    <row r="926" spans="1:1" x14ac:dyDescent="0.25">
      <c r="A926" s="1"/>
    </row>
    <row r="927" spans="1:1" x14ac:dyDescent="0.25">
      <c r="A927" s="1"/>
    </row>
    <row r="928" spans="1:1" x14ac:dyDescent="0.25">
      <c r="A928" s="1"/>
    </row>
    <row r="929" spans="1:1" x14ac:dyDescent="0.25">
      <c r="A929" s="1"/>
    </row>
    <row r="930" spans="1:1" x14ac:dyDescent="0.25">
      <c r="A930" s="1"/>
    </row>
    <row r="931" spans="1:1" x14ac:dyDescent="0.25">
      <c r="A931" s="1"/>
    </row>
    <row r="932" spans="1:1" x14ac:dyDescent="0.25">
      <c r="A932" s="1"/>
    </row>
    <row r="933" spans="1:1" x14ac:dyDescent="0.25">
      <c r="A933" s="1"/>
    </row>
    <row r="934" spans="1:1" x14ac:dyDescent="0.25">
      <c r="A934" s="1"/>
    </row>
    <row r="935" spans="1:1" x14ac:dyDescent="0.25">
      <c r="A935" s="1"/>
    </row>
    <row r="936" spans="1:1" x14ac:dyDescent="0.25">
      <c r="A936" s="1"/>
    </row>
    <row r="937" spans="1:1" x14ac:dyDescent="0.25">
      <c r="A937" s="1"/>
    </row>
    <row r="938" spans="1:1" x14ac:dyDescent="0.25">
      <c r="A938" s="1"/>
    </row>
    <row r="939" spans="1:1" x14ac:dyDescent="0.25">
      <c r="A939" s="1"/>
    </row>
    <row r="940" spans="1:1" x14ac:dyDescent="0.25">
      <c r="A940" s="1"/>
    </row>
    <row r="941" spans="1:1" x14ac:dyDescent="0.25">
      <c r="A941" s="1"/>
    </row>
    <row r="942" spans="1:1" x14ac:dyDescent="0.25">
      <c r="A942" s="1"/>
    </row>
    <row r="943" spans="1:1" x14ac:dyDescent="0.25">
      <c r="A943" s="1"/>
    </row>
    <row r="944" spans="1:1" x14ac:dyDescent="0.25">
      <c r="A944" s="1"/>
    </row>
    <row r="945" spans="1:1" x14ac:dyDescent="0.25">
      <c r="A945" s="1"/>
    </row>
    <row r="946" spans="1:1" x14ac:dyDescent="0.25">
      <c r="A946" s="1"/>
    </row>
    <row r="947" spans="1:1" x14ac:dyDescent="0.25">
      <c r="A947" s="1"/>
    </row>
    <row r="948" spans="1:1" x14ac:dyDescent="0.25">
      <c r="A948" s="1"/>
    </row>
    <row r="949" spans="1:1" x14ac:dyDescent="0.25">
      <c r="A949" s="1"/>
    </row>
    <row r="950" spans="1:1" x14ac:dyDescent="0.25">
      <c r="A950" s="1"/>
    </row>
    <row r="951" spans="1:1" x14ac:dyDescent="0.25">
      <c r="A951" s="1"/>
    </row>
    <row r="952" spans="1:1" x14ac:dyDescent="0.25">
      <c r="A952" s="1"/>
    </row>
    <row r="953" spans="1:1" x14ac:dyDescent="0.25">
      <c r="A953" s="1"/>
    </row>
    <row r="954" spans="1:1" x14ac:dyDescent="0.25">
      <c r="A954" s="1"/>
    </row>
    <row r="955" spans="1:1" x14ac:dyDescent="0.25">
      <c r="A955" s="1"/>
    </row>
    <row r="956" spans="1:1" x14ac:dyDescent="0.25">
      <c r="A956" s="1"/>
    </row>
    <row r="957" spans="1:1" x14ac:dyDescent="0.25">
      <c r="A957" s="1"/>
    </row>
    <row r="958" spans="1:1" x14ac:dyDescent="0.25">
      <c r="A958" s="1"/>
    </row>
    <row r="959" spans="1:1" x14ac:dyDescent="0.25">
      <c r="A959" s="1"/>
    </row>
    <row r="960" spans="1:1" x14ac:dyDescent="0.25">
      <c r="A960" s="1"/>
    </row>
    <row r="961" spans="1:1" x14ac:dyDescent="0.25">
      <c r="A961" s="1"/>
    </row>
    <row r="962" spans="1:1" x14ac:dyDescent="0.25">
      <c r="A962" s="1"/>
    </row>
    <row r="963" spans="1:1" x14ac:dyDescent="0.25">
      <c r="A963" s="1"/>
    </row>
    <row r="964" spans="1:1" x14ac:dyDescent="0.25">
      <c r="A964" s="1"/>
    </row>
    <row r="965" spans="1:1" x14ac:dyDescent="0.25">
      <c r="A965" s="1"/>
    </row>
    <row r="966" spans="1:1" x14ac:dyDescent="0.25">
      <c r="A966" s="1"/>
    </row>
    <row r="967" spans="1:1" x14ac:dyDescent="0.25">
      <c r="A967" s="1"/>
    </row>
    <row r="968" spans="1:1" x14ac:dyDescent="0.25">
      <c r="A968" s="1"/>
    </row>
    <row r="969" spans="1:1" x14ac:dyDescent="0.25">
      <c r="A969" s="1"/>
    </row>
    <row r="970" spans="1:1" x14ac:dyDescent="0.25">
      <c r="A970" s="1"/>
    </row>
    <row r="971" spans="1:1" x14ac:dyDescent="0.25">
      <c r="A971" s="1"/>
    </row>
    <row r="972" spans="1:1" x14ac:dyDescent="0.25">
      <c r="A972" s="1"/>
    </row>
    <row r="973" spans="1:1" x14ac:dyDescent="0.25">
      <c r="A973" s="1"/>
    </row>
    <row r="974" spans="1:1" x14ac:dyDescent="0.25">
      <c r="A974" s="1"/>
    </row>
    <row r="975" spans="1:1" x14ac:dyDescent="0.25">
      <c r="A975" s="1"/>
    </row>
    <row r="976" spans="1:1" x14ac:dyDescent="0.25">
      <c r="A976" s="1"/>
    </row>
    <row r="977" spans="1:1" x14ac:dyDescent="0.25">
      <c r="A977" s="1"/>
    </row>
    <row r="978" spans="1:1" x14ac:dyDescent="0.25">
      <c r="A978" s="1"/>
    </row>
    <row r="979" spans="1:1" x14ac:dyDescent="0.25">
      <c r="A979" s="1"/>
    </row>
    <row r="980" spans="1:1" x14ac:dyDescent="0.25">
      <c r="A980" s="1"/>
    </row>
    <row r="981" spans="1:1" x14ac:dyDescent="0.25">
      <c r="A981" s="1"/>
    </row>
    <row r="982" spans="1:1" x14ac:dyDescent="0.25">
      <c r="A982" s="1"/>
    </row>
    <row r="983" spans="1:1" x14ac:dyDescent="0.25">
      <c r="A983" s="1"/>
    </row>
    <row r="984" spans="1:1" x14ac:dyDescent="0.25">
      <c r="A984" s="1"/>
    </row>
    <row r="985" spans="1:1" x14ac:dyDescent="0.25">
      <c r="A985" s="1"/>
    </row>
    <row r="986" spans="1:1" x14ac:dyDescent="0.25">
      <c r="A986" s="1"/>
    </row>
    <row r="987" spans="1:1" x14ac:dyDescent="0.25">
      <c r="A987" s="1"/>
    </row>
    <row r="988" spans="1:1" x14ac:dyDescent="0.25">
      <c r="A988" s="1"/>
    </row>
    <row r="989" spans="1:1" x14ac:dyDescent="0.25">
      <c r="A989" s="1"/>
    </row>
    <row r="990" spans="1:1" x14ac:dyDescent="0.25">
      <c r="A990" s="1"/>
    </row>
    <row r="991" spans="1:1" x14ac:dyDescent="0.25">
      <c r="A991" s="1"/>
    </row>
    <row r="992" spans="1:1" x14ac:dyDescent="0.25">
      <c r="A992" s="1"/>
    </row>
    <row r="993" spans="1:1" x14ac:dyDescent="0.25">
      <c r="A993" s="1"/>
    </row>
    <row r="994" spans="1:1" x14ac:dyDescent="0.25">
      <c r="A994" s="1"/>
    </row>
    <row r="995" spans="1:1" x14ac:dyDescent="0.25">
      <c r="A995" s="1"/>
    </row>
    <row r="996" spans="1:1" x14ac:dyDescent="0.25">
      <c r="A996" s="1"/>
    </row>
    <row r="997" spans="1:1" x14ac:dyDescent="0.25">
      <c r="A997" s="1"/>
    </row>
    <row r="998" spans="1:1" x14ac:dyDescent="0.25">
      <c r="A998" s="1"/>
    </row>
    <row r="999" spans="1:1" x14ac:dyDescent="0.25">
      <c r="A999" s="1"/>
    </row>
    <row r="1000" spans="1:1" x14ac:dyDescent="0.25">
      <c r="A1000" s="1"/>
    </row>
  </sheetData>
  <sheetProtection algorithmName="SHA-512" hashValue="w8E89EPoCOokowNaU3XxjpfkZ/DwgYU1Q9GBskODNMHpc3Zf0gS70VeZf4RJkaldXiXfRY8DCCo1GeogsY7lhA==" saltValue="yz+2hOnJJnwAMmVpXOkqAg==" spinCount="100000" sheet="1" objects="1" scenarios="1"/>
  <conditionalFormatting sqref="B2:X43">
    <cfRule type="colorScale" priority="2">
      <colorScale>
        <cfvo type="min"/>
        <cfvo type="percentile" val="50"/>
        <cfvo type="max"/>
        <color rgb="FF5A8AC6"/>
        <color rgb="FFFCFCFF"/>
        <color rgb="FFF8696B"/>
      </colorScale>
    </cfRule>
  </conditionalFormatting>
  <conditionalFormatting sqref="AA2:AW43">
    <cfRule type="colorScale" priority="1">
      <colorScale>
        <cfvo type="min"/>
        <cfvo type="percentile" val="50"/>
        <cfvo type="max"/>
        <color rgb="FF5A8AC6"/>
        <color rgb="FFFCFCFF"/>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S1000"/>
  <sheetViews>
    <sheetView zoomScale="70" zoomScaleNormal="70" workbookViewId="0">
      <selection activeCell="X1" sqref="X1"/>
    </sheetView>
  </sheetViews>
  <sheetFormatPr defaultColWidth="12.5546875" defaultRowHeight="13.2" x14ac:dyDescent="0.25"/>
  <cols>
    <col min="1" max="1" width="6.6640625" style="2" bestFit="1" customWidth="1"/>
    <col min="2" max="22" width="4.77734375" style="2" customWidth="1"/>
    <col min="23" max="23" width="3.5546875" style="2" customWidth="1"/>
    <col min="24" max="24" width="6.6640625" style="2" bestFit="1" customWidth="1"/>
    <col min="25" max="45" width="4.77734375" style="2" customWidth="1"/>
    <col min="46" max="16384" width="12.5546875" style="2"/>
  </cols>
  <sheetData>
    <row r="1" spans="1:45" x14ac:dyDescent="0.25">
      <c r="A1" s="3" t="s">
        <v>2</v>
      </c>
      <c r="B1" s="4">
        <v>120</v>
      </c>
      <c r="C1" s="4">
        <v>104</v>
      </c>
      <c r="D1" s="4">
        <v>88</v>
      </c>
      <c r="E1" s="4">
        <v>72</v>
      </c>
      <c r="F1" s="4">
        <v>68</v>
      </c>
      <c r="G1" s="4">
        <v>64</v>
      </c>
      <c r="H1" s="4">
        <v>60</v>
      </c>
      <c r="I1" s="4">
        <v>56</v>
      </c>
      <c r="J1" s="4">
        <v>52</v>
      </c>
      <c r="K1" s="4">
        <v>48</v>
      </c>
      <c r="L1" s="4">
        <v>44</v>
      </c>
      <c r="M1" s="4">
        <v>40</v>
      </c>
      <c r="N1" s="4">
        <v>36</v>
      </c>
      <c r="O1" s="4">
        <v>32</v>
      </c>
      <c r="P1" s="4">
        <v>24</v>
      </c>
      <c r="Q1" s="4">
        <v>20</v>
      </c>
      <c r="R1" s="4">
        <v>16</v>
      </c>
      <c r="S1" s="4">
        <v>12</v>
      </c>
      <c r="T1" s="4">
        <v>8</v>
      </c>
      <c r="U1" s="4">
        <v>4</v>
      </c>
      <c r="V1" s="5">
        <v>0</v>
      </c>
      <c r="X1" s="3" t="s">
        <v>4</v>
      </c>
      <c r="Y1" s="4">
        <v>120</v>
      </c>
      <c r="Z1" s="4">
        <v>104</v>
      </c>
      <c r="AA1" s="4">
        <v>88</v>
      </c>
      <c r="AB1" s="4">
        <v>72</v>
      </c>
      <c r="AC1" s="4">
        <v>68</v>
      </c>
      <c r="AD1" s="4">
        <v>64</v>
      </c>
      <c r="AE1" s="4">
        <v>60</v>
      </c>
      <c r="AF1" s="4">
        <v>56</v>
      </c>
      <c r="AG1" s="4">
        <v>52</v>
      </c>
      <c r="AH1" s="4">
        <v>48</v>
      </c>
      <c r="AI1" s="4">
        <v>44</v>
      </c>
      <c r="AJ1" s="4">
        <v>40</v>
      </c>
      <c r="AK1" s="4">
        <v>36</v>
      </c>
      <c r="AL1" s="4">
        <v>32</v>
      </c>
      <c r="AM1" s="4">
        <v>24</v>
      </c>
      <c r="AN1" s="4">
        <v>20</v>
      </c>
      <c r="AO1" s="4">
        <v>16</v>
      </c>
      <c r="AP1" s="4">
        <v>12</v>
      </c>
      <c r="AQ1" s="4">
        <v>8</v>
      </c>
      <c r="AR1" s="4">
        <v>4</v>
      </c>
      <c r="AS1" s="5">
        <v>0</v>
      </c>
    </row>
    <row r="2" spans="1:45" x14ac:dyDescent="0.25">
      <c r="A2" s="6">
        <v>800</v>
      </c>
      <c r="B2" s="23"/>
      <c r="C2" s="23"/>
      <c r="D2" s="23"/>
      <c r="E2" s="23"/>
      <c r="F2" s="23"/>
      <c r="G2" s="23"/>
      <c r="H2" s="23">
        <v>17.899999999999999</v>
      </c>
      <c r="I2" s="23">
        <v>17.75</v>
      </c>
      <c r="J2" s="23">
        <v>16.75</v>
      </c>
      <c r="K2" s="23">
        <v>16</v>
      </c>
      <c r="L2" s="23">
        <v>17.600000000000001</v>
      </c>
      <c r="M2" s="23">
        <v>17.350000000000001</v>
      </c>
      <c r="N2" s="23">
        <v>16.866666666666667</v>
      </c>
      <c r="O2" s="23">
        <v>18.5</v>
      </c>
      <c r="P2" s="23"/>
      <c r="Q2" s="23"/>
      <c r="R2" s="23"/>
      <c r="S2" s="23"/>
      <c r="T2" s="23"/>
      <c r="U2" s="23"/>
      <c r="V2" s="24"/>
      <c r="X2" s="6">
        <v>800</v>
      </c>
      <c r="Y2" s="23">
        <v>0</v>
      </c>
      <c r="Z2" s="23">
        <v>0</v>
      </c>
      <c r="AA2" s="23">
        <v>0</v>
      </c>
      <c r="AB2" s="23">
        <v>0</v>
      </c>
      <c r="AC2" s="23">
        <v>0</v>
      </c>
      <c r="AD2" s="23">
        <v>0</v>
      </c>
      <c r="AE2" s="23">
        <v>2</v>
      </c>
      <c r="AF2" s="23">
        <v>2</v>
      </c>
      <c r="AG2" s="23">
        <v>2</v>
      </c>
      <c r="AH2" s="23">
        <v>2</v>
      </c>
      <c r="AI2" s="23">
        <v>2</v>
      </c>
      <c r="AJ2" s="23">
        <v>4</v>
      </c>
      <c r="AK2" s="23">
        <v>3</v>
      </c>
      <c r="AL2" s="23">
        <v>2</v>
      </c>
      <c r="AM2" s="23">
        <v>0</v>
      </c>
      <c r="AN2" s="23">
        <v>0</v>
      </c>
      <c r="AO2" s="23">
        <v>0</v>
      </c>
      <c r="AP2" s="23">
        <v>0</v>
      </c>
      <c r="AQ2" s="23">
        <v>0</v>
      </c>
      <c r="AR2" s="23">
        <v>0</v>
      </c>
      <c r="AS2" s="24">
        <v>0</v>
      </c>
    </row>
    <row r="3" spans="1:45" x14ac:dyDescent="0.25">
      <c r="A3" s="6">
        <v>1000</v>
      </c>
      <c r="B3" s="23"/>
      <c r="C3" s="23">
        <v>16.333333333333332</v>
      </c>
      <c r="D3" s="23">
        <v>16.836842105263155</v>
      </c>
      <c r="E3" s="23">
        <v>16.066666666666666</v>
      </c>
      <c r="F3" s="23">
        <v>16.425000000000001</v>
      </c>
      <c r="G3" s="23">
        <v>16.316666666666666</v>
      </c>
      <c r="H3" s="23">
        <v>17.375</v>
      </c>
      <c r="I3" s="23">
        <v>16.827272727272728</v>
      </c>
      <c r="J3" s="23">
        <v>16.727272727272727</v>
      </c>
      <c r="K3" s="23">
        <v>16.75</v>
      </c>
      <c r="L3" s="23">
        <v>16.566666666666666</v>
      </c>
      <c r="M3" s="23">
        <v>17.074999999999999</v>
      </c>
      <c r="N3" s="23">
        <v>15.928571428571429</v>
      </c>
      <c r="O3" s="23">
        <v>17.185714285714287</v>
      </c>
      <c r="P3" s="23">
        <v>16.866666666666671</v>
      </c>
      <c r="Q3" s="23"/>
      <c r="R3" s="23"/>
      <c r="S3" s="23">
        <v>17.733333333333334</v>
      </c>
      <c r="T3" s="23">
        <v>18.5</v>
      </c>
      <c r="U3" s="23"/>
      <c r="V3" s="24"/>
      <c r="X3" s="6">
        <v>1000</v>
      </c>
      <c r="Y3" s="23">
        <v>0</v>
      </c>
      <c r="Z3" s="23">
        <v>9</v>
      </c>
      <c r="AA3" s="23">
        <v>19</v>
      </c>
      <c r="AB3" s="23">
        <v>3</v>
      </c>
      <c r="AC3" s="23">
        <v>8</v>
      </c>
      <c r="AD3" s="23">
        <v>6</v>
      </c>
      <c r="AE3" s="23">
        <v>8</v>
      </c>
      <c r="AF3" s="23">
        <v>11</v>
      </c>
      <c r="AG3" s="23">
        <v>11</v>
      </c>
      <c r="AH3" s="23">
        <v>8</v>
      </c>
      <c r="AI3" s="23">
        <v>6</v>
      </c>
      <c r="AJ3" s="23">
        <v>12</v>
      </c>
      <c r="AK3" s="23">
        <v>7</v>
      </c>
      <c r="AL3" s="23">
        <v>28</v>
      </c>
      <c r="AM3" s="23">
        <v>6</v>
      </c>
      <c r="AN3" s="23">
        <v>0</v>
      </c>
      <c r="AO3" s="23">
        <v>0</v>
      </c>
      <c r="AP3" s="23">
        <v>3</v>
      </c>
      <c r="AQ3" s="23">
        <v>1</v>
      </c>
      <c r="AR3" s="23">
        <v>0</v>
      </c>
      <c r="AS3" s="24">
        <v>0</v>
      </c>
    </row>
    <row r="4" spans="1:45" x14ac:dyDescent="0.25">
      <c r="A4" s="6">
        <v>1200</v>
      </c>
      <c r="B4" s="23"/>
      <c r="C4" s="23">
        <v>16.981250000000003</v>
      </c>
      <c r="D4" s="23">
        <v>16.681081081081082</v>
      </c>
      <c r="E4" s="23">
        <v>16.3</v>
      </c>
      <c r="F4" s="23">
        <v>16.839999999999996</v>
      </c>
      <c r="G4" s="23">
        <v>17.028571428571428</v>
      </c>
      <c r="H4" s="23">
        <v>17.899999999999999</v>
      </c>
      <c r="I4" s="23">
        <v>17.127272727272729</v>
      </c>
      <c r="J4" s="23">
        <v>17.119999999999997</v>
      </c>
      <c r="K4" s="23">
        <v>16.930000000000003</v>
      </c>
      <c r="L4" s="23">
        <v>17.216666666666665</v>
      </c>
      <c r="M4" s="23">
        <v>17.585714285714285</v>
      </c>
      <c r="N4" s="23">
        <v>16.933333333333334</v>
      </c>
      <c r="O4" s="23">
        <v>17.412499999999998</v>
      </c>
      <c r="P4" s="23">
        <v>16.475000000000001</v>
      </c>
      <c r="Q4" s="23">
        <v>15.983333333333334</v>
      </c>
      <c r="R4" s="23">
        <v>16.72</v>
      </c>
      <c r="S4" s="23">
        <v>17.549999999999997</v>
      </c>
      <c r="T4" s="23"/>
      <c r="U4" s="23"/>
      <c r="V4" s="24"/>
      <c r="X4" s="6">
        <v>1200</v>
      </c>
      <c r="Y4" s="23">
        <v>0</v>
      </c>
      <c r="Z4" s="23">
        <v>16</v>
      </c>
      <c r="AA4" s="23">
        <v>37</v>
      </c>
      <c r="AB4" s="23">
        <v>6</v>
      </c>
      <c r="AC4" s="23">
        <v>10</v>
      </c>
      <c r="AD4" s="23">
        <v>7</v>
      </c>
      <c r="AE4" s="23">
        <v>5</v>
      </c>
      <c r="AF4" s="23">
        <v>11</v>
      </c>
      <c r="AG4" s="23">
        <v>5</v>
      </c>
      <c r="AH4" s="23">
        <v>10</v>
      </c>
      <c r="AI4" s="23">
        <v>6</v>
      </c>
      <c r="AJ4" s="23">
        <v>7</v>
      </c>
      <c r="AK4" s="23">
        <v>9</v>
      </c>
      <c r="AL4" s="23">
        <v>16</v>
      </c>
      <c r="AM4" s="23">
        <v>4</v>
      </c>
      <c r="AN4" s="23">
        <v>6</v>
      </c>
      <c r="AO4" s="23">
        <v>5</v>
      </c>
      <c r="AP4" s="23">
        <v>6</v>
      </c>
      <c r="AQ4" s="23">
        <v>0</v>
      </c>
      <c r="AR4" s="23">
        <v>0</v>
      </c>
      <c r="AS4" s="24">
        <v>0</v>
      </c>
    </row>
    <row r="5" spans="1:45" x14ac:dyDescent="0.25">
      <c r="A5" s="6">
        <v>1400</v>
      </c>
      <c r="B5" s="23"/>
      <c r="C5" s="23">
        <v>17.2</v>
      </c>
      <c r="D5" s="23">
        <v>17.8</v>
      </c>
      <c r="E5" s="23"/>
      <c r="F5" s="23">
        <v>18.5</v>
      </c>
      <c r="G5" s="23"/>
      <c r="H5" s="23"/>
      <c r="I5" s="23"/>
      <c r="J5" s="23"/>
      <c r="K5" s="23"/>
      <c r="L5" s="23"/>
      <c r="M5" s="23"/>
      <c r="N5" s="23"/>
      <c r="O5" s="23">
        <v>17</v>
      </c>
      <c r="P5" s="23"/>
      <c r="Q5" s="23"/>
      <c r="R5" s="23"/>
      <c r="S5" s="23"/>
      <c r="T5" s="23"/>
      <c r="U5" s="23"/>
      <c r="V5" s="24"/>
      <c r="X5" s="6">
        <v>1400</v>
      </c>
      <c r="Y5" s="23">
        <v>0</v>
      </c>
      <c r="Z5" s="23">
        <v>1</v>
      </c>
      <c r="AA5" s="23">
        <v>1</v>
      </c>
      <c r="AB5" s="23">
        <v>0</v>
      </c>
      <c r="AC5" s="23">
        <v>1</v>
      </c>
      <c r="AD5" s="23">
        <v>0</v>
      </c>
      <c r="AE5" s="23">
        <v>0</v>
      </c>
      <c r="AF5" s="23">
        <v>0</v>
      </c>
      <c r="AG5" s="23">
        <v>0</v>
      </c>
      <c r="AH5" s="23">
        <v>0</v>
      </c>
      <c r="AI5" s="23">
        <v>0</v>
      </c>
      <c r="AJ5" s="23">
        <v>0</v>
      </c>
      <c r="AK5" s="23">
        <v>0</v>
      </c>
      <c r="AL5" s="23">
        <v>1</v>
      </c>
      <c r="AM5" s="23">
        <v>0</v>
      </c>
      <c r="AN5" s="23">
        <v>0</v>
      </c>
      <c r="AO5" s="23">
        <v>0</v>
      </c>
      <c r="AP5" s="23">
        <v>0</v>
      </c>
      <c r="AQ5" s="23">
        <v>0</v>
      </c>
      <c r="AR5" s="23">
        <v>0</v>
      </c>
      <c r="AS5" s="24">
        <v>0</v>
      </c>
    </row>
    <row r="6" spans="1:45" x14ac:dyDescent="0.25">
      <c r="A6" s="6">
        <v>1600</v>
      </c>
      <c r="B6" s="23"/>
      <c r="C6" s="23"/>
      <c r="D6" s="23"/>
      <c r="E6" s="23"/>
      <c r="F6" s="23"/>
      <c r="G6" s="23"/>
      <c r="H6" s="23"/>
      <c r="I6" s="23"/>
      <c r="J6" s="23"/>
      <c r="K6" s="23"/>
      <c r="L6" s="23"/>
      <c r="M6" s="23"/>
      <c r="N6" s="23"/>
      <c r="O6" s="23"/>
      <c r="P6" s="23"/>
      <c r="Q6" s="23"/>
      <c r="R6" s="23"/>
      <c r="S6" s="23"/>
      <c r="T6" s="23"/>
      <c r="U6" s="23"/>
      <c r="V6" s="24"/>
      <c r="X6" s="6">
        <v>1600</v>
      </c>
      <c r="Y6" s="23">
        <v>0</v>
      </c>
      <c r="Z6" s="23">
        <v>0</v>
      </c>
      <c r="AA6" s="23">
        <v>0</v>
      </c>
      <c r="AB6" s="23">
        <v>0</v>
      </c>
      <c r="AC6" s="23">
        <v>0</v>
      </c>
      <c r="AD6" s="23">
        <v>0</v>
      </c>
      <c r="AE6" s="23">
        <v>0</v>
      </c>
      <c r="AF6" s="23">
        <v>0</v>
      </c>
      <c r="AG6" s="23">
        <v>0</v>
      </c>
      <c r="AH6" s="23">
        <v>0</v>
      </c>
      <c r="AI6" s="23">
        <v>0</v>
      </c>
      <c r="AJ6" s="23">
        <v>0</v>
      </c>
      <c r="AK6" s="23">
        <v>0</v>
      </c>
      <c r="AL6" s="23">
        <v>0</v>
      </c>
      <c r="AM6" s="23">
        <v>0</v>
      </c>
      <c r="AN6" s="23">
        <v>0</v>
      </c>
      <c r="AO6" s="23">
        <v>0</v>
      </c>
      <c r="AP6" s="23">
        <v>0</v>
      </c>
      <c r="AQ6" s="23">
        <v>0</v>
      </c>
      <c r="AR6" s="23">
        <v>0</v>
      </c>
      <c r="AS6" s="24">
        <v>0</v>
      </c>
    </row>
    <row r="7" spans="1:45" x14ac:dyDescent="0.25">
      <c r="A7" s="6">
        <v>1800</v>
      </c>
      <c r="B7" s="23"/>
      <c r="C7" s="23"/>
      <c r="D7" s="23"/>
      <c r="E7" s="23"/>
      <c r="F7" s="23"/>
      <c r="G7" s="23"/>
      <c r="H7" s="23"/>
      <c r="I7" s="23"/>
      <c r="J7" s="23"/>
      <c r="K7" s="23"/>
      <c r="L7" s="23"/>
      <c r="M7" s="23"/>
      <c r="N7" s="23"/>
      <c r="O7" s="23"/>
      <c r="P7" s="23"/>
      <c r="Q7" s="23"/>
      <c r="R7" s="23"/>
      <c r="S7" s="23"/>
      <c r="T7" s="23"/>
      <c r="U7" s="23"/>
      <c r="V7" s="24"/>
      <c r="X7" s="6">
        <v>1800</v>
      </c>
      <c r="Y7" s="23">
        <v>0</v>
      </c>
      <c r="Z7" s="23">
        <v>0</v>
      </c>
      <c r="AA7" s="23">
        <v>0</v>
      </c>
      <c r="AB7" s="23">
        <v>0</v>
      </c>
      <c r="AC7" s="23">
        <v>0</v>
      </c>
      <c r="AD7" s="23">
        <v>0</v>
      </c>
      <c r="AE7" s="23">
        <v>0</v>
      </c>
      <c r="AF7" s="23">
        <v>0</v>
      </c>
      <c r="AG7" s="23">
        <v>0</v>
      </c>
      <c r="AH7" s="23">
        <v>0</v>
      </c>
      <c r="AI7" s="23">
        <v>0</v>
      </c>
      <c r="AJ7" s="23">
        <v>0</v>
      </c>
      <c r="AK7" s="23">
        <v>0</v>
      </c>
      <c r="AL7" s="23">
        <v>0</v>
      </c>
      <c r="AM7" s="23">
        <v>0</v>
      </c>
      <c r="AN7" s="23">
        <v>0</v>
      </c>
      <c r="AO7" s="23">
        <v>0</v>
      </c>
      <c r="AP7" s="23">
        <v>0</v>
      </c>
      <c r="AQ7" s="23">
        <v>0</v>
      </c>
      <c r="AR7" s="23">
        <v>0</v>
      </c>
      <c r="AS7" s="24">
        <v>0</v>
      </c>
    </row>
    <row r="8" spans="1:45" x14ac:dyDescent="0.25">
      <c r="A8" s="6">
        <v>2000</v>
      </c>
      <c r="B8" s="23"/>
      <c r="C8" s="23"/>
      <c r="D8" s="23"/>
      <c r="E8" s="23"/>
      <c r="F8" s="23"/>
      <c r="G8" s="23"/>
      <c r="H8" s="23"/>
      <c r="I8" s="23"/>
      <c r="J8" s="23"/>
      <c r="K8" s="23"/>
      <c r="L8" s="23"/>
      <c r="M8" s="23"/>
      <c r="N8" s="23"/>
      <c r="O8" s="23"/>
      <c r="P8" s="23"/>
      <c r="Q8" s="23"/>
      <c r="R8" s="23"/>
      <c r="S8" s="23"/>
      <c r="T8" s="23"/>
      <c r="U8" s="23"/>
      <c r="V8" s="24"/>
      <c r="X8" s="6">
        <v>2000</v>
      </c>
      <c r="Y8" s="23">
        <v>0</v>
      </c>
      <c r="Z8" s="23">
        <v>0</v>
      </c>
      <c r="AA8" s="23">
        <v>0</v>
      </c>
      <c r="AB8" s="23">
        <v>0</v>
      </c>
      <c r="AC8" s="23">
        <v>0</v>
      </c>
      <c r="AD8" s="23">
        <v>0</v>
      </c>
      <c r="AE8" s="23">
        <v>0</v>
      </c>
      <c r="AF8" s="23">
        <v>0</v>
      </c>
      <c r="AG8" s="23">
        <v>0</v>
      </c>
      <c r="AH8" s="23">
        <v>0</v>
      </c>
      <c r="AI8" s="23">
        <v>0</v>
      </c>
      <c r="AJ8" s="23">
        <v>0</v>
      </c>
      <c r="AK8" s="23">
        <v>0</v>
      </c>
      <c r="AL8" s="23">
        <v>0</v>
      </c>
      <c r="AM8" s="23">
        <v>0</v>
      </c>
      <c r="AN8" s="23">
        <v>0</v>
      </c>
      <c r="AO8" s="23">
        <v>0</v>
      </c>
      <c r="AP8" s="23">
        <v>0</v>
      </c>
      <c r="AQ8" s="23">
        <v>0</v>
      </c>
      <c r="AR8" s="23">
        <v>0</v>
      </c>
      <c r="AS8" s="24">
        <v>0</v>
      </c>
    </row>
    <row r="9" spans="1:45" x14ac:dyDescent="0.25">
      <c r="A9" s="6">
        <v>2200</v>
      </c>
      <c r="B9" s="23"/>
      <c r="C9" s="23"/>
      <c r="D9" s="23"/>
      <c r="E9" s="23"/>
      <c r="F9" s="23"/>
      <c r="G9" s="23"/>
      <c r="H9" s="23"/>
      <c r="I9" s="23"/>
      <c r="J9" s="23"/>
      <c r="K9" s="23"/>
      <c r="L9" s="23"/>
      <c r="M9" s="23"/>
      <c r="N9" s="23"/>
      <c r="O9" s="23"/>
      <c r="P9" s="23"/>
      <c r="Q9" s="23"/>
      <c r="R9" s="23"/>
      <c r="S9" s="23"/>
      <c r="T9" s="23"/>
      <c r="U9" s="23"/>
      <c r="V9" s="24"/>
      <c r="X9" s="6">
        <v>2200</v>
      </c>
      <c r="Y9" s="23">
        <v>0</v>
      </c>
      <c r="Z9" s="23">
        <v>0</v>
      </c>
      <c r="AA9" s="23">
        <v>0</v>
      </c>
      <c r="AB9" s="23">
        <v>0</v>
      </c>
      <c r="AC9" s="23">
        <v>0</v>
      </c>
      <c r="AD9" s="23">
        <v>0</v>
      </c>
      <c r="AE9" s="23">
        <v>0</v>
      </c>
      <c r="AF9" s="23">
        <v>0</v>
      </c>
      <c r="AG9" s="23">
        <v>0</v>
      </c>
      <c r="AH9" s="23">
        <v>0</v>
      </c>
      <c r="AI9" s="23">
        <v>0</v>
      </c>
      <c r="AJ9" s="23">
        <v>0</v>
      </c>
      <c r="AK9" s="23">
        <v>0</v>
      </c>
      <c r="AL9" s="23">
        <v>0</v>
      </c>
      <c r="AM9" s="23">
        <v>0</v>
      </c>
      <c r="AN9" s="23">
        <v>0</v>
      </c>
      <c r="AO9" s="23">
        <v>0</v>
      </c>
      <c r="AP9" s="23">
        <v>0</v>
      </c>
      <c r="AQ9" s="23">
        <v>0</v>
      </c>
      <c r="AR9" s="23">
        <v>0</v>
      </c>
      <c r="AS9" s="24">
        <v>0</v>
      </c>
    </row>
    <row r="10" spans="1:45" x14ac:dyDescent="0.25">
      <c r="A10" s="6">
        <v>2400</v>
      </c>
      <c r="B10" s="23"/>
      <c r="C10" s="23"/>
      <c r="D10" s="23"/>
      <c r="E10" s="23"/>
      <c r="F10" s="23"/>
      <c r="G10" s="23"/>
      <c r="H10" s="23"/>
      <c r="I10" s="23"/>
      <c r="J10" s="23"/>
      <c r="K10" s="23"/>
      <c r="L10" s="23"/>
      <c r="M10" s="23"/>
      <c r="N10" s="23"/>
      <c r="O10" s="23"/>
      <c r="P10" s="23"/>
      <c r="Q10" s="23"/>
      <c r="R10" s="23"/>
      <c r="S10" s="23"/>
      <c r="T10" s="23"/>
      <c r="U10" s="23"/>
      <c r="V10" s="24"/>
      <c r="X10" s="6">
        <v>2400</v>
      </c>
      <c r="Y10" s="23">
        <v>0</v>
      </c>
      <c r="Z10" s="23">
        <v>0</v>
      </c>
      <c r="AA10" s="23">
        <v>0</v>
      </c>
      <c r="AB10" s="23">
        <v>0</v>
      </c>
      <c r="AC10" s="23">
        <v>0</v>
      </c>
      <c r="AD10" s="23">
        <v>0</v>
      </c>
      <c r="AE10" s="23">
        <v>0</v>
      </c>
      <c r="AF10" s="23">
        <v>0</v>
      </c>
      <c r="AG10" s="23">
        <v>0</v>
      </c>
      <c r="AH10" s="23">
        <v>0</v>
      </c>
      <c r="AI10" s="23">
        <v>0</v>
      </c>
      <c r="AJ10" s="23">
        <v>0</v>
      </c>
      <c r="AK10" s="23">
        <v>0</v>
      </c>
      <c r="AL10" s="23">
        <v>0</v>
      </c>
      <c r="AM10" s="23">
        <v>0</v>
      </c>
      <c r="AN10" s="23">
        <v>0</v>
      </c>
      <c r="AO10" s="23">
        <v>0</v>
      </c>
      <c r="AP10" s="23">
        <v>0</v>
      </c>
      <c r="AQ10" s="23">
        <v>0</v>
      </c>
      <c r="AR10" s="23">
        <v>0</v>
      </c>
      <c r="AS10" s="24">
        <v>0</v>
      </c>
    </row>
    <row r="11" spans="1:45" x14ac:dyDescent="0.25">
      <c r="A11" s="6">
        <v>2600</v>
      </c>
      <c r="B11" s="23"/>
      <c r="C11" s="23"/>
      <c r="D11" s="23"/>
      <c r="E11" s="23"/>
      <c r="F11" s="23"/>
      <c r="G11" s="23"/>
      <c r="H11" s="23"/>
      <c r="I11" s="23"/>
      <c r="J11" s="23"/>
      <c r="K11" s="23"/>
      <c r="L11" s="23"/>
      <c r="M11" s="23"/>
      <c r="N11" s="23"/>
      <c r="O11" s="23"/>
      <c r="P11" s="23"/>
      <c r="Q11" s="23"/>
      <c r="R11" s="23"/>
      <c r="S11" s="23"/>
      <c r="T11" s="23"/>
      <c r="U11" s="23"/>
      <c r="V11" s="24"/>
      <c r="X11" s="6">
        <v>2600</v>
      </c>
      <c r="Y11" s="23">
        <v>0</v>
      </c>
      <c r="Z11" s="23">
        <v>0</v>
      </c>
      <c r="AA11" s="23">
        <v>0</v>
      </c>
      <c r="AB11" s="23">
        <v>0</v>
      </c>
      <c r="AC11" s="23">
        <v>0</v>
      </c>
      <c r="AD11" s="23">
        <v>0</v>
      </c>
      <c r="AE11" s="23">
        <v>0</v>
      </c>
      <c r="AF11" s="23">
        <v>0</v>
      </c>
      <c r="AG11" s="23">
        <v>0</v>
      </c>
      <c r="AH11" s="23">
        <v>0</v>
      </c>
      <c r="AI11" s="23">
        <v>0</v>
      </c>
      <c r="AJ11" s="23">
        <v>0</v>
      </c>
      <c r="AK11" s="23">
        <v>0</v>
      </c>
      <c r="AL11" s="23">
        <v>0</v>
      </c>
      <c r="AM11" s="23">
        <v>0</v>
      </c>
      <c r="AN11" s="23">
        <v>0</v>
      </c>
      <c r="AO11" s="23">
        <v>0</v>
      </c>
      <c r="AP11" s="23">
        <v>0</v>
      </c>
      <c r="AQ11" s="23">
        <v>0</v>
      </c>
      <c r="AR11" s="23">
        <v>0</v>
      </c>
      <c r="AS11" s="24">
        <v>0</v>
      </c>
    </row>
    <row r="12" spans="1:45" x14ac:dyDescent="0.25">
      <c r="A12" s="6">
        <v>2800</v>
      </c>
      <c r="B12" s="23"/>
      <c r="C12" s="23"/>
      <c r="D12" s="23"/>
      <c r="E12" s="23"/>
      <c r="F12" s="23"/>
      <c r="G12" s="23"/>
      <c r="H12" s="23"/>
      <c r="I12" s="23"/>
      <c r="J12" s="23"/>
      <c r="K12" s="23"/>
      <c r="L12" s="23"/>
      <c r="M12" s="23"/>
      <c r="N12" s="23"/>
      <c r="O12" s="23"/>
      <c r="P12" s="23"/>
      <c r="Q12" s="23"/>
      <c r="R12" s="23"/>
      <c r="S12" s="23"/>
      <c r="T12" s="23"/>
      <c r="U12" s="23"/>
      <c r="V12" s="24"/>
      <c r="X12" s="6">
        <v>2800</v>
      </c>
      <c r="Y12" s="23">
        <v>0</v>
      </c>
      <c r="Z12" s="23">
        <v>0</v>
      </c>
      <c r="AA12" s="23">
        <v>0</v>
      </c>
      <c r="AB12" s="23">
        <v>0</v>
      </c>
      <c r="AC12" s="23">
        <v>0</v>
      </c>
      <c r="AD12" s="23">
        <v>0</v>
      </c>
      <c r="AE12" s="23">
        <v>0</v>
      </c>
      <c r="AF12" s="23">
        <v>0</v>
      </c>
      <c r="AG12" s="23">
        <v>0</v>
      </c>
      <c r="AH12" s="23">
        <v>0</v>
      </c>
      <c r="AI12" s="23">
        <v>0</v>
      </c>
      <c r="AJ12" s="23">
        <v>0</v>
      </c>
      <c r="AK12" s="23">
        <v>0</v>
      </c>
      <c r="AL12" s="23">
        <v>0</v>
      </c>
      <c r="AM12" s="23">
        <v>0</v>
      </c>
      <c r="AN12" s="23">
        <v>0</v>
      </c>
      <c r="AO12" s="23">
        <v>0</v>
      </c>
      <c r="AP12" s="23">
        <v>0</v>
      </c>
      <c r="AQ12" s="23">
        <v>0</v>
      </c>
      <c r="AR12" s="23">
        <v>0</v>
      </c>
      <c r="AS12" s="24">
        <v>0</v>
      </c>
    </row>
    <row r="13" spans="1:45" x14ac:dyDescent="0.25">
      <c r="A13" s="6">
        <v>3000</v>
      </c>
      <c r="B13" s="23"/>
      <c r="C13" s="23"/>
      <c r="D13" s="23"/>
      <c r="E13" s="23"/>
      <c r="F13" s="23"/>
      <c r="G13" s="23"/>
      <c r="H13" s="23"/>
      <c r="I13" s="23"/>
      <c r="J13" s="23"/>
      <c r="K13" s="23"/>
      <c r="L13" s="23"/>
      <c r="M13" s="23"/>
      <c r="N13" s="23"/>
      <c r="O13" s="23"/>
      <c r="P13" s="23"/>
      <c r="Q13" s="23"/>
      <c r="R13" s="23"/>
      <c r="S13" s="23"/>
      <c r="T13" s="23"/>
      <c r="U13" s="23"/>
      <c r="V13" s="24"/>
      <c r="X13" s="6">
        <v>3000</v>
      </c>
      <c r="Y13" s="23">
        <v>0</v>
      </c>
      <c r="Z13" s="23">
        <v>0</v>
      </c>
      <c r="AA13" s="23">
        <v>0</v>
      </c>
      <c r="AB13" s="23">
        <v>0</v>
      </c>
      <c r="AC13" s="23">
        <v>0</v>
      </c>
      <c r="AD13" s="23">
        <v>0</v>
      </c>
      <c r="AE13" s="23">
        <v>0</v>
      </c>
      <c r="AF13" s="23">
        <v>0</v>
      </c>
      <c r="AG13" s="23">
        <v>0</v>
      </c>
      <c r="AH13" s="23">
        <v>0</v>
      </c>
      <c r="AI13" s="23">
        <v>0</v>
      </c>
      <c r="AJ13" s="23">
        <v>0</v>
      </c>
      <c r="AK13" s="23">
        <v>0</v>
      </c>
      <c r="AL13" s="23">
        <v>0</v>
      </c>
      <c r="AM13" s="23">
        <v>0</v>
      </c>
      <c r="AN13" s="23">
        <v>0</v>
      </c>
      <c r="AO13" s="23">
        <v>0</v>
      </c>
      <c r="AP13" s="23">
        <v>0</v>
      </c>
      <c r="AQ13" s="23">
        <v>0</v>
      </c>
      <c r="AR13" s="23">
        <v>0</v>
      </c>
      <c r="AS13" s="24">
        <v>0</v>
      </c>
    </row>
    <row r="14" spans="1:45" x14ac:dyDescent="0.25">
      <c r="A14" s="6">
        <v>3200</v>
      </c>
      <c r="B14" s="23"/>
      <c r="C14" s="23"/>
      <c r="D14" s="23"/>
      <c r="E14" s="23"/>
      <c r="F14" s="23"/>
      <c r="G14" s="23"/>
      <c r="H14" s="23"/>
      <c r="I14" s="23"/>
      <c r="J14" s="23"/>
      <c r="K14" s="23"/>
      <c r="L14" s="23"/>
      <c r="M14" s="23"/>
      <c r="N14" s="23"/>
      <c r="O14" s="23"/>
      <c r="P14" s="23"/>
      <c r="Q14" s="23"/>
      <c r="R14" s="23"/>
      <c r="S14" s="23"/>
      <c r="T14" s="23"/>
      <c r="U14" s="23"/>
      <c r="V14" s="24"/>
      <c r="X14" s="6">
        <v>3200</v>
      </c>
      <c r="Y14" s="23">
        <v>0</v>
      </c>
      <c r="Z14" s="23">
        <v>0</v>
      </c>
      <c r="AA14" s="23">
        <v>0</v>
      </c>
      <c r="AB14" s="23">
        <v>0</v>
      </c>
      <c r="AC14" s="23">
        <v>0</v>
      </c>
      <c r="AD14" s="23">
        <v>0</v>
      </c>
      <c r="AE14" s="23">
        <v>0</v>
      </c>
      <c r="AF14" s="23">
        <v>0</v>
      </c>
      <c r="AG14" s="23">
        <v>0</v>
      </c>
      <c r="AH14" s="23">
        <v>0</v>
      </c>
      <c r="AI14" s="23">
        <v>0</v>
      </c>
      <c r="AJ14" s="23">
        <v>0</v>
      </c>
      <c r="AK14" s="23">
        <v>0</v>
      </c>
      <c r="AL14" s="23">
        <v>0</v>
      </c>
      <c r="AM14" s="23">
        <v>0</v>
      </c>
      <c r="AN14" s="23">
        <v>0</v>
      </c>
      <c r="AO14" s="23">
        <v>0</v>
      </c>
      <c r="AP14" s="23">
        <v>0</v>
      </c>
      <c r="AQ14" s="23">
        <v>0</v>
      </c>
      <c r="AR14" s="23">
        <v>0</v>
      </c>
      <c r="AS14" s="24">
        <v>0</v>
      </c>
    </row>
    <row r="15" spans="1:45" x14ac:dyDescent="0.25">
      <c r="A15" s="6">
        <v>3400</v>
      </c>
      <c r="B15" s="23"/>
      <c r="C15" s="23"/>
      <c r="D15" s="23"/>
      <c r="E15" s="23"/>
      <c r="F15" s="23"/>
      <c r="G15" s="23"/>
      <c r="H15" s="23"/>
      <c r="I15" s="23"/>
      <c r="J15" s="23"/>
      <c r="K15" s="23"/>
      <c r="L15" s="23"/>
      <c r="M15" s="23"/>
      <c r="N15" s="23"/>
      <c r="O15" s="23"/>
      <c r="P15" s="23"/>
      <c r="Q15" s="23"/>
      <c r="R15" s="23"/>
      <c r="S15" s="23"/>
      <c r="T15" s="23"/>
      <c r="U15" s="23"/>
      <c r="V15" s="24"/>
      <c r="X15" s="6">
        <v>3400</v>
      </c>
      <c r="Y15" s="23">
        <v>0</v>
      </c>
      <c r="Z15" s="23">
        <v>0</v>
      </c>
      <c r="AA15" s="23">
        <v>0</v>
      </c>
      <c r="AB15" s="23">
        <v>0</v>
      </c>
      <c r="AC15" s="23">
        <v>0</v>
      </c>
      <c r="AD15" s="23">
        <v>0</v>
      </c>
      <c r="AE15" s="23">
        <v>0</v>
      </c>
      <c r="AF15" s="23">
        <v>0</v>
      </c>
      <c r="AG15" s="23">
        <v>0</v>
      </c>
      <c r="AH15" s="23">
        <v>0</v>
      </c>
      <c r="AI15" s="23">
        <v>0</v>
      </c>
      <c r="AJ15" s="23">
        <v>0</v>
      </c>
      <c r="AK15" s="23">
        <v>0</v>
      </c>
      <c r="AL15" s="23">
        <v>0</v>
      </c>
      <c r="AM15" s="23">
        <v>0</v>
      </c>
      <c r="AN15" s="23">
        <v>0</v>
      </c>
      <c r="AO15" s="23">
        <v>0</v>
      </c>
      <c r="AP15" s="23">
        <v>0</v>
      </c>
      <c r="AQ15" s="23">
        <v>0</v>
      </c>
      <c r="AR15" s="23">
        <v>0</v>
      </c>
      <c r="AS15" s="24">
        <v>0</v>
      </c>
    </row>
    <row r="16" spans="1:45" x14ac:dyDescent="0.25">
      <c r="A16" s="6">
        <v>3600</v>
      </c>
      <c r="B16" s="23"/>
      <c r="C16" s="23"/>
      <c r="D16" s="23"/>
      <c r="E16" s="23"/>
      <c r="F16" s="23"/>
      <c r="G16" s="23"/>
      <c r="H16" s="23"/>
      <c r="I16" s="23"/>
      <c r="J16" s="23"/>
      <c r="K16" s="23"/>
      <c r="L16" s="23"/>
      <c r="M16" s="23"/>
      <c r="N16" s="23"/>
      <c r="O16" s="23"/>
      <c r="P16" s="23"/>
      <c r="Q16" s="23"/>
      <c r="R16" s="23"/>
      <c r="S16" s="23"/>
      <c r="T16" s="23"/>
      <c r="U16" s="23"/>
      <c r="V16" s="24"/>
      <c r="X16" s="6">
        <v>3600</v>
      </c>
      <c r="Y16" s="23">
        <v>0</v>
      </c>
      <c r="Z16" s="23">
        <v>0</v>
      </c>
      <c r="AA16" s="23">
        <v>0</v>
      </c>
      <c r="AB16" s="23">
        <v>0</v>
      </c>
      <c r="AC16" s="23">
        <v>0</v>
      </c>
      <c r="AD16" s="23">
        <v>0</v>
      </c>
      <c r="AE16" s="23">
        <v>0</v>
      </c>
      <c r="AF16" s="23">
        <v>0</v>
      </c>
      <c r="AG16" s="23">
        <v>0</v>
      </c>
      <c r="AH16" s="23">
        <v>0</v>
      </c>
      <c r="AI16" s="23">
        <v>0</v>
      </c>
      <c r="AJ16" s="23">
        <v>0</v>
      </c>
      <c r="AK16" s="23">
        <v>0</v>
      </c>
      <c r="AL16" s="23">
        <v>0</v>
      </c>
      <c r="AM16" s="23">
        <v>0</v>
      </c>
      <c r="AN16" s="23">
        <v>0</v>
      </c>
      <c r="AO16" s="23">
        <v>0</v>
      </c>
      <c r="AP16" s="23">
        <v>0</v>
      </c>
      <c r="AQ16" s="23">
        <v>0</v>
      </c>
      <c r="AR16" s="23">
        <v>0</v>
      </c>
      <c r="AS16" s="24">
        <v>0</v>
      </c>
    </row>
    <row r="17" spans="1:45" x14ac:dyDescent="0.25">
      <c r="A17" s="6">
        <v>3800</v>
      </c>
      <c r="B17" s="23"/>
      <c r="C17" s="23"/>
      <c r="D17" s="23"/>
      <c r="E17" s="23"/>
      <c r="F17" s="23"/>
      <c r="G17" s="23"/>
      <c r="H17" s="23"/>
      <c r="I17" s="23"/>
      <c r="J17" s="23"/>
      <c r="K17" s="23"/>
      <c r="L17" s="23"/>
      <c r="M17" s="23"/>
      <c r="N17" s="23"/>
      <c r="O17" s="23"/>
      <c r="P17" s="23"/>
      <c r="Q17" s="23"/>
      <c r="R17" s="23"/>
      <c r="S17" s="23"/>
      <c r="T17" s="23"/>
      <c r="U17" s="23"/>
      <c r="V17" s="24"/>
      <c r="X17" s="6">
        <v>3800</v>
      </c>
      <c r="Y17" s="23">
        <v>0</v>
      </c>
      <c r="Z17" s="23">
        <v>0</v>
      </c>
      <c r="AA17" s="23">
        <v>0</v>
      </c>
      <c r="AB17" s="23">
        <v>0</v>
      </c>
      <c r="AC17" s="23">
        <v>0</v>
      </c>
      <c r="AD17" s="23">
        <v>0</v>
      </c>
      <c r="AE17" s="23">
        <v>0</v>
      </c>
      <c r="AF17" s="23">
        <v>0</v>
      </c>
      <c r="AG17" s="23">
        <v>0</v>
      </c>
      <c r="AH17" s="23">
        <v>0</v>
      </c>
      <c r="AI17" s="23">
        <v>0</v>
      </c>
      <c r="AJ17" s="23">
        <v>0</v>
      </c>
      <c r="AK17" s="23">
        <v>0</v>
      </c>
      <c r="AL17" s="23">
        <v>0</v>
      </c>
      <c r="AM17" s="23">
        <v>0</v>
      </c>
      <c r="AN17" s="23">
        <v>0</v>
      </c>
      <c r="AO17" s="23">
        <v>0</v>
      </c>
      <c r="AP17" s="23">
        <v>0</v>
      </c>
      <c r="AQ17" s="23">
        <v>0</v>
      </c>
      <c r="AR17" s="23">
        <v>0</v>
      </c>
      <c r="AS17" s="24">
        <v>0</v>
      </c>
    </row>
    <row r="18" spans="1:45" x14ac:dyDescent="0.25">
      <c r="A18" s="6">
        <v>4000</v>
      </c>
      <c r="B18" s="23"/>
      <c r="C18" s="23"/>
      <c r="D18" s="23"/>
      <c r="E18" s="23"/>
      <c r="F18" s="23"/>
      <c r="G18" s="23"/>
      <c r="H18" s="23"/>
      <c r="I18" s="23"/>
      <c r="J18" s="23"/>
      <c r="K18" s="23"/>
      <c r="L18" s="23"/>
      <c r="M18" s="23"/>
      <c r="N18" s="23"/>
      <c r="O18" s="23"/>
      <c r="P18" s="23"/>
      <c r="Q18" s="23"/>
      <c r="R18" s="23"/>
      <c r="S18" s="23"/>
      <c r="T18" s="23"/>
      <c r="U18" s="23"/>
      <c r="V18" s="24"/>
      <c r="X18" s="6">
        <v>4000</v>
      </c>
      <c r="Y18" s="23">
        <v>0</v>
      </c>
      <c r="Z18" s="23">
        <v>0</v>
      </c>
      <c r="AA18" s="23">
        <v>0</v>
      </c>
      <c r="AB18" s="23">
        <v>0</v>
      </c>
      <c r="AC18" s="23">
        <v>0</v>
      </c>
      <c r="AD18" s="23">
        <v>0</v>
      </c>
      <c r="AE18" s="23">
        <v>0</v>
      </c>
      <c r="AF18" s="23">
        <v>0</v>
      </c>
      <c r="AG18" s="23">
        <v>0</v>
      </c>
      <c r="AH18" s="23">
        <v>0</v>
      </c>
      <c r="AI18" s="23">
        <v>0</v>
      </c>
      <c r="AJ18" s="23">
        <v>0</v>
      </c>
      <c r="AK18" s="23">
        <v>0</v>
      </c>
      <c r="AL18" s="23">
        <v>0</v>
      </c>
      <c r="AM18" s="23">
        <v>0</v>
      </c>
      <c r="AN18" s="23">
        <v>0</v>
      </c>
      <c r="AO18" s="23">
        <v>0</v>
      </c>
      <c r="AP18" s="23">
        <v>0</v>
      </c>
      <c r="AQ18" s="23">
        <v>0</v>
      </c>
      <c r="AR18" s="23">
        <v>0</v>
      </c>
      <c r="AS18" s="24">
        <v>0</v>
      </c>
    </row>
    <row r="19" spans="1:45" x14ac:dyDescent="0.25">
      <c r="A19" s="6">
        <v>4200</v>
      </c>
      <c r="B19" s="23"/>
      <c r="C19" s="23"/>
      <c r="D19" s="23"/>
      <c r="E19" s="23"/>
      <c r="F19" s="23"/>
      <c r="G19" s="23"/>
      <c r="H19" s="23"/>
      <c r="I19" s="23"/>
      <c r="J19" s="23"/>
      <c r="K19" s="23"/>
      <c r="L19" s="23"/>
      <c r="M19" s="23"/>
      <c r="N19" s="23"/>
      <c r="O19" s="23"/>
      <c r="P19" s="23"/>
      <c r="Q19" s="23"/>
      <c r="R19" s="23"/>
      <c r="S19" s="23"/>
      <c r="T19" s="23"/>
      <c r="U19" s="23"/>
      <c r="V19" s="24"/>
      <c r="X19" s="6">
        <v>4200</v>
      </c>
      <c r="Y19" s="23">
        <v>0</v>
      </c>
      <c r="Z19" s="23">
        <v>0</v>
      </c>
      <c r="AA19" s="23">
        <v>0</v>
      </c>
      <c r="AB19" s="23">
        <v>0</v>
      </c>
      <c r="AC19" s="23">
        <v>0</v>
      </c>
      <c r="AD19" s="23">
        <v>0</v>
      </c>
      <c r="AE19" s="23">
        <v>0</v>
      </c>
      <c r="AF19" s="23">
        <v>0</v>
      </c>
      <c r="AG19" s="23">
        <v>0</v>
      </c>
      <c r="AH19" s="23">
        <v>0</v>
      </c>
      <c r="AI19" s="23">
        <v>0</v>
      </c>
      <c r="AJ19" s="23">
        <v>0</v>
      </c>
      <c r="AK19" s="23">
        <v>0</v>
      </c>
      <c r="AL19" s="23">
        <v>0</v>
      </c>
      <c r="AM19" s="23">
        <v>0</v>
      </c>
      <c r="AN19" s="23">
        <v>0</v>
      </c>
      <c r="AO19" s="23">
        <v>0</v>
      </c>
      <c r="AP19" s="23">
        <v>0</v>
      </c>
      <c r="AQ19" s="23">
        <v>0</v>
      </c>
      <c r="AR19" s="23">
        <v>0</v>
      </c>
      <c r="AS19" s="24">
        <v>0</v>
      </c>
    </row>
    <row r="20" spans="1:45" x14ac:dyDescent="0.25">
      <c r="A20" s="6">
        <v>4400</v>
      </c>
      <c r="B20" s="23"/>
      <c r="C20" s="23"/>
      <c r="D20" s="23"/>
      <c r="E20" s="23"/>
      <c r="F20" s="23"/>
      <c r="G20" s="23"/>
      <c r="H20" s="23"/>
      <c r="I20" s="23"/>
      <c r="J20" s="23"/>
      <c r="K20" s="23"/>
      <c r="L20" s="23"/>
      <c r="M20" s="23"/>
      <c r="N20" s="23"/>
      <c r="O20" s="23"/>
      <c r="P20" s="23"/>
      <c r="Q20" s="23"/>
      <c r="R20" s="23"/>
      <c r="S20" s="23"/>
      <c r="T20" s="23"/>
      <c r="U20" s="23"/>
      <c r="V20" s="24"/>
      <c r="X20" s="6">
        <v>4400</v>
      </c>
      <c r="Y20" s="23">
        <v>0</v>
      </c>
      <c r="Z20" s="23">
        <v>0</v>
      </c>
      <c r="AA20" s="23">
        <v>0</v>
      </c>
      <c r="AB20" s="23">
        <v>0</v>
      </c>
      <c r="AC20" s="23">
        <v>0</v>
      </c>
      <c r="AD20" s="23">
        <v>0</v>
      </c>
      <c r="AE20" s="23">
        <v>0</v>
      </c>
      <c r="AF20" s="23">
        <v>0</v>
      </c>
      <c r="AG20" s="23">
        <v>0</v>
      </c>
      <c r="AH20" s="23">
        <v>0</v>
      </c>
      <c r="AI20" s="23">
        <v>0</v>
      </c>
      <c r="AJ20" s="23">
        <v>0</v>
      </c>
      <c r="AK20" s="23">
        <v>0</v>
      </c>
      <c r="AL20" s="23">
        <v>0</v>
      </c>
      <c r="AM20" s="23">
        <v>0</v>
      </c>
      <c r="AN20" s="23">
        <v>0</v>
      </c>
      <c r="AO20" s="23">
        <v>0</v>
      </c>
      <c r="AP20" s="23">
        <v>0</v>
      </c>
      <c r="AQ20" s="23">
        <v>0</v>
      </c>
      <c r="AR20" s="23">
        <v>0</v>
      </c>
      <c r="AS20" s="24">
        <v>0</v>
      </c>
    </row>
    <row r="21" spans="1:45" x14ac:dyDescent="0.25">
      <c r="A21" s="6">
        <v>4600</v>
      </c>
      <c r="B21" s="23"/>
      <c r="C21" s="23"/>
      <c r="D21" s="23"/>
      <c r="E21" s="23"/>
      <c r="F21" s="23"/>
      <c r="G21" s="23"/>
      <c r="H21" s="23"/>
      <c r="I21" s="23"/>
      <c r="J21" s="23"/>
      <c r="K21" s="23"/>
      <c r="L21" s="23"/>
      <c r="M21" s="23"/>
      <c r="N21" s="23"/>
      <c r="O21" s="23"/>
      <c r="P21" s="23"/>
      <c r="Q21" s="23"/>
      <c r="R21" s="23"/>
      <c r="S21" s="23"/>
      <c r="T21" s="23"/>
      <c r="U21" s="23"/>
      <c r="V21" s="24"/>
      <c r="X21" s="6">
        <v>4600</v>
      </c>
      <c r="Y21" s="23">
        <v>0</v>
      </c>
      <c r="Z21" s="23">
        <v>0</v>
      </c>
      <c r="AA21" s="23">
        <v>0</v>
      </c>
      <c r="AB21" s="23">
        <v>0</v>
      </c>
      <c r="AC21" s="23">
        <v>0</v>
      </c>
      <c r="AD21" s="23">
        <v>0</v>
      </c>
      <c r="AE21" s="23">
        <v>0</v>
      </c>
      <c r="AF21" s="23">
        <v>0</v>
      </c>
      <c r="AG21" s="23">
        <v>0</v>
      </c>
      <c r="AH21" s="23">
        <v>0</v>
      </c>
      <c r="AI21" s="23">
        <v>0</v>
      </c>
      <c r="AJ21" s="23">
        <v>0</v>
      </c>
      <c r="AK21" s="23">
        <v>0</v>
      </c>
      <c r="AL21" s="23">
        <v>0</v>
      </c>
      <c r="AM21" s="23">
        <v>0</v>
      </c>
      <c r="AN21" s="23">
        <v>0</v>
      </c>
      <c r="AO21" s="23">
        <v>0</v>
      </c>
      <c r="AP21" s="23">
        <v>0</v>
      </c>
      <c r="AQ21" s="23">
        <v>0</v>
      </c>
      <c r="AR21" s="23">
        <v>0</v>
      </c>
      <c r="AS21" s="24">
        <v>0</v>
      </c>
    </row>
    <row r="22" spans="1:45" x14ac:dyDescent="0.25">
      <c r="A22" s="6">
        <v>4800</v>
      </c>
      <c r="B22" s="23"/>
      <c r="C22" s="23"/>
      <c r="D22" s="23"/>
      <c r="E22" s="23"/>
      <c r="F22" s="23"/>
      <c r="G22" s="23"/>
      <c r="H22" s="23"/>
      <c r="I22" s="23"/>
      <c r="J22" s="23"/>
      <c r="K22" s="23"/>
      <c r="L22" s="23"/>
      <c r="M22" s="23"/>
      <c r="N22" s="23"/>
      <c r="O22" s="23"/>
      <c r="P22" s="23"/>
      <c r="Q22" s="23"/>
      <c r="R22" s="23"/>
      <c r="S22" s="23"/>
      <c r="T22" s="23"/>
      <c r="U22" s="23"/>
      <c r="V22" s="24"/>
      <c r="X22" s="6">
        <v>4800</v>
      </c>
      <c r="Y22" s="23">
        <v>0</v>
      </c>
      <c r="Z22" s="23">
        <v>0</v>
      </c>
      <c r="AA22" s="23">
        <v>0</v>
      </c>
      <c r="AB22" s="23">
        <v>0</v>
      </c>
      <c r="AC22" s="23">
        <v>0</v>
      </c>
      <c r="AD22" s="23">
        <v>0</v>
      </c>
      <c r="AE22" s="23">
        <v>0</v>
      </c>
      <c r="AF22" s="23">
        <v>0</v>
      </c>
      <c r="AG22" s="23">
        <v>0</v>
      </c>
      <c r="AH22" s="23">
        <v>0</v>
      </c>
      <c r="AI22" s="23">
        <v>0</v>
      </c>
      <c r="AJ22" s="23">
        <v>0</v>
      </c>
      <c r="AK22" s="23">
        <v>0</v>
      </c>
      <c r="AL22" s="23">
        <v>0</v>
      </c>
      <c r="AM22" s="23">
        <v>0</v>
      </c>
      <c r="AN22" s="23">
        <v>0</v>
      </c>
      <c r="AO22" s="23">
        <v>0</v>
      </c>
      <c r="AP22" s="23">
        <v>0</v>
      </c>
      <c r="AQ22" s="23">
        <v>0</v>
      </c>
      <c r="AR22" s="23">
        <v>0</v>
      </c>
      <c r="AS22" s="24">
        <v>0</v>
      </c>
    </row>
    <row r="23" spans="1:45" x14ac:dyDescent="0.25">
      <c r="A23" s="6">
        <v>5000</v>
      </c>
      <c r="B23" s="23"/>
      <c r="C23" s="23"/>
      <c r="D23" s="23"/>
      <c r="E23" s="23"/>
      <c r="F23" s="23"/>
      <c r="G23" s="23"/>
      <c r="H23" s="23"/>
      <c r="I23" s="23"/>
      <c r="J23" s="23"/>
      <c r="K23" s="23"/>
      <c r="L23" s="23"/>
      <c r="M23" s="23"/>
      <c r="N23" s="23"/>
      <c r="O23" s="23"/>
      <c r="P23" s="23"/>
      <c r="Q23" s="23"/>
      <c r="R23" s="23"/>
      <c r="S23" s="23"/>
      <c r="T23" s="23"/>
      <c r="U23" s="23"/>
      <c r="V23" s="24"/>
      <c r="X23" s="6">
        <v>5000</v>
      </c>
      <c r="Y23" s="23">
        <v>0</v>
      </c>
      <c r="Z23" s="23">
        <v>0</v>
      </c>
      <c r="AA23" s="23">
        <v>0</v>
      </c>
      <c r="AB23" s="23">
        <v>0</v>
      </c>
      <c r="AC23" s="23">
        <v>0</v>
      </c>
      <c r="AD23" s="23">
        <v>0</v>
      </c>
      <c r="AE23" s="23">
        <v>0</v>
      </c>
      <c r="AF23" s="23">
        <v>0</v>
      </c>
      <c r="AG23" s="23">
        <v>0</v>
      </c>
      <c r="AH23" s="23">
        <v>0</v>
      </c>
      <c r="AI23" s="23">
        <v>0</v>
      </c>
      <c r="AJ23" s="23">
        <v>0</v>
      </c>
      <c r="AK23" s="23">
        <v>0</v>
      </c>
      <c r="AL23" s="23">
        <v>0</v>
      </c>
      <c r="AM23" s="23">
        <v>0</v>
      </c>
      <c r="AN23" s="23">
        <v>0</v>
      </c>
      <c r="AO23" s="23">
        <v>0</v>
      </c>
      <c r="AP23" s="23">
        <v>0</v>
      </c>
      <c r="AQ23" s="23">
        <v>0</v>
      </c>
      <c r="AR23" s="23">
        <v>0</v>
      </c>
      <c r="AS23" s="24">
        <v>0</v>
      </c>
    </row>
    <row r="24" spans="1:45" x14ac:dyDescent="0.25">
      <c r="A24" s="6">
        <v>5200</v>
      </c>
      <c r="B24" s="23"/>
      <c r="C24" s="23"/>
      <c r="D24" s="23"/>
      <c r="E24" s="23"/>
      <c r="F24" s="23"/>
      <c r="G24" s="23"/>
      <c r="H24" s="23"/>
      <c r="I24" s="23"/>
      <c r="J24" s="23"/>
      <c r="K24" s="23"/>
      <c r="L24" s="23"/>
      <c r="M24" s="23"/>
      <c r="N24" s="23"/>
      <c r="O24" s="23"/>
      <c r="P24" s="23"/>
      <c r="Q24" s="23"/>
      <c r="R24" s="23"/>
      <c r="S24" s="23"/>
      <c r="T24" s="23"/>
      <c r="U24" s="23"/>
      <c r="V24" s="24"/>
      <c r="X24" s="6">
        <v>5200</v>
      </c>
      <c r="Y24" s="23">
        <v>0</v>
      </c>
      <c r="Z24" s="23">
        <v>0</v>
      </c>
      <c r="AA24" s="23">
        <v>0</v>
      </c>
      <c r="AB24" s="23">
        <v>0</v>
      </c>
      <c r="AC24" s="23">
        <v>0</v>
      </c>
      <c r="AD24" s="23">
        <v>0</v>
      </c>
      <c r="AE24" s="23">
        <v>0</v>
      </c>
      <c r="AF24" s="23">
        <v>0</v>
      </c>
      <c r="AG24" s="23">
        <v>0</v>
      </c>
      <c r="AH24" s="23">
        <v>0</v>
      </c>
      <c r="AI24" s="23">
        <v>0</v>
      </c>
      <c r="AJ24" s="23">
        <v>0</v>
      </c>
      <c r="AK24" s="23">
        <v>0</v>
      </c>
      <c r="AL24" s="23">
        <v>0</v>
      </c>
      <c r="AM24" s="23">
        <v>0</v>
      </c>
      <c r="AN24" s="23">
        <v>0</v>
      </c>
      <c r="AO24" s="23">
        <v>0</v>
      </c>
      <c r="AP24" s="23">
        <v>0</v>
      </c>
      <c r="AQ24" s="23">
        <v>0</v>
      </c>
      <c r="AR24" s="23">
        <v>0</v>
      </c>
      <c r="AS24" s="24">
        <v>0</v>
      </c>
    </row>
    <row r="25" spans="1:45" x14ac:dyDescent="0.25">
      <c r="A25" s="6">
        <v>5600</v>
      </c>
      <c r="B25" s="23"/>
      <c r="C25" s="23"/>
      <c r="D25" s="23"/>
      <c r="E25" s="23"/>
      <c r="F25" s="23"/>
      <c r="G25" s="23"/>
      <c r="H25" s="23"/>
      <c r="I25" s="23"/>
      <c r="J25" s="23"/>
      <c r="K25" s="23"/>
      <c r="L25" s="23"/>
      <c r="M25" s="23"/>
      <c r="N25" s="23"/>
      <c r="O25" s="23"/>
      <c r="P25" s="23"/>
      <c r="Q25" s="23"/>
      <c r="R25" s="23"/>
      <c r="S25" s="23"/>
      <c r="T25" s="23"/>
      <c r="U25" s="23"/>
      <c r="V25" s="24"/>
      <c r="X25" s="6">
        <v>5600</v>
      </c>
      <c r="Y25" s="23">
        <v>0</v>
      </c>
      <c r="Z25" s="23">
        <v>0</v>
      </c>
      <c r="AA25" s="23">
        <v>0</v>
      </c>
      <c r="AB25" s="23">
        <v>0</v>
      </c>
      <c r="AC25" s="23">
        <v>0</v>
      </c>
      <c r="AD25" s="23">
        <v>0</v>
      </c>
      <c r="AE25" s="23">
        <v>0</v>
      </c>
      <c r="AF25" s="23">
        <v>0</v>
      </c>
      <c r="AG25" s="23">
        <v>0</v>
      </c>
      <c r="AH25" s="23">
        <v>0</v>
      </c>
      <c r="AI25" s="23">
        <v>0</v>
      </c>
      <c r="AJ25" s="23">
        <v>0</v>
      </c>
      <c r="AK25" s="23">
        <v>0</v>
      </c>
      <c r="AL25" s="23">
        <v>0</v>
      </c>
      <c r="AM25" s="23">
        <v>0</v>
      </c>
      <c r="AN25" s="23">
        <v>0</v>
      </c>
      <c r="AO25" s="23">
        <v>0</v>
      </c>
      <c r="AP25" s="23">
        <v>0</v>
      </c>
      <c r="AQ25" s="23">
        <v>0</v>
      </c>
      <c r="AR25" s="23">
        <v>0</v>
      </c>
      <c r="AS25" s="24">
        <v>0</v>
      </c>
    </row>
    <row r="26" spans="1:45" x14ac:dyDescent="0.25">
      <c r="A26" s="6">
        <v>6000</v>
      </c>
      <c r="B26" s="23"/>
      <c r="C26" s="23"/>
      <c r="D26" s="23"/>
      <c r="E26" s="23"/>
      <c r="F26" s="23"/>
      <c r="G26" s="23"/>
      <c r="H26" s="23"/>
      <c r="I26" s="23"/>
      <c r="J26" s="23"/>
      <c r="K26" s="23"/>
      <c r="L26" s="23"/>
      <c r="M26" s="23"/>
      <c r="N26" s="23"/>
      <c r="O26" s="23"/>
      <c r="P26" s="23"/>
      <c r="Q26" s="23"/>
      <c r="R26" s="23"/>
      <c r="S26" s="23"/>
      <c r="T26" s="23"/>
      <c r="U26" s="23"/>
      <c r="V26" s="24"/>
      <c r="X26" s="6">
        <v>6000</v>
      </c>
      <c r="Y26" s="23">
        <v>0</v>
      </c>
      <c r="Z26" s="23">
        <v>0</v>
      </c>
      <c r="AA26" s="23">
        <v>0</v>
      </c>
      <c r="AB26" s="23">
        <v>0</v>
      </c>
      <c r="AC26" s="23">
        <v>0</v>
      </c>
      <c r="AD26" s="23">
        <v>0</v>
      </c>
      <c r="AE26" s="23">
        <v>0</v>
      </c>
      <c r="AF26" s="23">
        <v>0</v>
      </c>
      <c r="AG26" s="23">
        <v>0</v>
      </c>
      <c r="AH26" s="23">
        <v>0</v>
      </c>
      <c r="AI26" s="23">
        <v>0</v>
      </c>
      <c r="AJ26" s="23">
        <v>0</v>
      </c>
      <c r="AK26" s="23">
        <v>0</v>
      </c>
      <c r="AL26" s="23">
        <v>0</v>
      </c>
      <c r="AM26" s="23">
        <v>0</v>
      </c>
      <c r="AN26" s="23">
        <v>0</v>
      </c>
      <c r="AO26" s="23">
        <v>0</v>
      </c>
      <c r="AP26" s="23">
        <v>0</v>
      </c>
      <c r="AQ26" s="23">
        <v>0</v>
      </c>
      <c r="AR26" s="23">
        <v>0</v>
      </c>
      <c r="AS26" s="24">
        <v>0</v>
      </c>
    </row>
    <row r="27" spans="1:45" x14ac:dyDescent="0.25">
      <c r="A27" s="6">
        <v>6400</v>
      </c>
      <c r="B27" s="23"/>
      <c r="C27" s="23"/>
      <c r="D27" s="23"/>
      <c r="E27" s="23"/>
      <c r="F27" s="23"/>
      <c r="G27" s="23"/>
      <c r="H27" s="23"/>
      <c r="I27" s="23"/>
      <c r="J27" s="23"/>
      <c r="K27" s="23"/>
      <c r="L27" s="23"/>
      <c r="M27" s="23"/>
      <c r="N27" s="23"/>
      <c r="O27" s="23"/>
      <c r="P27" s="23"/>
      <c r="Q27" s="23"/>
      <c r="R27" s="23"/>
      <c r="S27" s="23"/>
      <c r="T27" s="23"/>
      <c r="U27" s="23"/>
      <c r="V27" s="24"/>
      <c r="X27" s="6">
        <v>6400</v>
      </c>
      <c r="Y27" s="23">
        <v>0</v>
      </c>
      <c r="Z27" s="23">
        <v>0</v>
      </c>
      <c r="AA27" s="23">
        <v>0</v>
      </c>
      <c r="AB27" s="23">
        <v>0</v>
      </c>
      <c r="AC27" s="23">
        <v>0</v>
      </c>
      <c r="AD27" s="23">
        <v>0</v>
      </c>
      <c r="AE27" s="23">
        <v>0</v>
      </c>
      <c r="AF27" s="23">
        <v>0</v>
      </c>
      <c r="AG27" s="23">
        <v>0</v>
      </c>
      <c r="AH27" s="23">
        <v>0</v>
      </c>
      <c r="AI27" s="23">
        <v>0</v>
      </c>
      <c r="AJ27" s="23">
        <v>0</v>
      </c>
      <c r="AK27" s="23">
        <v>0</v>
      </c>
      <c r="AL27" s="23">
        <v>0</v>
      </c>
      <c r="AM27" s="23">
        <v>0</v>
      </c>
      <c r="AN27" s="23">
        <v>0</v>
      </c>
      <c r="AO27" s="23">
        <v>0</v>
      </c>
      <c r="AP27" s="23">
        <v>0</v>
      </c>
      <c r="AQ27" s="23">
        <v>0</v>
      </c>
      <c r="AR27" s="23">
        <v>0</v>
      </c>
      <c r="AS27" s="24">
        <v>0</v>
      </c>
    </row>
    <row r="28" spans="1:45" x14ac:dyDescent="0.25">
      <c r="A28" s="6">
        <v>6800</v>
      </c>
      <c r="B28" s="23"/>
      <c r="C28" s="23"/>
      <c r="D28" s="23"/>
      <c r="E28" s="23"/>
      <c r="F28" s="23"/>
      <c r="G28" s="23"/>
      <c r="H28" s="23"/>
      <c r="I28" s="23"/>
      <c r="J28" s="23"/>
      <c r="K28" s="23"/>
      <c r="L28" s="23"/>
      <c r="M28" s="23"/>
      <c r="N28" s="23"/>
      <c r="O28" s="23"/>
      <c r="P28" s="23"/>
      <c r="Q28" s="23"/>
      <c r="R28" s="23"/>
      <c r="S28" s="23"/>
      <c r="T28" s="23"/>
      <c r="U28" s="23"/>
      <c r="V28" s="24"/>
      <c r="X28" s="6">
        <v>6800</v>
      </c>
      <c r="Y28" s="23">
        <v>0</v>
      </c>
      <c r="Z28" s="23">
        <v>0</v>
      </c>
      <c r="AA28" s="23">
        <v>0</v>
      </c>
      <c r="AB28" s="23">
        <v>0</v>
      </c>
      <c r="AC28" s="23">
        <v>0</v>
      </c>
      <c r="AD28" s="23">
        <v>0</v>
      </c>
      <c r="AE28" s="23">
        <v>0</v>
      </c>
      <c r="AF28" s="23">
        <v>0</v>
      </c>
      <c r="AG28" s="23">
        <v>0</v>
      </c>
      <c r="AH28" s="23">
        <v>0</v>
      </c>
      <c r="AI28" s="23">
        <v>0</v>
      </c>
      <c r="AJ28" s="23">
        <v>0</v>
      </c>
      <c r="AK28" s="23">
        <v>0</v>
      </c>
      <c r="AL28" s="23">
        <v>0</v>
      </c>
      <c r="AM28" s="23">
        <v>0</v>
      </c>
      <c r="AN28" s="23">
        <v>0</v>
      </c>
      <c r="AO28" s="23">
        <v>0</v>
      </c>
      <c r="AP28" s="23">
        <v>0</v>
      </c>
      <c r="AQ28" s="23">
        <v>0</v>
      </c>
      <c r="AR28" s="23">
        <v>0</v>
      </c>
      <c r="AS28" s="24">
        <v>0</v>
      </c>
    </row>
    <row r="29" spans="1:45" x14ac:dyDescent="0.25">
      <c r="A29" s="6">
        <v>7200</v>
      </c>
      <c r="B29" s="23"/>
      <c r="C29" s="23"/>
      <c r="D29" s="23"/>
      <c r="E29" s="23"/>
      <c r="F29" s="23"/>
      <c r="G29" s="23"/>
      <c r="H29" s="23"/>
      <c r="I29" s="23"/>
      <c r="J29" s="23"/>
      <c r="K29" s="23"/>
      <c r="L29" s="23"/>
      <c r="M29" s="23"/>
      <c r="N29" s="23"/>
      <c r="O29" s="23"/>
      <c r="P29" s="23"/>
      <c r="Q29" s="23"/>
      <c r="R29" s="23"/>
      <c r="S29" s="23"/>
      <c r="T29" s="23"/>
      <c r="U29" s="23"/>
      <c r="V29" s="24"/>
      <c r="X29" s="6">
        <v>7200</v>
      </c>
      <c r="Y29" s="23">
        <v>0</v>
      </c>
      <c r="Z29" s="23">
        <v>0</v>
      </c>
      <c r="AA29" s="23">
        <v>0</v>
      </c>
      <c r="AB29" s="23">
        <v>0</v>
      </c>
      <c r="AC29" s="23">
        <v>0</v>
      </c>
      <c r="AD29" s="23">
        <v>0</v>
      </c>
      <c r="AE29" s="23">
        <v>0</v>
      </c>
      <c r="AF29" s="23">
        <v>0</v>
      </c>
      <c r="AG29" s="23">
        <v>0</v>
      </c>
      <c r="AH29" s="23">
        <v>0</v>
      </c>
      <c r="AI29" s="23">
        <v>0</v>
      </c>
      <c r="AJ29" s="23">
        <v>0</v>
      </c>
      <c r="AK29" s="23">
        <v>0</v>
      </c>
      <c r="AL29" s="23">
        <v>0</v>
      </c>
      <c r="AM29" s="23">
        <v>0</v>
      </c>
      <c r="AN29" s="23">
        <v>0</v>
      </c>
      <c r="AO29" s="23">
        <v>0</v>
      </c>
      <c r="AP29" s="23">
        <v>0</v>
      </c>
      <c r="AQ29" s="23">
        <v>0</v>
      </c>
      <c r="AR29" s="23">
        <v>0</v>
      </c>
      <c r="AS29" s="24">
        <v>0</v>
      </c>
    </row>
    <row r="30" spans="1:45" x14ac:dyDescent="0.25">
      <c r="A30" s="6">
        <v>7600</v>
      </c>
      <c r="B30" s="23"/>
      <c r="C30" s="23"/>
      <c r="D30" s="23"/>
      <c r="E30" s="23"/>
      <c r="F30" s="23"/>
      <c r="G30" s="23"/>
      <c r="H30" s="23"/>
      <c r="I30" s="23"/>
      <c r="J30" s="23"/>
      <c r="K30" s="23"/>
      <c r="L30" s="23"/>
      <c r="M30" s="23"/>
      <c r="N30" s="23"/>
      <c r="O30" s="23"/>
      <c r="P30" s="23"/>
      <c r="Q30" s="23"/>
      <c r="R30" s="23"/>
      <c r="S30" s="23"/>
      <c r="T30" s="23"/>
      <c r="U30" s="23"/>
      <c r="V30" s="24"/>
      <c r="X30" s="6">
        <v>7600</v>
      </c>
      <c r="Y30" s="23">
        <v>0</v>
      </c>
      <c r="Z30" s="23">
        <v>0</v>
      </c>
      <c r="AA30" s="23">
        <v>0</v>
      </c>
      <c r="AB30" s="23">
        <v>0</v>
      </c>
      <c r="AC30" s="23">
        <v>0</v>
      </c>
      <c r="AD30" s="23">
        <v>0</v>
      </c>
      <c r="AE30" s="23">
        <v>0</v>
      </c>
      <c r="AF30" s="23">
        <v>0</v>
      </c>
      <c r="AG30" s="23">
        <v>0</v>
      </c>
      <c r="AH30" s="23">
        <v>0</v>
      </c>
      <c r="AI30" s="23">
        <v>0</v>
      </c>
      <c r="AJ30" s="23">
        <v>0</v>
      </c>
      <c r="AK30" s="23">
        <v>0</v>
      </c>
      <c r="AL30" s="23">
        <v>0</v>
      </c>
      <c r="AM30" s="23">
        <v>0</v>
      </c>
      <c r="AN30" s="23">
        <v>0</v>
      </c>
      <c r="AO30" s="23">
        <v>0</v>
      </c>
      <c r="AP30" s="23">
        <v>0</v>
      </c>
      <c r="AQ30" s="23">
        <v>0</v>
      </c>
      <c r="AR30" s="23">
        <v>0</v>
      </c>
      <c r="AS30" s="24">
        <v>0</v>
      </c>
    </row>
    <row r="31" spans="1:45" x14ac:dyDescent="0.25">
      <c r="A31" s="6">
        <v>8000</v>
      </c>
      <c r="B31" s="23"/>
      <c r="C31" s="23"/>
      <c r="D31" s="23"/>
      <c r="E31" s="23"/>
      <c r="F31" s="23"/>
      <c r="G31" s="23"/>
      <c r="H31" s="23"/>
      <c r="I31" s="23"/>
      <c r="J31" s="23"/>
      <c r="K31" s="23"/>
      <c r="L31" s="23"/>
      <c r="M31" s="23"/>
      <c r="N31" s="23"/>
      <c r="O31" s="23"/>
      <c r="P31" s="23"/>
      <c r="Q31" s="23"/>
      <c r="R31" s="23"/>
      <c r="S31" s="23"/>
      <c r="T31" s="23"/>
      <c r="U31" s="23"/>
      <c r="V31" s="24"/>
      <c r="X31" s="6">
        <v>8000</v>
      </c>
      <c r="Y31" s="23">
        <v>0</v>
      </c>
      <c r="Z31" s="23">
        <v>0</v>
      </c>
      <c r="AA31" s="23">
        <v>0</v>
      </c>
      <c r="AB31" s="23">
        <v>0</v>
      </c>
      <c r="AC31" s="23">
        <v>0</v>
      </c>
      <c r="AD31" s="23">
        <v>0</v>
      </c>
      <c r="AE31" s="23">
        <v>0</v>
      </c>
      <c r="AF31" s="23">
        <v>0</v>
      </c>
      <c r="AG31" s="23">
        <v>0</v>
      </c>
      <c r="AH31" s="23">
        <v>0</v>
      </c>
      <c r="AI31" s="23">
        <v>0</v>
      </c>
      <c r="AJ31" s="23">
        <v>0</v>
      </c>
      <c r="AK31" s="23">
        <v>0</v>
      </c>
      <c r="AL31" s="23">
        <v>0</v>
      </c>
      <c r="AM31" s="23">
        <v>0</v>
      </c>
      <c r="AN31" s="23">
        <v>0</v>
      </c>
      <c r="AO31" s="23">
        <v>0</v>
      </c>
      <c r="AP31" s="23">
        <v>0</v>
      </c>
      <c r="AQ31" s="23">
        <v>0</v>
      </c>
      <c r="AR31" s="23">
        <v>0</v>
      </c>
      <c r="AS31" s="24">
        <v>0</v>
      </c>
    </row>
    <row r="32" spans="1:45" x14ac:dyDescent="0.25">
      <c r="A32" s="6">
        <v>8400</v>
      </c>
      <c r="B32" s="23"/>
      <c r="C32" s="23"/>
      <c r="D32" s="23"/>
      <c r="E32" s="23"/>
      <c r="F32" s="23"/>
      <c r="G32" s="23"/>
      <c r="H32" s="23"/>
      <c r="I32" s="23"/>
      <c r="J32" s="23"/>
      <c r="K32" s="23"/>
      <c r="L32" s="23"/>
      <c r="M32" s="23"/>
      <c r="N32" s="23"/>
      <c r="O32" s="23"/>
      <c r="P32" s="23"/>
      <c r="Q32" s="23"/>
      <c r="R32" s="23"/>
      <c r="S32" s="23"/>
      <c r="T32" s="23"/>
      <c r="U32" s="23"/>
      <c r="V32" s="24"/>
      <c r="X32" s="6">
        <v>8400</v>
      </c>
      <c r="Y32" s="23">
        <v>0</v>
      </c>
      <c r="Z32" s="23">
        <v>0</v>
      </c>
      <c r="AA32" s="23">
        <v>0</v>
      </c>
      <c r="AB32" s="23">
        <v>0</v>
      </c>
      <c r="AC32" s="23">
        <v>0</v>
      </c>
      <c r="AD32" s="23">
        <v>0</v>
      </c>
      <c r="AE32" s="23">
        <v>0</v>
      </c>
      <c r="AF32" s="23">
        <v>0</v>
      </c>
      <c r="AG32" s="23">
        <v>0</v>
      </c>
      <c r="AH32" s="23">
        <v>0</v>
      </c>
      <c r="AI32" s="23">
        <v>0</v>
      </c>
      <c r="AJ32" s="23">
        <v>0</v>
      </c>
      <c r="AK32" s="23">
        <v>0</v>
      </c>
      <c r="AL32" s="23">
        <v>0</v>
      </c>
      <c r="AM32" s="23">
        <v>0</v>
      </c>
      <c r="AN32" s="23">
        <v>0</v>
      </c>
      <c r="AO32" s="23">
        <v>0</v>
      </c>
      <c r="AP32" s="23">
        <v>0</v>
      </c>
      <c r="AQ32" s="23">
        <v>0</v>
      </c>
      <c r="AR32" s="23">
        <v>0</v>
      </c>
      <c r="AS32" s="24">
        <v>0</v>
      </c>
    </row>
    <row r="33" spans="1:45" x14ac:dyDescent="0.25">
      <c r="A33" s="6">
        <v>8800</v>
      </c>
      <c r="B33" s="23"/>
      <c r="C33" s="23"/>
      <c r="D33" s="23"/>
      <c r="E33" s="23"/>
      <c r="F33" s="23"/>
      <c r="G33" s="23"/>
      <c r="H33" s="23"/>
      <c r="I33" s="23"/>
      <c r="J33" s="23"/>
      <c r="K33" s="23"/>
      <c r="L33" s="23"/>
      <c r="M33" s="23"/>
      <c r="N33" s="23"/>
      <c r="O33" s="23"/>
      <c r="P33" s="23"/>
      <c r="Q33" s="23"/>
      <c r="R33" s="23"/>
      <c r="S33" s="23"/>
      <c r="T33" s="23"/>
      <c r="U33" s="23"/>
      <c r="V33" s="24"/>
      <c r="X33" s="6">
        <v>8800</v>
      </c>
      <c r="Y33" s="23">
        <v>0</v>
      </c>
      <c r="Z33" s="23">
        <v>0</v>
      </c>
      <c r="AA33" s="23">
        <v>0</v>
      </c>
      <c r="AB33" s="23">
        <v>0</v>
      </c>
      <c r="AC33" s="23">
        <v>0</v>
      </c>
      <c r="AD33" s="23">
        <v>0</v>
      </c>
      <c r="AE33" s="23">
        <v>0</v>
      </c>
      <c r="AF33" s="23">
        <v>0</v>
      </c>
      <c r="AG33" s="23">
        <v>0</v>
      </c>
      <c r="AH33" s="23">
        <v>0</v>
      </c>
      <c r="AI33" s="23">
        <v>0</v>
      </c>
      <c r="AJ33" s="23">
        <v>0</v>
      </c>
      <c r="AK33" s="23">
        <v>0</v>
      </c>
      <c r="AL33" s="23">
        <v>0</v>
      </c>
      <c r="AM33" s="23">
        <v>0</v>
      </c>
      <c r="AN33" s="23">
        <v>0</v>
      </c>
      <c r="AO33" s="23">
        <v>0</v>
      </c>
      <c r="AP33" s="23">
        <v>0</v>
      </c>
      <c r="AQ33" s="23">
        <v>0</v>
      </c>
      <c r="AR33" s="23">
        <v>0</v>
      </c>
      <c r="AS33" s="24">
        <v>0</v>
      </c>
    </row>
    <row r="34" spans="1:45" x14ac:dyDescent="0.25">
      <c r="A34" s="6">
        <v>9200</v>
      </c>
      <c r="B34" s="23"/>
      <c r="C34" s="23"/>
      <c r="D34" s="23"/>
      <c r="E34" s="23"/>
      <c r="F34" s="23"/>
      <c r="G34" s="23"/>
      <c r="H34" s="23"/>
      <c r="I34" s="23"/>
      <c r="J34" s="23"/>
      <c r="K34" s="23"/>
      <c r="L34" s="23"/>
      <c r="M34" s="23"/>
      <c r="N34" s="23"/>
      <c r="O34" s="23"/>
      <c r="P34" s="23"/>
      <c r="Q34" s="23"/>
      <c r="R34" s="23"/>
      <c r="S34" s="23"/>
      <c r="T34" s="23"/>
      <c r="U34" s="23"/>
      <c r="V34" s="24"/>
      <c r="X34" s="6">
        <v>9200</v>
      </c>
      <c r="Y34" s="23">
        <v>0</v>
      </c>
      <c r="Z34" s="23">
        <v>0</v>
      </c>
      <c r="AA34" s="23">
        <v>0</v>
      </c>
      <c r="AB34" s="23">
        <v>0</v>
      </c>
      <c r="AC34" s="23">
        <v>0</v>
      </c>
      <c r="AD34" s="23">
        <v>0</v>
      </c>
      <c r="AE34" s="23">
        <v>0</v>
      </c>
      <c r="AF34" s="23">
        <v>0</v>
      </c>
      <c r="AG34" s="23">
        <v>0</v>
      </c>
      <c r="AH34" s="23">
        <v>0</v>
      </c>
      <c r="AI34" s="23">
        <v>0</v>
      </c>
      <c r="AJ34" s="23">
        <v>0</v>
      </c>
      <c r="AK34" s="23">
        <v>0</v>
      </c>
      <c r="AL34" s="23">
        <v>0</v>
      </c>
      <c r="AM34" s="23">
        <v>0</v>
      </c>
      <c r="AN34" s="23">
        <v>0</v>
      </c>
      <c r="AO34" s="23">
        <v>0</v>
      </c>
      <c r="AP34" s="23">
        <v>0</v>
      </c>
      <c r="AQ34" s="23">
        <v>0</v>
      </c>
      <c r="AR34" s="23">
        <v>0</v>
      </c>
      <c r="AS34" s="24">
        <v>0</v>
      </c>
    </row>
    <row r="35" spans="1:45" x14ac:dyDescent="0.25">
      <c r="A35" s="6">
        <v>9600</v>
      </c>
      <c r="B35" s="23"/>
      <c r="C35" s="23"/>
      <c r="D35" s="23"/>
      <c r="E35" s="23"/>
      <c r="F35" s="23"/>
      <c r="G35" s="23"/>
      <c r="H35" s="23"/>
      <c r="I35" s="23"/>
      <c r="J35" s="23"/>
      <c r="K35" s="23"/>
      <c r="L35" s="23"/>
      <c r="M35" s="23"/>
      <c r="N35" s="23"/>
      <c r="O35" s="23"/>
      <c r="P35" s="23"/>
      <c r="Q35" s="23"/>
      <c r="R35" s="23"/>
      <c r="S35" s="23"/>
      <c r="T35" s="23"/>
      <c r="U35" s="23"/>
      <c r="V35" s="24"/>
      <c r="X35" s="6">
        <v>9600</v>
      </c>
      <c r="Y35" s="23">
        <v>0</v>
      </c>
      <c r="Z35" s="23">
        <v>0</v>
      </c>
      <c r="AA35" s="23">
        <v>0</v>
      </c>
      <c r="AB35" s="23">
        <v>0</v>
      </c>
      <c r="AC35" s="23">
        <v>0</v>
      </c>
      <c r="AD35" s="23">
        <v>0</v>
      </c>
      <c r="AE35" s="23">
        <v>0</v>
      </c>
      <c r="AF35" s="23">
        <v>0</v>
      </c>
      <c r="AG35" s="23">
        <v>0</v>
      </c>
      <c r="AH35" s="23">
        <v>0</v>
      </c>
      <c r="AI35" s="23">
        <v>0</v>
      </c>
      <c r="AJ35" s="23">
        <v>0</v>
      </c>
      <c r="AK35" s="23">
        <v>0</v>
      </c>
      <c r="AL35" s="23">
        <v>0</v>
      </c>
      <c r="AM35" s="23">
        <v>0</v>
      </c>
      <c r="AN35" s="23">
        <v>0</v>
      </c>
      <c r="AO35" s="23">
        <v>0</v>
      </c>
      <c r="AP35" s="23">
        <v>0</v>
      </c>
      <c r="AQ35" s="23">
        <v>0</v>
      </c>
      <c r="AR35" s="23">
        <v>0</v>
      </c>
      <c r="AS35" s="24">
        <v>0</v>
      </c>
    </row>
    <row r="36" spans="1:45" x14ac:dyDescent="0.25">
      <c r="A36" s="6">
        <v>10000</v>
      </c>
      <c r="B36" s="23"/>
      <c r="C36" s="23"/>
      <c r="D36" s="23"/>
      <c r="E36" s="23"/>
      <c r="F36" s="23"/>
      <c r="G36" s="23"/>
      <c r="H36" s="23"/>
      <c r="I36" s="23"/>
      <c r="J36" s="23"/>
      <c r="K36" s="23"/>
      <c r="L36" s="23"/>
      <c r="M36" s="23"/>
      <c r="N36" s="23"/>
      <c r="O36" s="23"/>
      <c r="P36" s="23"/>
      <c r="Q36" s="23"/>
      <c r="R36" s="23"/>
      <c r="S36" s="23"/>
      <c r="T36" s="23"/>
      <c r="U36" s="23"/>
      <c r="V36" s="24"/>
      <c r="X36" s="6">
        <v>10000</v>
      </c>
      <c r="Y36" s="23">
        <v>0</v>
      </c>
      <c r="Z36" s="23">
        <v>0</v>
      </c>
      <c r="AA36" s="23">
        <v>0</v>
      </c>
      <c r="AB36" s="23">
        <v>0</v>
      </c>
      <c r="AC36" s="23">
        <v>0</v>
      </c>
      <c r="AD36" s="23">
        <v>0</v>
      </c>
      <c r="AE36" s="23">
        <v>0</v>
      </c>
      <c r="AF36" s="23">
        <v>0</v>
      </c>
      <c r="AG36" s="23">
        <v>0</v>
      </c>
      <c r="AH36" s="23">
        <v>0</v>
      </c>
      <c r="AI36" s="23">
        <v>0</v>
      </c>
      <c r="AJ36" s="23">
        <v>0</v>
      </c>
      <c r="AK36" s="23">
        <v>0</v>
      </c>
      <c r="AL36" s="23">
        <v>0</v>
      </c>
      <c r="AM36" s="23">
        <v>0</v>
      </c>
      <c r="AN36" s="23">
        <v>0</v>
      </c>
      <c r="AO36" s="23">
        <v>0</v>
      </c>
      <c r="AP36" s="23">
        <v>0</v>
      </c>
      <c r="AQ36" s="23">
        <v>0</v>
      </c>
      <c r="AR36" s="23">
        <v>0</v>
      </c>
      <c r="AS36" s="24">
        <v>0</v>
      </c>
    </row>
    <row r="37" spans="1:45" x14ac:dyDescent="0.25">
      <c r="A37" s="6">
        <v>10400</v>
      </c>
      <c r="B37" s="23"/>
      <c r="C37" s="23"/>
      <c r="D37" s="23"/>
      <c r="E37" s="23"/>
      <c r="F37" s="23"/>
      <c r="G37" s="23"/>
      <c r="H37" s="23"/>
      <c r="I37" s="23"/>
      <c r="J37" s="23"/>
      <c r="K37" s="23"/>
      <c r="L37" s="23"/>
      <c r="M37" s="23"/>
      <c r="N37" s="23"/>
      <c r="O37" s="23"/>
      <c r="P37" s="23"/>
      <c r="Q37" s="23"/>
      <c r="R37" s="23"/>
      <c r="S37" s="23"/>
      <c r="T37" s="23"/>
      <c r="U37" s="23"/>
      <c r="V37" s="24"/>
      <c r="X37" s="6">
        <v>10400</v>
      </c>
      <c r="Y37" s="23">
        <v>0</v>
      </c>
      <c r="Z37" s="23">
        <v>0</v>
      </c>
      <c r="AA37" s="23">
        <v>0</v>
      </c>
      <c r="AB37" s="23">
        <v>0</v>
      </c>
      <c r="AC37" s="23">
        <v>0</v>
      </c>
      <c r="AD37" s="23">
        <v>0</v>
      </c>
      <c r="AE37" s="23">
        <v>0</v>
      </c>
      <c r="AF37" s="23">
        <v>0</v>
      </c>
      <c r="AG37" s="23">
        <v>0</v>
      </c>
      <c r="AH37" s="23">
        <v>0</v>
      </c>
      <c r="AI37" s="23">
        <v>0</v>
      </c>
      <c r="AJ37" s="23">
        <v>0</v>
      </c>
      <c r="AK37" s="23">
        <v>0</v>
      </c>
      <c r="AL37" s="23">
        <v>0</v>
      </c>
      <c r="AM37" s="23">
        <v>0</v>
      </c>
      <c r="AN37" s="23">
        <v>0</v>
      </c>
      <c r="AO37" s="23">
        <v>0</v>
      </c>
      <c r="AP37" s="23">
        <v>0</v>
      </c>
      <c r="AQ37" s="23">
        <v>0</v>
      </c>
      <c r="AR37" s="23">
        <v>0</v>
      </c>
      <c r="AS37" s="24">
        <v>0</v>
      </c>
    </row>
    <row r="38" spans="1:45" x14ac:dyDescent="0.25">
      <c r="A38" s="6">
        <v>10800</v>
      </c>
      <c r="B38" s="23"/>
      <c r="C38" s="23"/>
      <c r="D38" s="23"/>
      <c r="E38" s="23"/>
      <c r="F38" s="23"/>
      <c r="G38" s="23"/>
      <c r="H38" s="23"/>
      <c r="I38" s="23"/>
      <c r="J38" s="23"/>
      <c r="K38" s="23"/>
      <c r="L38" s="23"/>
      <c r="M38" s="23"/>
      <c r="N38" s="23"/>
      <c r="O38" s="23"/>
      <c r="P38" s="23"/>
      <c r="Q38" s="23"/>
      <c r="R38" s="23"/>
      <c r="S38" s="23"/>
      <c r="T38" s="23"/>
      <c r="U38" s="23"/>
      <c r="V38" s="24"/>
      <c r="X38" s="6">
        <v>10800</v>
      </c>
      <c r="Y38" s="23">
        <v>0</v>
      </c>
      <c r="Z38" s="23">
        <v>0</v>
      </c>
      <c r="AA38" s="23">
        <v>0</v>
      </c>
      <c r="AB38" s="23">
        <v>0</v>
      </c>
      <c r="AC38" s="23">
        <v>0</v>
      </c>
      <c r="AD38" s="23">
        <v>0</v>
      </c>
      <c r="AE38" s="23">
        <v>0</v>
      </c>
      <c r="AF38" s="23">
        <v>0</v>
      </c>
      <c r="AG38" s="23">
        <v>0</v>
      </c>
      <c r="AH38" s="23">
        <v>0</v>
      </c>
      <c r="AI38" s="23">
        <v>0</v>
      </c>
      <c r="AJ38" s="23">
        <v>0</v>
      </c>
      <c r="AK38" s="23">
        <v>0</v>
      </c>
      <c r="AL38" s="23">
        <v>0</v>
      </c>
      <c r="AM38" s="23">
        <v>0</v>
      </c>
      <c r="AN38" s="23">
        <v>0</v>
      </c>
      <c r="AO38" s="23">
        <v>0</v>
      </c>
      <c r="AP38" s="23">
        <v>0</v>
      </c>
      <c r="AQ38" s="23">
        <v>0</v>
      </c>
      <c r="AR38" s="23">
        <v>0</v>
      </c>
      <c r="AS38" s="24">
        <v>0</v>
      </c>
    </row>
    <row r="39" spans="1:45" x14ac:dyDescent="0.25">
      <c r="A39" s="6">
        <v>11200</v>
      </c>
      <c r="B39" s="23"/>
      <c r="C39" s="23"/>
      <c r="D39" s="23"/>
      <c r="E39" s="23"/>
      <c r="F39" s="23"/>
      <c r="G39" s="23"/>
      <c r="H39" s="23"/>
      <c r="I39" s="23"/>
      <c r="J39" s="23"/>
      <c r="K39" s="23"/>
      <c r="L39" s="23"/>
      <c r="M39" s="23"/>
      <c r="N39" s="23"/>
      <c r="O39" s="23"/>
      <c r="P39" s="23"/>
      <c r="Q39" s="23"/>
      <c r="R39" s="23"/>
      <c r="S39" s="23"/>
      <c r="T39" s="23"/>
      <c r="U39" s="23"/>
      <c r="V39" s="24"/>
      <c r="X39" s="6">
        <v>11200</v>
      </c>
      <c r="Y39" s="23">
        <v>0</v>
      </c>
      <c r="Z39" s="23">
        <v>0</v>
      </c>
      <c r="AA39" s="23">
        <v>0</v>
      </c>
      <c r="AB39" s="23">
        <v>0</v>
      </c>
      <c r="AC39" s="23">
        <v>0</v>
      </c>
      <c r="AD39" s="23">
        <v>0</v>
      </c>
      <c r="AE39" s="23">
        <v>0</v>
      </c>
      <c r="AF39" s="23">
        <v>0</v>
      </c>
      <c r="AG39" s="23">
        <v>0</v>
      </c>
      <c r="AH39" s="23">
        <v>0</v>
      </c>
      <c r="AI39" s="23">
        <v>0</v>
      </c>
      <c r="AJ39" s="23">
        <v>0</v>
      </c>
      <c r="AK39" s="23">
        <v>0</v>
      </c>
      <c r="AL39" s="23">
        <v>0</v>
      </c>
      <c r="AM39" s="23">
        <v>0</v>
      </c>
      <c r="AN39" s="23">
        <v>0</v>
      </c>
      <c r="AO39" s="23">
        <v>0</v>
      </c>
      <c r="AP39" s="23">
        <v>0</v>
      </c>
      <c r="AQ39" s="23">
        <v>0</v>
      </c>
      <c r="AR39" s="23">
        <v>0</v>
      </c>
      <c r="AS39" s="24">
        <v>0</v>
      </c>
    </row>
    <row r="40" spans="1:45" x14ac:dyDescent="0.25">
      <c r="A40" s="6">
        <v>11600</v>
      </c>
      <c r="B40" s="23"/>
      <c r="C40" s="23"/>
      <c r="D40" s="23"/>
      <c r="E40" s="23"/>
      <c r="F40" s="23"/>
      <c r="G40" s="23"/>
      <c r="H40" s="23"/>
      <c r="I40" s="23"/>
      <c r="J40" s="23"/>
      <c r="K40" s="23"/>
      <c r="L40" s="23"/>
      <c r="M40" s="23"/>
      <c r="N40" s="23"/>
      <c r="O40" s="23"/>
      <c r="P40" s="23"/>
      <c r="Q40" s="23"/>
      <c r="R40" s="23"/>
      <c r="S40" s="23"/>
      <c r="T40" s="23"/>
      <c r="U40" s="23"/>
      <c r="V40" s="24"/>
      <c r="X40" s="6">
        <v>11600</v>
      </c>
      <c r="Y40" s="23">
        <v>0</v>
      </c>
      <c r="Z40" s="23">
        <v>0</v>
      </c>
      <c r="AA40" s="23">
        <v>0</v>
      </c>
      <c r="AB40" s="23">
        <v>0</v>
      </c>
      <c r="AC40" s="23">
        <v>0</v>
      </c>
      <c r="AD40" s="23">
        <v>0</v>
      </c>
      <c r="AE40" s="23">
        <v>0</v>
      </c>
      <c r="AF40" s="23">
        <v>0</v>
      </c>
      <c r="AG40" s="23">
        <v>0</v>
      </c>
      <c r="AH40" s="23">
        <v>0</v>
      </c>
      <c r="AI40" s="23">
        <v>0</v>
      </c>
      <c r="AJ40" s="23">
        <v>0</v>
      </c>
      <c r="AK40" s="23">
        <v>0</v>
      </c>
      <c r="AL40" s="23">
        <v>0</v>
      </c>
      <c r="AM40" s="23">
        <v>0</v>
      </c>
      <c r="AN40" s="23">
        <v>0</v>
      </c>
      <c r="AO40" s="23">
        <v>0</v>
      </c>
      <c r="AP40" s="23">
        <v>0</v>
      </c>
      <c r="AQ40" s="23">
        <v>0</v>
      </c>
      <c r="AR40" s="23">
        <v>0</v>
      </c>
      <c r="AS40" s="24">
        <v>0</v>
      </c>
    </row>
    <row r="41" spans="1:45" x14ac:dyDescent="0.25">
      <c r="A41" s="6">
        <v>12000</v>
      </c>
      <c r="B41" s="23"/>
      <c r="C41" s="23"/>
      <c r="D41" s="23"/>
      <c r="E41" s="23"/>
      <c r="F41" s="23"/>
      <c r="G41" s="23"/>
      <c r="H41" s="23"/>
      <c r="I41" s="23"/>
      <c r="J41" s="23"/>
      <c r="K41" s="23"/>
      <c r="L41" s="23"/>
      <c r="M41" s="23"/>
      <c r="N41" s="23"/>
      <c r="O41" s="23"/>
      <c r="P41" s="23"/>
      <c r="Q41" s="23"/>
      <c r="R41" s="23"/>
      <c r="S41" s="23"/>
      <c r="T41" s="23"/>
      <c r="U41" s="23"/>
      <c r="V41" s="24"/>
      <c r="X41" s="6">
        <v>12000</v>
      </c>
      <c r="Y41" s="23">
        <v>0</v>
      </c>
      <c r="Z41" s="23">
        <v>0</v>
      </c>
      <c r="AA41" s="23">
        <v>0</v>
      </c>
      <c r="AB41" s="23">
        <v>0</v>
      </c>
      <c r="AC41" s="23">
        <v>0</v>
      </c>
      <c r="AD41" s="23">
        <v>0</v>
      </c>
      <c r="AE41" s="23">
        <v>0</v>
      </c>
      <c r="AF41" s="23">
        <v>0</v>
      </c>
      <c r="AG41" s="23">
        <v>0</v>
      </c>
      <c r="AH41" s="23">
        <v>0</v>
      </c>
      <c r="AI41" s="23">
        <v>0</v>
      </c>
      <c r="AJ41" s="23">
        <v>0</v>
      </c>
      <c r="AK41" s="23">
        <v>0</v>
      </c>
      <c r="AL41" s="23">
        <v>0</v>
      </c>
      <c r="AM41" s="23">
        <v>0</v>
      </c>
      <c r="AN41" s="23">
        <v>0</v>
      </c>
      <c r="AO41" s="23">
        <v>0</v>
      </c>
      <c r="AP41" s="23">
        <v>0</v>
      </c>
      <c r="AQ41" s="23">
        <v>0</v>
      </c>
      <c r="AR41" s="23">
        <v>0</v>
      </c>
      <c r="AS41" s="24">
        <v>0</v>
      </c>
    </row>
    <row r="42" spans="1:45" x14ac:dyDescent="0.25">
      <c r="A42" s="6">
        <v>12400</v>
      </c>
      <c r="B42" s="23"/>
      <c r="C42" s="23"/>
      <c r="D42" s="23"/>
      <c r="E42" s="23"/>
      <c r="F42" s="23"/>
      <c r="G42" s="23"/>
      <c r="H42" s="23"/>
      <c r="I42" s="23"/>
      <c r="J42" s="23"/>
      <c r="K42" s="23"/>
      <c r="L42" s="23"/>
      <c r="M42" s="23"/>
      <c r="N42" s="23"/>
      <c r="O42" s="23"/>
      <c r="P42" s="23"/>
      <c r="Q42" s="23"/>
      <c r="R42" s="23"/>
      <c r="S42" s="23"/>
      <c r="T42" s="23"/>
      <c r="U42" s="23"/>
      <c r="V42" s="24"/>
      <c r="X42" s="6">
        <v>12400</v>
      </c>
      <c r="Y42" s="23">
        <v>0</v>
      </c>
      <c r="Z42" s="23">
        <v>0</v>
      </c>
      <c r="AA42" s="23">
        <v>0</v>
      </c>
      <c r="AB42" s="23">
        <v>0</v>
      </c>
      <c r="AC42" s="23">
        <v>0</v>
      </c>
      <c r="AD42" s="23">
        <v>0</v>
      </c>
      <c r="AE42" s="23">
        <v>0</v>
      </c>
      <c r="AF42" s="23">
        <v>0</v>
      </c>
      <c r="AG42" s="23">
        <v>0</v>
      </c>
      <c r="AH42" s="23">
        <v>0</v>
      </c>
      <c r="AI42" s="23">
        <v>0</v>
      </c>
      <c r="AJ42" s="23">
        <v>0</v>
      </c>
      <c r="AK42" s="23">
        <v>0</v>
      </c>
      <c r="AL42" s="23">
        <v>0</v>
      </c>
      <c r="AM42" s="23">
        <v>0</v>
      </c>
      <c r="AN42" s="23">
        <v>0</v>
      </c>
      <c r="AO42" s="23">
        <v>0</v>
      </c>
      <c r="AP42" s="23">
        <v>0</v>
      </c>
      <c r="AQ42" s="23">
        <v>0</v>
      </c>
      <c r="AR42" s="23">
        <v>0</v>
      </c>
      <c r="AS42" s="24">
        <v>0</v>
      </c>
    </row>
    <row r="43" spans="1:45" ht="13.8" thickBot="1" x14ac:dyDescent="0.3">
      <c r="A43" s="7">
        <v>12800</v>
      </c>
      <c r="B43" s="25"/>
      <c r="C43" s="25"/>
      <c r="D43" s="25"/>
      <c r="E43" s="25"/>
      <c r="F43" s="25"/>
      <c r="G43" s="25"/>
      <c r="H43" s="25"/>
      <c r="I43" s="25"/>
      <c r="J43" s="25"/>
      <c r="K43" s="25"/>
      <c r="L43" s="25"/>
      <c r="M43" s="25"/>
      <c r="N43" s="25"/>
      <c r="O43" s="25"/>
      <c r="P43" s="25"/>
      <c r="Q43" s="25"/>
      <c r="R43" s="25"/>
      <c r="S43" s="25"/>
      <c r="T43" s="25"/>
      <c r="U43" s="25">
        <v>17.732592592592592</v>
      </c>
      <c r="V43" s="26"/>
      <c r="X43" s="7">
        <v>12800</v>
      </c>
      <c r="Y43" s="25">
        <v>0</v>
      </c>
      <c r="Z43" s="25">
        <v>0</v>
      </c>
      <c r="AA43" s="25">
        <v>0</v>
      </c>
      <c r="AB43" s="25">
        <v>0</v>
      </c>
      <c r="AC43" s="25">
        <v>0</v>
      </c>
      <c r="AD43" s="25">
        <v>0</v>
      </c>
      <c r="AE43" s="25">
        <v>0</v>
      </c>
      <c r="AF43" s="25">
        <v>0</v>
      </c>
      <c r="AG43" s="25">
        <v>0</v>
      </c>
      <c r="AH43" s="25">
        <v>0</v>
      </c>
      <c r="AI43" s="25">
        <v>0</v>
      </c>
      <c r="AJ43" s="25">
        <v>0</v>
      </c>
      <c r="AK43" s="25">
        <v>0</v>
      </c>
      <c r="AL43" s="25">
        <v>0</v>
      </c>
      <c r="AM43" s="25">
        <v>0</v>
      </c>
      <c r="AN43" s="25">
        <v>0</v>
      </c>
      <c r="AO43" s="25">
        <v>0</v>
      </c>
      <c r="AP43" s="25">
        <v>0</v>
      </c>
      <c r="AQ43" s="25">
        <v>0</v>
      </c>
      <c r="AR43" s="25">
        <v>405</v>
      </c>
      <c r="AS43" s="26">
        <v>0</v>
      </c>
    </row>
    <row r="44" spans="1:45" x14ac:dyDescent="0.25">
      <c r="A44" s="1"/>
    </row>
    <row r="45" spans="1:45" x14ac:dyDescent="0.25">
      <c r="A45" s="1"/>
    </row>
    <row r="46" spans="1:45" x14ac:dyDescent="0.25">
      <c r="A46" s="1"/>
    </row>
    <row r="47" spans="1:45" x14ac:dyDescent="0.25">
      <c r="A47" s="1"/>
    </row>
    <row r="48" spans="1:45" x14ac:dyDescent="0.25">
      <c r="A48" s="1"/>
    </row>
    <row r="49" spans="1:1" x14ac:dyDescent="0.25">
      <c r="A49" s="1"/>
    </row>
    <row r="50" spans="1:1" x14ac:dyDescent="0.25">
      <c r="A50" s="1"/>
    </row>
    <row r="51" spans="1:1" x14ac:dyDescent="0.25">
      <c r="A51" s="1"/>
    </row>
    <row r="52" spans="1:1" x14ac:dyDescent="0.25">
      <c r="A52" s="1"/>
    </row>
    <row r="53" spans="1:1" x14ac:dyDescent="0.25">
      <c r="A53" s="1"/>
    </row>
    <row r="54" spans="1:1" x14ac:dyDescent="0.25">
      <c r="A54" s="1"/>
    </row>
    <row r="55" spans="1:1" x14ac:dyDescent="0.25">
      <c r="A55" s="1"/>
    </row>
    <row r="56" spans="1:1" x14ac:dyDescent="0.25">
      <c r="A56" s="1"/>
    </row>
    <row r="57" spans="1:1" x14ac:dyDescent="0.25">
      <c r="A57" s="1"/>
    </row>
    <row r="58" spans="1:1" x14ac:dyDescent="0.25">
      <c r="A58" s="1"/>
    </row>
    <row r="59" spans="1:1" x14ac:dyDescent="0.25">
      <c r="A59" s="1"/>
    </row>
    <row r="60" spans="1:1" x14ac:dyDescent="0.25">
      <c r="A60" s="1"/>
    </row>
    <row r="61" spans="1:1" x14ac:dyDescent="0.25">
      <c r="A61" s="1"/>
    </row>
    <row r="62" spans="1:1" x14ac:dyDescent="0.25">
      <c r="A62" s="1"/>
    </row>
    <row r="63" spans="1:1" x14ac:dyDescent="0.25">
      <c r="A63" s="1"/>
    </row>
    <row r="64" spans="1:1" x14ac:dyDescent="0.25">
      <c r="A64" s="1"/>
    </row>
    <row r="65" spans="1:1" x14ac:dyDescent="0.25">
      <c r="A65" s="1"/>
    </row>
    <row r="66" spans="1:1" x14ac:dyDescent="0.25">
      <c r="A66" s="1"/>
    </row>
    <row r="67" spans="1:1" x14ac:dyDescent="0.25">
      <c r="A67" s="1"/>
    </row>
    <row r="68" spans="1:1" x14ac:dyDescent="0.25">
      <c r="A68" s="1"/>
    </row>
    <row r="69" spans="1:1" x14ac:dyDescent="0.25">
      <c r="A69" s="1"/>
    </row>
    <row r="70" spans="1:1" x14ac:dyDescent="0.25">
      <c r="A70" s="1"/>
    </row>
    <row r="71" spans="1:1" x14ac:dyDescent="0.25">
      <c r="A71" s="1"/>
    </row>
    <row r="72" spans="1:1" x14ac:dyDescent="0.25">
      <c r="A72" s="1"/>
    </row>
    <row r="73" spans="1:1" x14ac:dyDescent="0.25">
      <c r="A73" s="1"/>
    </row>
    <row r="74" spans="1:1" x14ac:dyDescent="0.25">
      <c r="A74" s="1"/>
    </row>
    <row r="75" spans="1:1" x14ac:dyDescent="0.25">
      <c r="A75" s="1"/>
    </row>
    <row r="76" spans="1:1" x14ac:dyDescent="0.25">
      <c r="A76" s="1"/>
    </row>
    <row r="77" spans="1:1" x14ac:dyDescent="0.25">
      <c r="A77" s="1"/>
    </row>
    <row r="78" spans="1:1" x14ac:dyDescent="0.25">
      <c r="A78" s="1"/>
    </row>
    <row r="79" spans="1:1" x14ac:dyDescent="0.25">
      <c r="A79" s="1"/>
    </row>
    <row r="80" spans="1:1" x14ac:dyDescent="0.25">
      <c r="A80" s="1"/>
    </row>
    <row r="81" spans="1:1" x14ac:dyDescent="0.25">
      <c r="A81" s="1"/>
    </row>
    <row r="82" spans="1:1" x14ac:dyDescent="0.25">
      <c r="A82" s="1"/>
    </row>
    <row r="83" spans="1:1" x14ac:dyDescent="0.25">
      <c r="A83" s="1"/>
    </row>
    <row r="84" spans="1:1" x14ac:dyDescent="0.25">
      <c r="A84" s="1"/>
    </row>
    <row r="85" spans="1:1" x14ac:dyDescent="0.25">
      <c r="A85" s="1"/>
    </row>
    <row r="86" spans="1:1" x14ac:dyDescent="0.25">
      <c r="A86" s="1"/>
    </row>
    <row r="87" spans="1:1" x14ac:dyDescent="0.25">
      <c r="A87" s="1"/>
    </row>
    <row r="88" spans="1:1" x14ac:dyDescent="0.25">
      <c r="A88" s="1"/>
    </row>
    <row r="89" spans="1:1" x14ac:dyDescent="0.25">
      <c r="A89" s="1"/>
    </row>
    <row r="90" spans="1:1" x14ac:dyDescent="0.25">
      <c r="A90" s="1"/>
    </row>
    <row r="91" spans="1:1" x14ac:dyDescent="0.25">
      <c r="A91" s="1"/>
    </row>
    <row r="92" spans="1:1" x14ac:dyDescent="0.25">
      <c r="A92" s="1"/>
    </row>
    <row r="93" spans="1:1" x14ac:dyDescent="0.25">
      <c r="A93" s="1"/>
    </row>
    <row r="94" spans="1:1" x14ac:dyDescent="0.25">
      <c r="A94" s="1"/>
    </row>
    <row r="95" spans="1:1" x14ac:dyDescent="0.25">
      <c r="A95" s="1"/>
    </row>
    <row r="96" spans="1:1" x14ac:dyDescent="0.25">
      <c r="A96" s="1"/>
    </row>
    <row r="97" spans="1:1" x14ac:dyDescent="0.25">
      <c r="A97" s="1"/>
    </row>
    <row r="98" spans="1:1" x14ac:dyDescent="0.25">
      <c r="A98" s="1"/>
    </row>
    <row r="99" spans="1:1" x14ac:dyDescent="0.25">
      <c r="A99" s="1"/>
    </row>
    <row r="100" spans="1:1" x14ac:dyDescent="0.25">
      <c r="A100" s="1"/>
    </row>
    <row r="101" spans="1:1" x14ac:dyDescent="0.25">
      <c r="A101" s="1"/>
    </row>
    <row r="102" spans="1:1" x14ac:dyDescent="0.25">
      <c r="A102" s="1"/>
    </row>
    <row r="103" spans="1:1" x14ac:dyDescent="0.25">
      <c r="A103" s="1"/>
    </row>
    <row r="104" spans="1:1" x14ac:dyDescent="0.25">
      <c r="A104" s="1"/>
    </row>
    <row r="105" spans="1:1" x14ac:dyDescent="0.25">
      <c r="A105" s="1"/>
    </row>
    <row r="106" spans="1:1" x14ac:dyDescent="0.25">
      <c r="A106" s="1"/>
    </row>
    <row r="107" spans="1:1" x14ac:dyDescent="0.25">
      <c r="A107" s="1"/>
    </row>
    <row r="108" spans="1:1" x14ac:dyDescent="0.25">
      <c r="A108" s="1"/>
    </row>
    <row r="109" spans="1:1" x14ac:dyDescent="0.25">
      <c r="A109" s="1"/>
    </row>
    <row r="110" spans="1:1" x14ac:dyDescent="0.25">
      <c r="A110" s="1"/>
    </row>
    <row r="111" spans="1:1" x14ac:dyDescent="0.25">
      <c r="A111" s="1"/>
    </row>
    <row r="112" spans="1:1"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row r="248" spans="1:1" x14ac:dyDescent="0.25">
      <c r="A248" s="1"/>
    </row>
    <row r="249" spans="1:1" x14ac:dyDescent="0.25">
      <c r="A249" s="1"/>
    </row>
    <row r="250" spans="1:1" x14ac:dyDescent="0.25">
      <c r="A250" s="1"/>
    </row>
    <row r="251" spans="1:1" x14ac:dyDescent="0.25">
      <c r="A251" s="1"/>
    </row>
    <row r="252" spans="1:1" x14ac:dyDescent="0.25">
      <c r="A252" s="1"/>
    </row>
    <row r="253" spans="1:1" x14ac:dyDescent="0.25">
      <c r="A253" s="1"/>
    </row>
    <row r="254" spans="1:1" x14ac:dyDescent="0.25">
      <c r="A254" s="1"/>
    </row>
    <row r="255" spans="1:1" x14ac:dyDescent="0.25">
      <c r="A255" s="1"/>
    </row>
    <row r="256" spans="1:1" x14ac:dyDescent="0.25">
      <c r="A256" s="1"/>
    </row>
    <row r="257" spans="1:1" x14ac:dyDescent="0.25">
      <c r="A257" s="1"/>
    </row>
    <row r="258" spans="1:1" x14ac:dyDescent="0.25">
      <c r="A258" s="1"/>
    </row>
    <row r="259" spans="1:1" x14ac:dyDescent="0.25">
      <c r="A259" s="1"/>
    </row>
    <row r="260" spans="1:1" x14ac:dyDescent="0.25">
      <c r="A260" s="1"/>
    </row>
    <row r="261" spans="1:1" x14ac:dyDescent="0.25">
      <c r="A261" s="1"/>
    </row>
    <row r="262" spans="1:1" x14ac:dyDescent="0.25">
      <c r="A262" s="1"/>
    </row>
    <row r="263" spans="1:1" x14ac:dyDescent="0.25">
      <c r="A263" s="1"/>
    </row>
    <row r="264" spans="1:1" x14ac:dyDescent="0.25">
      <c r="A264" s="1"/>
    </row>
    <row r="265" spans="1:1" x14ac:dyDescent="0.25">
      <c r="A265" s="1"/>
    </row>
    <row r="266" spans="1:1" x14ac:dyDescent="0.25">
      <c r="A266" s="1"/>
    </row>
    <row r="267" spans="1:1" x14ac:dyDescent="0.25">
      <c r="A267" s="1"/>
    </row>
    <row r="268" spans="1:1" x14ac:dyDescent="0.25">
      <c r="A268" s="1"/>
    </row>
    <row r="269" spans="1:1" x14ac:dyDescent="0.25">
      <c r="A269" s="1"/>
    </row>
    <row r="270" spans="1:1" x14ac:dyDescent="0.25">
      <c r="A270" s="1"/>
    </row>
    <row r="271" spans="1:1" x14ac:dyDescent="0.25">
      <c r="A271" s="1"/>
    </row>
    <row r="272" spans="1:1" x14ac:dyDescent="0.25">
      <c r="A272" s="1"/>
    </row>
    <row r="273" spans="1:1" x14ac:dyDescent="0.25">
      <c r="A273" s="1"/>
    </row>
    <row r="274" spans="1:1" x14ac:dyDescent="0.25">
      <c r="A274" s="1"/>
    </row>
    <row r="275" spans="1:1" x14ac:dyDescent="0.25">
      <c r="A275" s="1"/>
    </row>
    <row r="276" spans="1:1" x14ac:dyDescent="0.25">
      <c r="A276" s="1"/>
    </row>
    <row r="277" spans="1:1" x14ac:dyDescent="0.25">
      <c r="A277" s="1"/>
    </row>
    <row r="278" spans="1:1" x14ac:dyDescent="0.25">
      <c r="A278" s="1"/>
    </row>
    <row r="279" spans="1:1" x14ac:dyDescent="0.25">
      <c r="A279" s="1"/>
    </row>
    <row r="280" spans="1:1" x14ac:dyDescent="0.25">
      <c r="A280" s="1"/>
    </row>
    <row r="281" spans="1:1" x14ac:dyDescent="0.25">
      <c r="A281" s="1"/>
    </row>
    <row r="282" spans="1:1" x14ac:dyDescent="0.25">
      <c r="A282" s="1"/>
    </row>
    <row r="283" spans="1:1" x14ac:dyDescent="0.25">
      <c r="A283" s="1"/>
    </row>
    <row r="284" spans="1:1" x14ac:dyDescent="0.25">
      <c r="A284" s="1"/>
    </row>
    <row r="285" spans="1:1" x14ac:dyDescent="0.25">
      <c r="A285" s="1"/>
    </row>
    <row r="286" spans="1:1" x14ac:dyDescent="0.25">
      <c r="A286" s="1"/>
    </row>
    <row r="287" spans="1:1" x14ac:dyDescent="0.25">
      <c r="A287" s="1"/>
    </row>
    <row r="288" spans="1:1" x14ac:dyDescent="0.25">
      <c r="A288" s="1"/>
    </row>
    <row r="289" spans="1:1" x14ac:dyDescent="0.25">
      <c r="A289" s="1"/>
    </row>
    <row r="290" spans="1:1" x14ac:dyDescent="0.25">
      <c r="A290" s="1"/>
    </row>
    <row r="291" spans="1:1" x14ac:dyDescent="0.25">
      <c r="A291" s="1"/>
    </row>
    <row r="292" spans="1:1" x14ac:dyDescent="0.25">
      <c r="A292" s="1"/>
    </row>
    <row r="293" spans="1:1" x14ac:dyDescent="0.25">
      <c r="A293" s="1"/>
    </row>
    <row r="294" spans="1:1" x14ac:dyDescent="0.25">
      <c r="A294" s="1"/>
    </row>
    <row r="295" spans="1:1" x14ac:dyDescent="0.25">
      <c r="A295" s="1"/>
    </row>
    <row r="296" spans="1:1" x14ac:dyDescent="0.25">
      <c r="A296" s="1"/>
    </row>
    <row r="297" spans="1:1" x14ac:dyDescent="0.25">
      <c r="A297" s="1"/>
    </row>
    <row r="298" spans="1:1" x14ac:dyDescent="0.25">
      <c r="A298" s="1"/>
    </row>
    <row r="299" spans="1:1" x14ac:dyDescent="0.25">
      <c r="A299" s="1"/>
    </row>
    <row r="300" spans="1:1" x14ac:dyDescent="0.25">
      <c r="A300" s="1"/>
    </row>
    <row r="301" spans="1:1" x14ac:dyDescent="0.25">
      <c r="A301" s="1"/>
    </row>
    <row r="302" spans="1:1" x14ac:dyDescent="0.25">
      <c r="A302" s="1"/>
    </row>
    <row r="303" spans="1:1" x14ac:dyDescent="0.25">
      <c r="A303" s="1"/>
    </row>
    <row r="304" spans="1:1" x14ac:dyDescent="0.25">
      <c r="A304" s="1"/>
    </row>
    <row r="305" spans="1:1" x14ac:dyDescent="0.25">
      <c r="A305" s="1"/>
    </row>
    <row r="306" spans="1:1" x14ac:dyDescent="0.25">
      <c r="A306" s="1"/>
    </row>
    <row r="307" spans="1:1" x14ac:dyDescent="0.25">
      <c r="A307" s="1"/>
    </row>
    <row r="308" spans="1:1" x14ac:dyDescent="0.25">
      <c r="A308" s="1"/>
    </row>
    <row r="309" spans="1:1" x14ac:dyDescent="0.25">
      <c r="A309" s="1"/>
    </row>
    <row r="310" spans="1:1" x14ac:dyDescent="0.25">
      <c r="A310" s="1"/>
    </row>
    <row r="311" spans="1:1" x14ac:dyDescent="0.25">
      <c r="A311" s="1"/>
    </row>
    <row r="312" spans="1:1" x14ac:dyDescent="0.25">
      <c r="A312" s="1"/>
    </row>
    <row r="313" spans="1:1" x14ac:dyDescent="0.25">
      <c r="A313" s="1"/>
    </row>
    <row r="314" spans="1:1" x14ac:dyDescent="0.25">
      <c r="A314" s="1"/>
    </row>
    <row r="315" spans="1:1" x14ac:dyDescent="0.25">
      <c r="A315" s="1"/>
    </row>
    <row r="316" spans="1:1" x14ac:dyDescent="0.25">
      <c r="A316" s="1"/>
    </row>
    <row r="317" spans="1:1" x14ac:dyDescent="0.25">
      <c r="A317" s="1"/>
    </row>
    <row r="318" spans="1:1" x14ac:dyDescent="0.25">
      <c r="A318" s="1"/>
    </row>
    <row r="319" spans="1:1" x14ac:dyDescent="0.25">
      <c r="A319" s="1"/>
    </row>
    <row r="320" spans="1:1" x14ac:dyDescent="0.25">
      <c r="A320" s="1"/>
    </row>
    <row r="321" spans="1:1" x14ac:dyDescent="0.25">
      <c r="A321" s="1"/>
    </row>
    <row r="322" spans="1:1" x14ac:dyDescent="0.25">
      <c r="A322" s="1"/>
    </row>
    <row r="323" spans="1:1" x14ac:dyDescent="0.25">
      <c r="A323" s="1"/>
    </row>
    <row r="324" spans="1:1" x14ac:dyDescent="0.25">
      <c r="A324" s="1"/>
    </row>
    <row r="325" spans="1:1" x14ac:dyDescent="0.25">
      <c r="A325" s="1"/>
    </row>
    <row r="326" spans="1:1" x14ac:dyDescent="0.25">
      <c r="A326" s="1"/>
    </row>
    <row r="327" spans="1:1" x14ac:dyDescent="0.25">
      <c r="A327" s="1"/>
    </row>
    <row r="328" spans="1:1" x14ac:dyDescent="0.25">
      <c r="A328" s="1"/>
    </row>
    <row r="329" spans="1:1" x14ac:dyDescent="0.25">
      <c r="A329" s="1"/>
    </row>
    <row r="330" spans="1:1" x14ac:dyDescent="0.25">
      <c r="A330" s="1"/>
    </row>
    <row r="331" spans="1:1" x14ac:dyDescent="0.25">
      <c r="A331" s="1"/>
    </row>
    <row r="332" spans="1:1" x14ac:dyDescent="0.25">
      <c r="A332" s="1"/>
    </row>
    <row r="333" spans="1:1" x14ac:dyDescent="0.25">
      <c r="A333" s="1"/>
    </row>
    <row r="334" spans="1:1" x14ac:dyDescent="0.25">
      <c r="A334" s="1"/>
    </row>
    <row r="335" spans="1:1" x14ac:dyDescent="0.25">
      <c r="A335" s="1"/>
    </row>
    <row r="336" spans="1:1" x14ac:dyDescent="0.25">
      <c r="A336" s="1"/>
    </row>
    <row r="337" spans="1:1" x14ac:dyDescent="0.25">
      <c r="A337" s="1"/>
    </row>
    <row r="338" spans="1:1" x14ac:dyDescent="0.25">
      <c r="A338" s="1"/>
    </row>
    <row r="339" spans="1:1" x14ac:dyDescent="0.25">
      <c r="A339" s="1"/>
    </row>
    <row r="340" spans="1:1" x14ac:dyDescent="0.25">
      <c r="A340" s="1"/>
    </row>
    <row r="341" spans="1:1" x14ac:dyDescent="0.25">
      <c r="A341" s="1"/>
    </row>
    <row r="342" spans="1:1" x14ac:dyDescent="0.25">
      <c r="A342" s="1"/>
    </row>
    <row r="343" spans="1:1" x14ac:dyDescent="0.25">
      <c r="A343" s="1"/>
    </row>
    <row r="344" spans="1:1" x14ac:dyDescent="0.25">
      <c r="A344" s="1"/>
    </row>
    <row r="345" spans="1:1" x14ac:dyDescent="0.25">
      <c r="A345" s="1"/>
    </row>
    <row r="346" spans="1:1" x14ac:dyDescent="0.25">
      <c r="A346" s="1"/>
    </row>
    <row r="347" spans="1:1" x14ac:dyDescent="0.25">
      <c r="A347" s="1"/>
    </row>
    <row r="348" spans="1:1" x14ac:dyDescent="0.25">
      <c r="A348" s="1"/>
    </row>
    <row r="349" spans="1:1" x14ac:dyDescent="0.25">
      <c r="A349" s="1"/>
    </row>
    <row r="350" spans="1:1" x14ac:dyDescent="0.25">
      <c r="A350" s="1"/>
    </row>
    <row r="351" spans="1:1" x14ac:dyDescent="0.25">
      <c r="A351" s="1"/>
    </row>
    <row r="352" spans="1:1" x14ac:dyDescent="0.25">
      <c r="A352" s="1"/>
    </row>
    <row r="353" spans="1:1" x14ac:dyDescent="0.25">
      <c r="A353" s="1"/>
    </row>
    <row r="354" spans="1:1" x14ac:dyDescent="0.25">
      <c r="A354" s="1"/>
    </row>
    <row r="355" spans="1:1" x14ac:dyDescent="0.25">
      <c r="A355" s="1"/>
    </row>
    <row r="356" spans="1:1" x14ac:dyDescent="0.25">
      <c r="A356" s="1"/>
    </row>
    <row r="357" spans="1:1" x14ac:dyDescent="0.25">
      <c r="A357" s="1"/>
    </row>
    <row r="358" spans="1:1" x14ac:dyDescent="0.25">
      <c r="A358" s="1"/>
    </row>
    <row r="359" spans="1:1" x14ac:dyDescent="0.25">
      <c r="A359" s="1"/>
    </row>
    <row r="360" spans="1:1" x14ac:dyDescent="0.25">
      <c r="A360" s="1"/>
    </row>
    <row r="361" spans="1:1" x14ac:dyDescent="0.25">
      <c r="A361" s="1"/>
    </row>
    <row r="362" spans="1:1" x14ac:dyDescent="0.25">
      <c r="A362" s="1"/>
    </row>
    <row r="363" spans="1:1" x14ac:dyDescent="0.25">
      <c r="A363" s="1"/>
    </row>
    <row r="364" spans="1:1" x14ac:dyDescent="0.25">
      <c r="A364" s="1"/>
    </row>
    <row r="365" spans="1:1" x14ac:dyDescent="0.25">
      <c r="A365" s="1"/>
    </row>
    <row r="366" spans="1:1" x14ac:dyDescent="0.25">
      <c r="A366" s="1"/>
    </row>
    <row r="367" spans="1:1" x14ac:dyDescent="0.25">
      <c r="A367" s="1"/>
    </row>
    <row r="368" spans="1:1" x14ac:dyDescent="0.25">
      <c r="A368" s="1"/>
    </row>
    <row r="369" spans="1:1" x14ac:dyDescent="0.25">
      <c r="A369" s="1"/>
    </row>
    <row r="370" spans="1:1" x14ac:dyDescent="0.25">
      <c r="A370" s="1"/>
    </row>
    <row r="371" spans="1:1" x14ac:dyDescent="0.25">
      <c r="A371" s="1"/>
    </row>
    <row r="372" spans="1:1" x14ac:dyDescent="0.25">
      <c r="A372" s="1"/>
    </row>
    <row r="373" spans="1:1" x14ac:dyDescent="0.25">
      <c r="A373" s="1"/>
    </row>
    <row r="374" spans="1:1" x14ac:dyDescent="0.25">
      <c r="A374" s="1"/>
    </row>
    <row r="375" spans="1:1" x14ac:dyDescent="0.25">
      <c r="A375" s="1"/>
    </row>
    <row r="376" spans="1:1" x14ac:dyDescent="0.25">
      <c r="A376" s="1"/>
    </row>
    <row r="377" spans="1:1" x14ac:dyDescent="0.25">
      <c r="A377" s="1"/>
    </row>
    <row r="378" spans="1:1" x14ac:dyDescent="0.25">
      <c r="A378" s="1"/>
    </row>
    <row r="379" spans="1:1" x14ac:dyDescent="0.25">
      <c r="A379" s="1"/>
    </row>
    <row r="380" spans="1:1" x14ac:dyDescent="0.25">
      <c r="A380" s="1"/>
    </row>
    <row r="381" spans="1:1" x14ac:dyDescent="0.25">
      <c r="A381" s="1"/>
    </row>
    <row r="382" spans="1:1" x14ac:dyDescent="0.25">
      <c r="A382" s="1"/>
    </row>
    <row r="383" spans="1:1" x14ac:dyDescent="0.25">
      <c r="A383" s="1"/>
    </row>
    <row r="384" spans="1:1" x14ac:dyDescent="0.25">
      <c r="A384" s="1"/>
    </row>
    <row r="385" spans="1:1" x14ac:dyDescent="0.25">
      <c r="A385" s="1"/>
    </row>
    <row r="386" spans="1:1" x14ac:dyDescent="0.25">
      <c r="A386" s="1"/>
    </row>
    <row r="387" spans="1:1" x14ac:dyDescent="0.25">
      <c r="A387" s="1"/>
    </row>
    <row r="388" spans="1:1" x14ac:dyDescent="0.25">
      <c r="A388" s="1"/>
    </row>
    <row r="389" spans="1:1" x14ac:dyDescent="0.25">
      <c r="A389" s="1"/>
    </row>
    <row r="390" spans="1:1" x14ac:dyDescent="0.25">
      <c r="A390" s="1"/>
    </row>
    <row r="391" spans="1:1" x14ac:dyDescent="0.25">
      <c r="A391" s="1"/>
    </row>
    <row r="392" spans="1:1" x14ac:dyDescent="0.25">
      <c r="A392" s="1"/>
    </row>
    <row r="393" spans="1:1" x14ac:dyDescent="0.25">
      <c r="A393" s="1"/>
    </row>
    <row r="394" spans="1:1" x14ac:dyDescent="0.25">
      <c r="A394" s="1"/>
    </row>
    <row r="395" spans="1:1" x14ac:dyDescent="0.25">
      <c r="A395" s="1"/>
    </row>
    <row r="396" spans="1:1" x14ac:dyDescent="0.25">
      <c r="A396" s="1"/>
    </row>
    <row r="397" spans="1:1" x14ac:dyDescent="0.25">
      <c r="A397" s="1"/>
    </row>
    <row r="398" spans="1:1" x14ac:dyDescent="0.25">
      <c r="A398" s="1"/>
    </row>
    <row r="399" spans="1:1" x14ac:dyDescent="0.25">
      <c r="A399" s="1"/>
    </row>
    <row r="400" spans="1:1" x14ac:dyDescent="0.25">
      <c r="A400" s="1"/>
    </row>
    <row r="401" spans="1:1" x14ac:dyDescent="0.25">
      <c r="A401" s="1"/>
    </row>
    <row r="402" spans="1:1" x14ac:dyDescent="0.25">
      <c r="A402" s="1"/>
    </row>
    <row r="403" spans="1:1" x14ac:dyDescent="0.25">
      <c r="A403" s="1"/>
    </row>
    <row r="404" spans="1:1" x14ac:dyDescent="0.25">
      <c r="A404" s="1"/>
    </row>
    <row r="405" spans="1:1" x14ac:dyDescent="0.25">
      <c r="A405" s="1"/>
    </row>
    <row r="406" spans="1:1" x14ac:dyDescent="0.25">
      <c r="A406" s="1"/>
    </row>
    <row r="407" spans="1:1" x14ac:dyDescent="0.25">
      <c r="A407" s="1"/>
    </row>
    <row r="408" spans="1:1" x14ac:dyDescent="0.25">
      <c r="A408" s="1"/>
    </row>
    <row r="409" spans="1:1" x14ac:dyDescent="0.25">
      <c r="A409" s="1"/>
    </row>
    <row r="410" spans="1:1" x14ac:dyDescent="0.25">
      <c r="A410" s="1"/>
    </row>
    <row r="411" spans="1:1" x14ac:dyDescent="0.25">
      <c r="A411" s="1"/>
    </row>
    <row r="412" spans="1:1" x14ac:dyDescent="0.25">
      <c r="A412" s="1"/>
    </row>
    <row r="413" spans="1:1" x14ac:dyDescent="0.25">
      <c r="A413" s="1"/>
    </row>
    <row r="414" spans="1:1" x14ac:dyDescent="0.25">
      <c r="A414" s="1"/>
    </row>
    <row r="415" spans="1:1" x14ac:dyDescent="0.25">
      <c r="A415" s="1"/>
    </row>
    <row r="416" spans="1:1" x14ac:dyDescent="0.25">
      <c r="A416" s="1"/>
    </row>
    <row r="417" spans="1:1" x14ac:dyDescent="0.25">
      <c r="A417" s="1"/>
    </row>
    <row r="418" spans="1:1" x14ac:dyDescent="0.25">
      <c r="A418" s="1"/>
    </row>
    <row r="419" spans="1:1" x14ac:dyDescent="0.25">
      <c r="A419" s="1"/>
    </row>
    <row r="420" spans="1:1" x14ac:dyDescent="0.25">
      <c r="A420" s="1"/>
    </row>
    <row r="421" spans="1:1" x14ac:dyDescent="0.25">
      <c r="A421" s="1"/>
    </row>
    <row r="422" spans="1:1" x14ac:dyDescent="0.25">
      <c r="A422" s="1"/>
    </row>
    <row r="423" spans="1:1" x14ac:dyDescent="0.25">
      <c r="A423" s="1"/>
    </row>
    <row r="424" spans="1:1" x14ac:dyDescent="0.25">
      <c r="A424" s="1"/>
    </row>
    <row r="425" spans="1:1" x14ac:dyDescent="0.25">
      <c r="A425" s="1"/>
    </row>
    <row r="426" spans="1:1" x14ac:dyDescent="0.25">
      <c r="A426" s="1"/>
    </row>
    <row r="427" spans="1:1" x14ac:dyDescent="0.25">
      <c r="A427" s="1"/>
    </row>
    <row r="428" spans="1:1" x14ac:dyDescent="0.25">
      <c r="A428" s="1"/>
    </row>
    <row r="429" spans="1:1" x14ac:dyDescent="0.25">
      <c r="A429" s="1"/>
    </row>
    <row r="430" spans="1:1" x14ac:dyDescent="0.25">
      <c r="A430" s="1"/>
    </row>
    <row r="431" spans="1:1" x14ac:dyDescent="0.25">
      <c r="A431" s="1"/>
    </row>
    <row r="432" spans="1:1" x14ac:dyDescent="0.25">
      <c r="A432" s="1"/>
    </row>
    <row r="433" spans="1:1" x14ac:dyDescent="0.25">
      <c r="A433" s="1"/>
    </row>
    <row r="434" spans="1:1" x14ac:dyDescent="0.25">
      <c r="A434" s="1"/>
    </row>
    <row r="435" spans="1:1" x14ac:dyDescent="0.25">
      <c r="A435" s="1"/>
    </row>
    <row r="436" spans="1:1" x14ac:dyDescent="0.25">
      <c r="A436" s="1"/>
    </row>
    <row r="437" spans="1:1" x14ac:dyDescent="0.25">
      <c r="A437" s="1"/>
    </row>
    <row r="438" spans="1:1" x14ac:dyDescent="0.25">
      <c r="A438" s="1"/>
    </row>
    <row r="439" spans="1:1" x14ac:dyDescent="0.25">
      <c r="A439" s="1"/>
    </row>
    <row r="440" spans="1:1" x14ac:dyDescent="0.25">
      <c r="A440" s="1"/>
    </row>
    <row r="441" spans="1:1" x14ac:dyDescent="0.25">
      <c r="A441" s="1"/>
    </row>
    <row r="442" spans="1:1" x14ac:dyDescent="0.25">
      <c r="A442" s="1"/>
    </row>
    <row r="443" spans="1:1" x14ac:dyDescent="0.25">
      <c r="A443" s="1"/>
    </row>
    <row r="444" spans="1:1" x14ac:dyDescent="0.25">
      <c r="A444" s="1"/>
    </row>
    <row r="445" spans="1:1" x14ac:dyDescent="0.25">
      <c r="A445" s="1"/>
    </row>
    <row r="446" spans="1:1" x14ac:dyDescent="0.25">
      <c r="A446" s="1"/>
    </row>
    <row r="447" spans="1:1" x14ac:dyDescent="0.25">
      <c r="A447" s="1"/>
    </row>
    <row r="448" spans="1:1" x14ac:dyDescent="0.25">
      <c r="A448" s="1"/>
    </row>
    <row r="449" spans="1:1" x14ac:dyDescent="0.25">
      <c r="A449" s="1"/>
    </row>
    <row r="450" spans="1:1" x14ac:dyDescent="0.25">
      <c r="A450" s="1"/>
    </row>
    <row r="451" spans="1:1" x14ac:dyDescent="0.25">
      <c r="A451" s="1"/>
    </row>
    <row r="452" spans="1:1" x14ac:dyDescent="0.25">
      <c r="A452" s="1"/>
    </row>
    <row r="453" spans="1:1" x14ac:dyDescent="0.25">
      <c r="A453" s="1"/>
    </row>
    <row r="454" spans="1:1" x14ac:dyDescent="0.25">
      <c r="A454" s="1"/>
    </row>
    <row r="455" spans="1:1" x14ac:dyDescent="0.25">
      <c r="A455" s="1"/>
    </row>
    <row r="456" spans="1:1" x14ac:dyDescent="0.25">
      <c r="A456" s="1"/>
    </row>
    <row r="457" spans="1:1" x14ac:dyDescent="0.25">
      <c r="A457" s="1"/>
    </row>
    <row r="458" spans="1:1" x14ac:dyDescent="0.25">
      <c r="A458" s="1"/>
    </row>
    <row r="459" spans="1:1" x14ac:dyDescent="0.25">
      <c r="A459" s="1"/>
    </row>
    <row r="460" spans="1:1" x14ac:dyDescent="0.25">
      <c r="A460" s="1"/>
    </row>
    <row r="461" spans="1:1" x14ac:dyDescent="0.25">
      <c r="A461" s="1"/>
    </row>
    <row r="462" spans="1:1" x14ac:dyDescent="0.25">
      <c r="A462" s="1"/>
    </row>
    <row r="463" spans="1:1" x14ac:dyDescent="0.25">
      <c r="A463" s="1"/>
    </row>
    <row r="464" spans="1:1" x14ac:dyDescent="0.25">
      <c r="A464" s="1"/>
    </row>
    <row r="465" spans="1:1" x14ac:dyDescent="0.25">
      <c r="A465" s="1"/>
    </row>
    <row r="466" spans="1:1" x14ac:dyDescent="0.25">
      <c r="A466" s="1"/>
    </row>
    <row r="467" spans="1:1" x14ac:dyDescent="0.25">
      <c r="A467" s="1"/>
    </row>
    <row r="468" spans="1:1" x14ac:dyDescent="0.25">
      <c r="A468" s="1"/>
    </row>
    <row r="469" spans="1:1" x14ac:dyDescent="0.25">
      <c r="A469" s="1"/>
    </row>
    <row r="470" spans="1:1" x14ac:dyDescent="0.25">
      <c r="A470" s="1"/>
    </row>
    <row r="471" spans="1:1" x14ac:dyDescent="0.25">
      <c r="A471" s="1"/>
    </row>
    <row r="472" spans="1:1" x14ac:dyDescent="0.25">
      <c r="A472" s="1"/>
    </row>
    <row r="473" spans="1:1" x14ac:dyDescent="0.25">
      <c r="A473" s="1"/>
    </row>
    <row r="474" spans="1:1" x14ac:dyDescent="0.25">
      <c r="A474" s="1"/>
    </row>
    <row r="475" spans="1:1" x14ac:dyDescent="0.25">
      <c r="A475" s="1"/>
    </row>
    <row r="476" spans="1:1" x14ac:dyDescent="0.25">
      <c r="A476" s="1"/>
    </row>
    <row r="477" spans="1:1" x14ac:dyDescent="0.25">
      <c r="A477" s="1"/>
    </row>
    <row r="478" spans="1:1" x14ac:dyDescent="0.25">
      <c r="A478" s="1"/>
    </row>
    <row r="479" spans="1:1" x14ac:dyDescent="0.25">
      <c r="A479" s="1"/>
    </row>
    <row r="480" spans="1:1" x14ac:dyDescent="0.25">
      <c r="A480" s="1"/>
    </row>
    <row r="481" spans="1:1" x14ac:dyDescent="0.25">
      <c r="A481" s="1"/>
    </row>
    <row r="482" spans="1:1" x14ac:dyDescent="0.25">
      <c r="A482" s="1"/>
    </row>
    <row r="483" spans="1:1" x14ac:dyDescent="0.25">
      <c r="A483" s="1"/>
    </row>
    <row r="484" spans="1:1" x14ac:dyDescent="0.25">
      <c r="A484" s="1"/>
    </row>
    <row r="485" spans="1:1" x14ac:dyDescent="0.25">
      <c r="A485" s="1"/>
    </row>
    <row r="486" spans="1:1" x14ac:dyDescent="0.25">
      <c r="A486" s="1"/>
    </row>
    <row r="487" spans="1:1" x14ac:dyDescent="0.25">
      <c r="A487" s="1"/>
    </row>
    <row r="488" spans="1:1" x14ac:dyDescent="0.25">
      <c r="A488" s="1"/>
    </row>
    <row r="489" spans="1:1" x14ac:dyDescent="0.25">
      <c r="A489" s="1"/>
    </row>
    <row r="490" spans="1:1" x14ac:dyDescent="0.25">
      <c r="A490" s="1"/>
    </row>
    <row r="491" spans="1:1" x14ac:dyDescent="0.25">
      <c r="A491" s="1"/>
    </row>
    <row r="492" spans="1:1" x14ac:dyDescent="0.25">
      <c r="A492" s="1"/>
    </row>
    <row r="493" spans="1:1" x14ac:dyDescent="0.25">
      <c r="A493" s="1"/>
    </row>
    <row r="494" spans="1:1" x14ac:dyDescent="0.25">
      <c r="A494" s="1"/>
    </row>
    <row r="495" spans="1:1" x14ac:dyDescent="0.25">
      <c r="A495" s="1"/>
    </row>
    <row r="496" spans="1:1" x14ac:dyDescent="0.25">
      <c r="A496" s="1"/>
    </row>
    <row r="497" spans="1:1" x14ac:dyDescent="0.25">
      <c r="A497" s="1"/>
    </row>
    <row r="498" spans="1:1" x14ac:dyDescent="0.25">
      <c r="A498" s="1"/>
    </row>
    <row r="499" spans="1:1" x14ac:dyDescent="0.25">
      <c r="A499" s="1"/>
    </row>
    <row r="500" spans="1:1" x14ac:dyDescent="0.25">
      <c r="A500" s="1"/>
    </row>
    <row r="501" spans="1:1" x14ac:dyDescent="0.25">
      <c r="A501" s="1"/>
    </row>
    <row r="502" spans="1:1" x14ac:dyDescent="0.25">
      <c r="A502" s="1"/>
    </row>
    <row r="503" spans="1:1" x14ac:dyDescent="0.25">
      <c r="A503" s="1"/>
    </row>
    <row r="504" spans="1:1" x14ac:dyDescent="0.25">
      <c r="A504" s="1"/>
    </row>
    <row r="505" spans="1:1" x14ac:dyDescent="0.25">
      <c r="A505" s="1"/>
    </row>
    <row r="506" spans="1:1" x14ac:dyDescent="0.25">
      <c r="A506" s="1"/>
    </row>
    <row r="507" spans="1:1" x14ac:dyDescent="0.25">
      <c r="A507" s="1"/>
    </row>
    <row r="508" spans="1:1" x14ac:dyDescent="0.25">
      <c r="A508" s="1"/>
    </row>
    <row r="509" spans="1:1" x14ac:dyDescent="0.25">
      <c r="A509" s="1"/>
    </row>
    <row r="510" spans="1:1" x14ac:dyDescent="0.25">
      <c r="A510" s="1"/>
    </row>
    <row r="511" spans="1:1" x14ac:dyDescent="0.25">
      <c r="A511" s="1"/>
    </row>
    <row r="512" spans="1:1" x14ac:dyDescent="0.25">
      <c r="A512" s="1"/>
    </row>
    <row r="513" spans="1:1" x14ac:dyDescent="0.25">
      <c r="A513" s="1"/>
    </row>
    <row r="514" spans="1:1" x14ac:dyDescent="0.25">
      <c r="A514" s="1"/>
    </row>
    <row r="515" spans="1:1" x14ac:dyDescent="0.25">
      <c r="A515" s="1"/>
    </row>
    <row r="516" spans="1:1" x14ac:dyDescent="0.25">
      <c r="A516" s="1"/>
    </row>
    <row r="517" spans="1:1" x14ac:dyDescent="0.25">
      <c r="A517" s="1"/>
    </row>
    <row r="518" spans="1:1" x14ac:dyDescent="0.25">
      <c r="A518" s="1"/>
    </row>
    <row r="519" spans="1:1" x14ac:dyDescent="0.25">
      <c r="A519" s="1"/>
    </row>
    <row r="520" spans="1:1" x14ac:dyDescent="0.25">
      <c r="A520" s="1"/>
    </row>
    <row r="521" spans="1:1" x14ac:dyDescent="0.25">
      <c r="A521" s="1"/>
    </row>
    <row r="522" spans="1:1" x14ac:dyDescent="0.25">
      <c r="A522" s="1"/>
    </row>
    <row r="523" spans="1:1" x14ac:dyDescent="0.25">
      <c r="A523" s="1"/>
    </row>
    <row r="524" spans="1:1" x14ac:dyDescent="0.25">
      <c r="A524" s="1"/>
    </row>
    <row r="525" spans="1:1" x14ac:dyDescent="0.25">
      <c r="A525" s="1"/>
    </row>
    <row r="526" spans="1:1" x14ac:dyDescent="0.25">
      <c r="A526" s="1"/>
    </row>
    <row r="527" spans="1:1" x14ac:dyDescent="0.25">
      <c r="A527" s="1"/>
    </row>
    <row r="528" spans="1:1" x14ac:dyDescent="0.25">
      <c r="A528" s="1"/>
    </row>
    <row r="529" spans="1:1" x14ac:dyDescent="0.25">
      <c r="A529" s="1"/>
    </row>
    <row r="530" spans="1:1" x14ac:dyDescent="0.25">
      <c r="A530" s="1"/>
    </row>
    <row r="531" spans="1:1" x14ac:dyDescent="0.25">
      <c r="A531" s="1"/>
    </row>
    <row r="532" spans="1:1" x14ac:dyDescent="0.25">
      <c r="A532" s="1"/>
    </row>
    <row r="533" spans="1:1" x14ac:dyDescent="0.25">
      <c r="A533" s="1"/>
    </row>
    <row r="534" spans="1:1" x14ac:dyDescent="0.25">
      <c r="A534" s="1"/>
    </row>
    <row r="535" spans="1:1" x14ac:dyDescent="0.25">
      <c r="A535" s="1"/>
    </row>
    <row r="536" spans="1:1" x14ac:dyDescent="0.25">
      <c r="A536" s="1"/>
    </row>
    <row r="537" spans="1:1" x14ac:dyDescent="0.25">
      <c r="A537" s="1"/>
    </row>
    <row r="538" spans="1:1" x14ac:dyDescent="0.25">
      <c r="A538" s="1"/>
    </row>
    <row r="539" spans="1:1" x14ac:dyDescent="0.25">
      <c r="A539" s="1"/>
    </row>
    <row r="540" spans="1:1" x14ac:dyDescent="0.25">
      <c r="A540" s="1"/>
    </row>
    <row r="541" spans="1:1" x14ac:dyDescent="0.25">
      <c r="A541" s="1"/>
    </row>
    <row r="542" spans="1:1" x14ac:dyDescent="0.25">
      <c r="A542" s="1"/>
    </row>
    <row r="543" spans="1:1" x14ac:dyDescent="0.25">
      <c r="A543" s="1"/>
    </row>
    <row r="544" spans="1:1" x14ac:dyDescent="0.25">
      <c r="A544" s="1"/>
    </row>
    <row r="545" spans="1:1" x14ac:dyDescent="0.25">
      <c r="A545" s="1"/>
    </row>
    <row r="546" spans="1:1" x14ac:dyDescent="0.25">
      <c r="A546" s="1"/>
    </row>
    <row r="547" spans="1:1" x14ac:dyDescent="0.25">
      <c r="A547" s="1"/>
    </row>
    <row r="548" spans="1:1" x14ac:dyDescent="0.25">
      <c r="A548" s="1"/>
    </row>
    <row r="549" spans="1:1" x14ac:dyDescent="0.25">
      <c r="A549" s="1"/>
    </row>
    <row r="550" spans="1:1" x14ac:dyDescent="0.25">
      <c r="A550" s="1"/>
    </row>
    <row r="551" spans="1:1" x14ac:dyDescent="0.25">
      <c r="A551" s="1"/>
    </row>
    <row r="552" spans="1:1" x14ac:dyDescent="0.25">
      <c r="A552" s="1"/>
    </row>
    <row r="553" spans="1:1" x14ac:dyDescent="0.25">
      <c r="A553" s="1"/>
    </row>
    <row r="554" spans="1:1" x14ac:dyDescent="0.25">
      <c r="A554" s="1"/>
    </row>
    <row r="555" spans="1:1" x14ac:dyDescent="0.25">
      <c r="A555" s="1"/>
    </row>
    <row r="556" spans="1:1" x14ac:dyDescent="0.25">
      <c r="A556" s="1"/>
    </row>
    <row r="557" spans="1:1" x14ac:dyDescent="0.25">
      <c r="A557" s="1"/>
    </row>
    <row r="558" spans="1:1" x14ac:dyDescent="0.25">
      <c r="A558" s="1"/>
    </row>
    <row r="559" spans="1:1" x14ac:dyDescent="0.25">
      <c r="A559" s="1"/>
    </row>
    <row r="560" spans="1:1" x14ac:dyDescent="0.25">
      <c r="A560" s="1"/>
    </row>
    <row r="561" spans="1:1" x14ac:dyDescent="0.25">
      <c r="A561" s="1"/>
    </row>
    <row r="562" spans="1:1" x14ac:dyDescent="0.25">
      <c r="A562" s="1"/>
    </row>
    <row r="563" spans="1:1" x14ac:dyDescent="0.25">
      <c r="A563" s="1"/>
    </row>
    <row r="564" spans="1:1" x14ac:dyDescent="0.25">
      <c r="A564" s="1"/>
    </row>
    <row r="565" spans="1:1" x14ac:dyDescent="0.25">
      <c r="A565" s="1"/>
    </row>
    <row r="566" spans="1:1" x14ac:dyDescent="0.25">
      <c r="A566" s="1"/>
    </row>
    <row r="567" spans="1:1" x14ac:dyDescent="0.25">
      <c r="A567" s="1"/>
    </row>
    <row r="568" spans="1:1" x14ac:dyDescent="0.25">
      <c r="A568" s="1"/>
    </row>
    <row r="569" spans="1:1" x14ac:dyDescent="0.25">
      <c r="A569" s="1"/>
    </row>
    <row r="570" spans="1:1" x14ac:dyDescent="0.25">
      <c r="A570" s="1"/>
    </row>
    <row r="571" spans="1:1" x14ac:dyDescent="0.25">
      <c r="A571" s="1"/>
    </row>
    <row r="572" spans="1:1" x14ac:dyDescent="0.25">
      <c r="A572" s="1"/>
    </row>
    <row r="573" spans="1:1" x14ac:dyDescent="0.25">
      <c r="A573" s="1"/>
    </row>
    <row r="574" spans="1:1" x14ac:dyDescent="0.25">
      <c r="A574" s="1"/>
    </row>
    <row r="575" spans="1:1" x14ac:dyDescent="0.25">
      <c r="A575" s="1"/>
    </row>
    <row r="576" spans="1:1" x14ac:dyDescent="0.25">
      <c r="A576" s="1"/>
    </row>
    <row r="577" spans="1:1" x14ac:dyDescent="0.25">
      <c r="A577" s="1"/>
    </row>
    <row r="578" spans="1:1" x14ac:dyDescent="0.25">
      <c r="A578" s="1"/>
    </row>
    <row r="579" spans="1:1" x14ac:dyDescent="0.25">
      <c r="A579" s="1"/>
    </row>
    <row r="580" spans="1:1" x14ac:dyDescent="0.25">
      <c r="A580" s="1"/>
    </row>
    <row r="581" spans="1:1" x14ac:dyDescent="0.25">
      <c r="A581" s="1"/>
    </row>
    <row r="582" spans="1:1" x14ac:dyDescent="0.25">
      <c r="A582" s="1"/>
    </row>
    <row r="583" spans="1:1" x14ac:dyDescent="0.25">
      <c r="A583" s="1"/>
    </row>
    <row r="584" spans="1:1" x14ac:dyDescent="0.25">
      <c r="A584" s="1"/>
    </row>
    <row r="585" spans="1:1" x14ac:dyDescent="0.25">
      <c r="A585" s="1"/>
    </row>
    <row r="586" spans="1:1" x14ac:dyDescent="0.25">
      <c r="A586" s="1"/>
    </row>
    <row r="587" spans="1:1" x14ac:dyDescent="0.25">
      <c r="A587" s="1"/>
    </row>
    <row r="588" spans="1:1" x14ac:dyDescent="0.25">
      <c r="A588" s="1"/>
    </row>
    <row r="589" spans="1:1" x14ac:dyDescent="0.25">
      <c r="A589" s="1"/>
    </row>
    <row r="590" spans="1:1" x14ac:dyDescent="0.25">
      <c r="A590" s="1"/>
    </row>
    <row r="591" spans="1:1" x14ac:dyDescent="0.25">
      <c r="A591" s="1"/>
    </row>
    <row r="592" spans="1:1" x14ac:dyDescent="0.25">
      <c r="A592" s="1"/>
    </row>
    <row r="593" spans="1:1" x14ac:dyDescent="0.25">
      <c r="A593" s="1"/>
    </row>
    <row r="594" spans="1:1" x14ac:dyDescent="0.25">
      <c r="A594" s="1"/>
    </row>
    <row r="595" spans="1:1" x14ac:dyDescent="0.25">
      <c r="A595" s="1"/>
    </row>
    <row r="596" spans="1:1" x14ac:dyDescent="0.25">
      <c r="A596" s="1"/>
    </row>
    <row r="597" spans="1:1" x14ac:dyDescent="0.25">
      <c r="A597" s="1"/>
    </row>
    <row r="598" spans="1:1" x14ac:dyDescent="0.25">
      <c r="A598" s="1"/>
    </row>
    <row r="599" spans="1:1" x14ac:dyDescent="0.25">
      <c r="A599" s="1"/>
    </row>
    <row r="600" spans="1:1" x14ac:dyDescent="0.25">
      <c r="A600" s="1"/>
    </row>
    <row r="601" spans="1:1" x14ac:dyDescent="0.25">
      <c r="A601" s="1"/>
    </row>
    <row r="602" spans="1:1" x14ac:dyDescent="0.25">
      <c r="A602" s="1"/>
    </row>
    <row r="603" spans="1:1" x14ac:dyDescent="0.25">
      <c r="A603" s="1"/>
    </row>
    <row r="604" spans="1:1" x14ac:dyDescent="0.25">
      <c r="A604" s="1"/>
    </row>
    <row r="605" spans="1:1" x14ac:dyDescent="0.25">
      <c r="A605" s="1"/>
    </row>
    <row r="606" spans="1:1" x14ac:dyDescent="0.25">
      <c r="A606" s="1"/>
    </row>
    <row r="607" spans="1:1" x14ac:dyDescent="0.25">
      <c r="A607" s="1"/>
    </row>
    <row r="608" spans="1:1" x14ac:dyDescent="0.25">
      <c r="A608" s="1"/>
    </row>
    <row r="609" spans="1:1" x14ac:dyDescent="0.25">
      <c r="A609" s="1"/>
    </row>
    <row r="610" spans="1:1" x14ac:dyDescent="0.25">
      <c r="A610" s="1"/>
    </row>
    <row r="611" spans="1:1" x14ac:dyDescent="0.25">
      <c r="A611" s="1"/>
    </row>
    <row r="612" spans="1:1" x14ac:dyDescent="0.25">
      <c r="A612" s="1"/>
    </row>
    <row r="613" spans="1:1" x14ac:dyDescent="0.25">
      <c r="A613" s="1"/>
    </row>
    <row r="614" spans="1:1" x14ac:dyDescent="0.25">
      <c r="A614" s="1"/>
    </row>
    <row r="615" spans="1:1" x14ac:dyDescent="0.25">
      <c r="A615" s="1"/>
    </row>
    <row r="616" spans="1:1" x14ac:dyDescent="0.25">
      <c r="A616" s="1"/>
    </row>
    <row r="617" spans="1:1" x14ac:dyDescent="0.25">
      <c r="A617" s="1"/>
    </row>
    <row r="618" spans="1:1" x14ac:dyDescent="0.25">
      <c r="A618" s="1"/>
    </row>
    <row r="619" spans="1:1" x14ac:dyDescent="0.25">
      <c r="A619" s="1"/>
    </row>
    <row r="620" spans="1:1" x14ac:dyDescent="0.25">
      <c r="A620" s="1"/>
    </row>
    <row r="621" spans="1:1" x14ac:dyDescent="0.25">
      <c r="A621" s="1"/>
    </row>
    <row r="622" spans="1:1" x14ac:dyDescent="0.25">
      <c r="A622" s="1"/>
    </row>
    <row r="623" spans="1:1" x14ac:dyDescent="0.25">
      <c r="A623" s="1"/>
    </row>
    <row r="624" spans="1:1" x14ac:dyDescent="0.25">
      <c r="A624" s="1"/>
    </row>
    <row r="625" spans="1:1" x14ac:dyDescent="0.25">
      <c r="A625" s="1"/>
    </row>
    <row r="626" spans="1:1" x14ac:dyDescent="0.25">
      <c r="A626" s="1"/>
    </row>
    <row r="627" spans="1:1" x14ac:dyDescent="0.25">
      <c r="A627" s="1"/>
    </row>
    <row r="628" spans="1:1" x14ac:dyDescent="0.25">
      <c r="A628" s="1"/>
    </row>
    <row r="629" spans="1:1" x14ac:dyDescent="0.25">
      <c r="A629" s="1"/>
    </row>
    <row r="630" spans="1:1" x14ac:dyDescent="0.25">
      <c r="A630" s="1"/>
    </row>
    <row r="631" spans="1:1" x14ac:dyDescent="0.25">
      <c r="A631" s="1"/>
    </row>
    <row r="632" spans="1:1" x14ac:dyDescent="0.25">
      <c r="A632" s="1"/>
    </row>
    <row r="633" spans="1:1" x14ac:dyDescent="0.25">
      <c r="A633" s="1"/>
    </row>
    <row r="634" spans="1:1" x14ac:dyDescent="0.25">
      <c r="A634" s="1"/>
    </row>
    <row r="635" spans="1:1" x14ac:dyDescent="0.25">
      <c r="A635" s="1"/>
    </row>
    <row r="636" spans="1:1" x14ac:dyDescent="0.25">
      <c r="A636" s="1"/>
    </row>
    <row r="637" spans="1:1" x14ac:dyDescent="0.25">
      <c r="A637" s="1"/>
    </row>
    <row r="638" spans="1:1" x14ac:dyDescent="0.25">
      <c r="A638" s="1"/>
    </row>
    <row r="639" spans="1:1" x14ac:dyDescent="0.25">
      <c r="A639" s="1"/>
    </row>
    <row r="640" spans="1:1" x14ac:dyDescent="0.25">
      <c r="A640" s="1"/>
    </row>
    <row r="641" spans="1:1" x14ac:dyDescent="0.25">
      <c r="A641" s="1"/>
    </row>
    <row r="642" spans="1:1" x14ac:dyDescent="0.25">
      <c r="A642" s="1"/>
    </row>
    <row r="643" spans="1:1" x14ac:dyDescent="0.25">
      <c r="A643" s="1"/>
    </row>
    <row r="644" spans="1:1" x14ac:dyDescent="0.25">
      <c r="A644" s="1"/>
    </row>
    <row r="645" spans="1:1" x14ac:dyDescent="0.25">
      <c r="A645" s="1"/>
    </row>
    <row r="646" spans="1:1" x14ac:dyDescent="0.25">
      <c r="A646" s="1"/>
    </row>
    <row r="647" spans="1:1" x14ac:dyDescent="0.25">
      <c r="A647" s="1"/>
    </row>
    <row r="648" spans="1:1" x14ac:dyDescent="0.25">
      <c r="A648" s="1"/>
    </row>
    <row r="649" spans="1:1" x14ac:dyDescent="0.25">
      <c r="A649" s="1"/>
    </row>
    <row r="650" spans="1:1" x14ac:dyDescent="0.25">
      <c r="A650" s="1"/>
    </row>
    <row r="651" spans="1:1" x14ac:dyDescent="0.25">
      <c r="A651" s="1"/>
    </row>
    <row r="652" spans="1:1" x14ac:dyDescent="0.25">
      <c r="A652" s="1"/>
    </row>
    <row r="653" spans="1:1" x14ac:dyDescent="0.25">
      <c r="A653" s="1"/>
    </row>
    <row r="654" spans="1:1" x14ac:dyDescent="0.25">
      <c r="A654" s="1"/>
    </row>
    <row r="655" spans="1:1" x14ac:dyDescent="0.25">
      <c r="A655" s="1"/>
    </row>
    <row r="656" spans="1:1" x14ac:dyDescent="0.25">
      <c r="A656" s="1"/>
    </row>
    <row r="657" spans="1:1" x14ac:dyDescent="0.25">
      <c r="A657" s="1"/>
    </row>
    <row r="658" spans="1:1" x14ac:dyDescent="0.25">
      <c r="A658" s="1"/>
    </row>
    <row r="659" spans="1:1" x14ac:dyDescent="0.25">
      <c r="A659" s="1"/>
    </row>
    <row r="660" spans="1:1" x14ac:dyDescent="0.25">
      <c r="A660" s="1"/>
    </row>
    <row r="661" spans="1:1" x14ac:dyDescent="0.25">
      <c r="A661" s="1"/>
    </row>
    <row r="662" spans="1:1" x14ac:dyDescent="0.25">
      <c r="A662" s="1"/>
    </row>
    <row r="663" spans="1:1" x14ac:dyDescent="0.25">
      <c r="A663" s="1"/>
    </row>
    <row r="664" spans="1:1" x14ac:dyDescent="0.25">
      <c r="A664" s="1"/>
    </row>
    <row r="665" spans="1:1" x14ac:dyDescent="0.25">
      <c r="A665" s="1"/>
    </row>
    <row r="666" spans="1:1" x14ac:dyDescent="0.25">
      <c r="A666" s="1"/>
    </row>
    <row r="667" spans="1:1" x14ac:dyDescent="0.25">
      <c r="A667" s="1"/>
    </row>
    <row r="668" spans="1:1" x14ac:dyDescent="0.25">
      <c r="A668" s="1"/>
    </row>
    <row r="669" spans="1:1" x14ac:dyDescent="0.25">
      <c r="A669" s="1"/>
    </row>
    <row r="670" spans="1:1" x14ac:dyDescent="0.25">
      <c r="A670" s="1"/>
    </row>
    <row r="671" spans="1:1" x14ac:dyDescent="0.25">
      <c r="A671" s="1"/>
    </row>
    <row r="672" spans="1:1" x14ac:dyDescent="0.25">
      <c r="A672" s="1"/>
    </row>
    <row r="673" spans="1:1" x14ac:dyDescent="0.25">
      <c r="A673" s="1"/>
    </row>
    <row r="674" spans="1:1" x14ac:dyDescent="0.25">
      <c r="A674" s="1"/>
    </row>
    <row r="675" spans="1:1" x14ac:dyDescent="0.25">
      <c r="A675" s="1"/>
    </row>
    <row r="676" spans="1:1" x14ac:dyDescent="0.25">
      <c r="A676" s="1"/>
    </row>
    <row r="677" spans="1:1" x14ac:dyDescent="0.25">
      <c r="A677" s="1"/>
    </row>
    <row r="678" spans="1:1" x14ac:dyDescent="0.25">
      <c r="A678" s="1"/>
    </row>
    <row r="679" spans="1:1" x14ac:dyDescent="0.25">
      <c r="A679" s="1"/>
    </row>
    <row r="680" spans="1:1" x14ac:dyDescent="0.25">
      <c r="A680" s="1"/>
    </row>
    <row r="681" spans="1:1" x14ac:dyDescent="0.25">
      <c r="A681" s="1"/>
    </row>
    <row r="682" spans="1:1" x14ac:dyDescent="0.25">
      <c r="A682" s="1"/>
    </row>
    <row r="683" spans="1:1" x14ac:dyDescent="0.25">
      <c r="A683" s="1"/>
    </row>
    <row r="684" spans="1:1" x14ac:dyDescent="0.25">
      <c r="A684" s="1"/>
    </row>
    <row r="685" spans="1:1" x14ac:dyDescent="0.25">
      <c r="A685" s="1"/>
    </row>
    <row r="686" spans="1:1" x14ac:dyDescent="0.25">
      <c r="A686" s="1"/>
    </row>
    <row r="687" spans="1:1" x14ac:dyDescent="0.25">
      <c r="A687" s="1"/>
    </row>
    <row r="688" spans="1:1" x14ac:dyDescent="0.25">
      <c r="A688" s="1"/>
    </row>
    <row r="689" spans="1:1" x14ac:dyDescent="0.25">
      <c r="A689" s="1"/>
    </row>
    <row r="690" spans="1:1" x14ac:dyDescent="0.25">
      <c r="A690" s="1"/>
    </row>
    <row r="691" spans="1:1" x14ac:dyDescent="0.25">
      <c r="A691" s="1"/>
    </row>
    <row r="692" spans="1:1" x14ac:dyDescent="0.25">
      <c r="A692" s="1"/>
    </row>
    <row r="693" spans="1:1" x14ac:dyDescent="0.25">
      <c r="A693" s="1"/>
    </row>
    <row r="694" spans="1:1" x14ac:dyDescent="0.25">
      <c r="A694" s="1"/>
    </row>
    <row r="695" spans="1:1" x14ac:dyDescent="0.25">
      <c r="A695" s="1"/>
    </row>
    <row r="696" spans="1:1" x14ac:dyDescent="0.25">
      <c r="A696" s="1"/>
    </row>
    <row r="697" spans="1:1" x14ac:dyDescent="0.25">
      <c r="A697" s="1"/>
    </row>
    <row r="698" spans="1:1" x14ac:dyDescent="0.25">
      <c r="A698" s="1"/>
    </row>
    <row r="699" spans="1:1" x14ac:dyDescent="0.25">
      <c r="A699" s="1"/>
    </row>
    <row r="700" spans="1:1" x14ac:dyDescent="0.25">
      <c r="A700" s="1"/>
    </row>
    <row r="701" spans="1:1" x14ac:dyDescent="0.25">
      <c r="A701" s="1"/>
    </row>
    <row r="702" spans="1:1" x14ac:dyDescent="0.25">
      <c r="A702" s="1"/>
    </row>
    <row r="703" spans="1:1" x14ac:dyDescent="0.25">
      <c r="A703" s="1"/>
    </row>
    <row r="704" spans="1:1" x14ac:dyDescent="0.25">
      <c r="A704" s="1"/>
    </row>
    <row r="705" spans="1:1" x14ac:dyDescent="0.25">
      <c r="A705" s="1"/>
    </row>
    <row r="706" spans="1:1" x14ac:dyDescent="0.25">
      <c r="A706" s="1"/>
    </row>
    <row r="707" spans="1:1" x14ac:dyDescent="0.25">
      <c r="A707" s="1"/>
    </row>
    <row r="708" spans="1:1" x14ac:dyDescent="0.25">
      <c r="A708" s="1"/>
    </row>
    <row r="709" spans="1:1" x14ac:dyDescent="0.25">
      <c r="A709" s="1"/>
    </row>
    <row r="710" spans="1:1" x14ac:dyDescent="0.25">
      <c r="A710" s="1"/>
    </row>
    <row r="711" spans="1:1" x14ac:dyDescent="0.25">
      <c r="A711" s="1"/>
    </row>
    <row r="712" spans="1:1" x14ac:dyDescent="0.25">
      <c r="A712" s="1"/>
    </row>
    <row r="713" spans="1:1" x14ac:dyDescent="0.25">
      <c r="A713" s="1"/>
    </row>
    <row r="714" spans="1:1" x14ac:dyDescent="0.25">
      <c r="A714" s="1"/>
    </row>
    <row r="715" spans="1:1" x14ac:dyDescent="0.25">
      <c r="A715" s="1"/>
    </row>
    <row r="716" spans="1:1" x14ac:dyDescent="0.25">
      <c r="A716" s="1"/>
    </row>
    <row r="717" spans="1:1" x14ac:dyDescent="0.25">
      <c r="A717" s="1"/>
    </row>
    <row r="718" spans="1:1" x14ac:dyDescent="0.25">
      <c r="A718" s="1"/>
    </row>
    <row r="719" spans="1:1" x14ac:dyDescent="0.25">
      <c r="A719" s="1"/>
    </row>
    <row r="720" spans="1:1" x14ac:dyDescent="0.25">
      <c r="A720" s="1"/>
    </row>
    <row r="721" spans="1:1" x14ac:dyDescent="0.25">
      <c r="A721" s="1"/>
    </row>
    <row r="722" spans="1:1" x14ac:dyDescent="0.25">
      <c r="A722" s="1"/>
    </row>
    <row r="723" spans="1:1" x14ac:dyDescent="0.25">
      <c r="A723" s="1"/>
    </row>
    <row r="724" spans="1:1" x14ac:dyDescent="0.25">
      <c r="A724" s="1"/>
    </row>
    <row r="725" spans="1:1" x14ac:dyDescent="0.25">
      <c r="A725" s="1"/>
    </row>
    <row r="726" spans="1:1" x14ac:dyDescent="0.25">
      <c r="A726" s="1"/>
    </row>
    <row r="727" spans="1:1" x14ac:dyDescent="0.25">
      <c r="A727" s="1"/>
    </row>
    <row r="728" spans="1:1" x14ac:dyDescent="0.25">
      <c r="A728" s="1"/>
    </row>
    <row r="729" spans="1:1" x14ac:dyDescent="0.25">
      <c r="A729" s="1"/>
    </row>
    <row r="730" spans="1:1" x14ac:dyDescent="0.25">
      <c r="A730" s="1"/>
    </row>
    <row r="731" spans="1:1" x14ac:dyDescent="0.25">
      <c r="A731" s="1"/>
    </row>
    <row r="732" spans="1:1" x14ac:dyDescent="0.25">
      <c r="A732" s="1"/>
    </row>
    <row r="733" spans="1:1" x14ac:dyDescent="0.25">
      <c r="A733" s="1"/>
    </row>
    <row r="734" spans="1:1" x14ac:dyDescent="0.25">
      <c r="A734" s="1"/>
    </row>
    <row r="735" spans="1:1" x14ac:dyDescent="0.25">
      <c r="A735" s="1"/>
    </row>
    <row r="736" spans="1:1" x14ac:dyDescent="0.25">
      <c r="A736" s="1"/>
    </row>
    <row r="737" spans="1:1" x14ac:dyDescent="0.25">
      <c r="A737" s="1"/>
    </row>
    <row r="738" spans="1:1" x14ac:dyDescent="0.25">
      <c r="A738" s="1"/>
    </row>
    <row r="739" spans="1:1" x14ac:dyDescent="0.25">
      <c r="A739" s="1"/>
    </row>
    <row r="740" spans="1:1" x14ac:dyDescent="0.25">
      <c r="A740" s="1"/>
    </row>
    <row r="741" spans="1:1" x14ac:dyDescent="0.25">
      <c r="A741" s="1"/>
    </row>
    <row r="742" spans="1:1" x14ac:dyDescent="0.25">
      <c r="A742" s="1"/>
    </row>
    <row r="743" spans="1:1" x14ac:dyDescent="0.25">
      <c r="A743" s="1"/>
    </row>
    <row r="744" spans="1:1" x14ac:dyDescent="0.25">
      <c r="A744" s="1"/>
    </row>
    <row r="745" spans="1:1" x14ac:dyDescent="0.25">
      <c r="A745" s="1"/>
    </row>
    <row r="746" spans="1:1" x14ac:dyDescent="0.25">
      <c r="A746" s="1"/>
    </row>
    <row r="747" spans="1:1" x14ac:dyDescent="0.25">
      <c r="A747" s="1"/>
    </row>
    <row r="748" spans="1:1" x14ac:dyDescent="0.25">
      <c r="A748" s="1"/>
    </row>
    <row r="749" spans="1:1" x14ac:dyDescent="0.25">
      <c r="A749" s="1"/>
    </row>
    <row r="750" spans="1:1" x14ac:dyDescent="0.25">
      <c r="A750" s="1"/>
    </row>
    <row r="751" spans="1:1" x14ac:dyDescent="0.25">
      <c r="A751" s="1"/>
    </row>
    <row r="752" spans="1:1" x14ac:dyDescent="0.25">
      <c r="A752" s="1"/>
    </row>
    <row r="753" spans="1:1" x14ac:dyDescent="0.25">
      <c r="A753" s="1"/>
    </row>
    <row r="754" spans="1:1" x14ac:dyDescent="0.25">
      <c r="A754" s="1"/>
    </row>
    <row r="755" spans="1:1" x14ac:dyDescent="0.25">
      <c r="A755" s="1"/>
    </row>
    <row r="756" spans="1:1" x14ac:dyDescent="0.25">
      <c r="A756" s="1"/>
    </row>
    <row r="757" spans="1:1" x14ac:dyDescent="0.25">
      <c r="A757" s="1"/>
    </row>
    <row r="758" spans="1:1" x14ac:dyDescent="0.25">
      <c r="A758" s="1"/>
    </row>
    <row r="759" spans="1:1" x14ac:dyDescent="0.25">
      <c r="A759" s="1"/>
    </row>
    <row r="760" spans="1:1" x14ac:dyDescent="0.25">
      <c r="A760" s="1"/>
    </row>
    <row r="761" spans="1:1" x14ac:dyDescent="0.25">
      <c r="A761" s="1"/>
    </row>
    <row r="762" spans="1:1" x14ac:dyDescent="0.25">
      <c r="A762" s="1"/>
    </row>
    <row r="763" spans="1:1" x14ac:dyDescent="0.25">
      <c r="A763" s="1"/>
    </row>
    <row r="764" spans="1:1" x14ac:dyDescent="0.25">
      <c r="A764" s="1"/>
    </row>
    <row r="765" spans="1:1" x14ac:dyDescent="0.25">
      <c r="A765" s="1"/>
    </row>
    <row r="766" spans="1:1" x14ac:dyDescent="0.25">
      <c r="A766" s="1"/>
    </row>
    <row r="767" spans="1:1" x14ac:dyDescent="0.25">
      <c r="A767" s="1"/>
    </row>
    <row r="768" spans="1:1" x14ac:dyDescent="0.25">
      <c r="A768" s="1"/>
    </row>
    <row r="769" spans="1:1" x14ac:dyDescent="0.25">
      <c r="A769" s="1"/>
    </row>
    <row r="770" spans="1:1" x14ac:dyDescent="0.25">
      <c r="A770" s="1"/>
    </row>
    <row r="771" spans="1:1" x14ac:dyDescent="0.25">
      <c r="A771" s="1"/>
    </row>
    <row r="772" spans="1:1" x14ac:dyDescent="0.25">
      <c r="A772" s="1"/>
    </row>
    <row r="773" spans="1:1" x14ac:dyDescent="0.25">
      <c r="A773" s="1"/>
    </row>
    <row r="774" spans="1:1" x14ac:dyDescent="0.25">
      <c r="A774" s="1"/>
    </row>
    <row r="775" spans="1:1" x14ac:dyDescent="0.25">
      <c r="A775" s="1"/>
    </row>
    <row r="776" spans="1:1" x14ac:dyDescent="0.25">
      <c r="A776" s="1"/>
    </row>
    <row r="777" spans="1:1" x14ac:dyDescent="0.25">
      <c r="A777" s="1"/>
    </row>
    <row r="778" spans="1:1" x14ac:dyDescent="0.25">
      <c r="A778" s="1"/>
    </row>
    <row r="779" spans="1:1" x14ac:dyDescent="0.25">
      <c r="A779" s="1"/>
    </row>
    <row r="780" spans="1:1" x14ac:dyDescent="0.25">
      <c r="A780" s="1"/>
    </row>
    <row r="781" spans="1:1" x14ac:dyDescent="0.25">
      <c r="A781" s="1"/>
    </row>
    <row r="782" spans="1:1" x14ac:dyDescent="0.25">
      <c r="A782" s="1"/>
    </row>
    <row r="783" spans="1:1" x14ac:dyDescent="0.25">
      <c r="A783" s="1"/>
    </row>
    <row r="784" spans="1:1" x14ac:dyDescent="0.25">
      <c r="A784" s="1"/>
    </row>
    <row r="785" spans="1:1" x14ac:dyDescent="0.25">
      <c r="A785" s="1"/>
    </row>
    <row r="786" spans="1:1" x14ac:dyDescent="0.25">
      <c r="A786" s="1"/>
    </row>
    <row r="787" spans="1:1" x14ac:dyDescent="0.25">
      <c r="A787" s="1"/>
    </row>
    <row r="788" spans="1:1" x14ac:dyDescent="0.25">
      <c r="A788" s="1"/>
    </row>
    <row r="789" spans="1:1" x14ac:dyDescent="0.25">
      <c r="A789" s="1"/>
    </row>
    <row r="790" spans="1:1" x14ac:dyDescent="0.25">
      <c r="A790" s="1"/>
    </row>
    <row r="791" spans="1:1" x14ac:dyDescent="0.25">
      <c r="A791" s="1"/>
    </row>
    <row r="792" spans="1:1" x14ac:dyDescent="0.25">
      <c r="A792" s="1"/>
    </row>
    <row r="793" spans="1:1" x14ac:dyDescent="0.25">
      <c r="A793" s="1"/>
    </row>
    <row r="794" spans="1:1" x14ac:dyDescent="0.25">
      <c r="A794" s="1"/>
    </row>
    <row r="795" spans="1:1" x14ac:dyDescent="0.25">
      <c r="A795" s="1"/>
    </row>
    <row r="796" spans="1:1" x14ac:dyDescent="0.25">
      <c r="A796" s="1"/>
    </row>
    <row r="797" spans="1:1" x14ac:dyDescent="0.25">
      <c r="A797" s="1"/>
    </row>
    <row r="798" spans="1:1" x14ac:dyDescent="0.25">
      <c r="A798" s="1"/>
    </row>
    <row r="799" spans="1:1" x14ac:dyDescent="0.25">
      <c r="A799" s="1"/>
    </row>
    <row r="800" spans="1:1" x14ac:dyDescent="0.25">
      <c r="A800" s="1"/>
    </row>
    <row r="801" spans="1:1" x14ac:dyDescent="0.25">
      <c r="A801" s="1"/>
    </row>
    <row r="802" spans="1:1" x14ac:dyDescent="0.25">
      <c r="A802" s="1"/>
    </row>
    <row r="803" spans="1:1" x14ac:dyDescent="0.25">
      <c r="A803" s="1"/>
    </row>
    <row r="804" spans="1:1" x14ac:dyDescent="0.25">
      <c r="A804" s="1"/>
    </row>
    <row r="805" spans="1:1" x14ac:dyDescent="0.25">
      <c r="A805" s="1"/>
    </row>
    <row r="806" spans="1:1" x14ac:dyDescent="0.25">
      <c r="A806" s="1"/>
    </row>
    <row r="807" spans="1:1" x14ac:dyDescent="0.25">
      <c r="A807" s="1"/>
    </row>
    <row r="808" spans="1:1" x14ac:dyDescent="0.25">
      <c r="A808" s="1"/>
    </row>
    <row r="809" spans="1:1" x14ac:dyDescent="0.25">
      <c r="A809" s="1"/>
    </row>
    <row r="810" spans="1:1" x14ac:dyDescent="0.25">
      <c r="A810" s="1"/>
    </row>
    <row r="811" spans="1:1" x14ac:dyDescent="0.25">
      <c r="A811" s="1"/>
    </row>
    <row r="812" spans="1:1" x14ac:dyDescent="0.25">
      <c r="A812" s="1"/>
    </row>
    <row r="813" spans="1:1" x14ac:dyDescent="0.25">
      <c r="A813" s="1"/>
    </row>
    <row r="814" spans="1:1" x14ac:dyDescent="0.25">
      <c r="A814" s="1"/>
    </row>
    <row r="815" spans="1:1" x14ac:dyDescent="0.25">
      <c r="A815" s="1"/>
    </row>
    <row r="816" spans="1:1" x14ac:dyDescent="0.25">
      <c r="A816" s="1"/>
    </row>
    <row r="817" spans="1:1" x14ac:dyDescent="0.25">
      <c r="A817" s="1"/>
    </row>
    <row r="818" spans="1:1" x14ac:dyDescent="0.25">
      <c r="A818" s="1"/>
    </row>
    <row r="819" spans="1:1" x14ac:dyDescent="0.25">
      <c r="A819" s="1"/>
    </row>
    <row r="820" spans="1:1" x14ac:dyDescent="0.25">
      <c r="A820" s="1"/>
    </row>
    <row r="821" spans="1:1" x14ac:dyDescent="0.25">
      <c r="A821" s="1"/>
    </row>
    <row r="822" spans="1:1" x14ac:dyDescent="0.25">
      <c r="A822" s="1"/>
    </row>
    <row r="823" spans="1:1" x14ac:dyDescent="0.25">
      <c r="A823" s="1"/>
    </row>
    <row r="824" spans="1:1" x14ac:dyDescent="0.25">
      <c r="A824" s="1"/>
    </row>
    <row r="825" spans="1:1" x14ac:dyDescent="0.25">
      <c r="A825" s="1"/>
    </row>
    <row r="826" spans="1:1" x14ac:dyDescent="0.25">
      <c r="A826" s="1"/>
    </row>
    <row r="827" spans="1:1" x14ac:dyDescent="0.25">
      <c r="A827" s="1"/>
    </row>
    <row r="828" spans="1:1" x14ac:dyDescent="0.25">
      <c r="A828" s="1"/>
    </row>
    <row r="829" spans="1:1" x14ac:dyDescent="0.25">
      <c r="A829" s="1"/>
    </row>
    <row r="830" spans="1:1" x14ac:dyDescent="0.25">
      <c r="A830" s="1"/>
    </row>
    <row r="831" spans="1:1" x14ac:dyDescent="0.25">
      <c r="A831" s="1"/>
    </row>
    <row r="832" spans="1:1" x14ac:dyDescent="0.25">
      <c r="A832" s="1"/>
    </row>
    <row r="833" spans="1:1" x14ac:dyDescent="0.25">
      <c r="A833" s="1"/>
    </row>
    <row r="834" spans="1:1" x14ac:dyDescent="0.25">
      <c r="A834" s="1"/>
    </row>
    <row r="835" spans="1:1" x14ac:dyDescent="0.25">
      <c r="A835" s="1"/>
    </row>
    <row r="836" spans="1:1" x14ac:dyDescent="0.25">
      <c r="A836" s="1"/>
    </row>
    <row r="837" spans="1:1" x14ac:dyDescent="0.25">
      <c r="A837" s="1"/>
    </row>
    <row r="838" spans="1:1" x14ac:dyDescent="0.25">
      <c r="A838" s="1"/>
    </row>
    <row r="839" spans="1:1" x14ac:dyDescent="0.25">
      <c r="A839" s="1"/>
    </row>
    <row r="840" spans="1:1" x14ac:dyDescent="0.25">
      <c r="A840" s="1"/>
    </row>
    <row r="841" spans="1:1" x14ac:dyDescent="0.25">
      <c r="A841" s="1"/>
    </row>
    <row r="842" spans="1:1" x14ac:dyDescent="0.25">
      <c r="A842" s="1"/>
    </row>
    <row r="843" spans="1:1" x14ac:dyDescent="0.25">
      <c r="A843" s="1"/>
    </row>
    <row r="844" spans="1:1" x14ac:dyDescent="0.25">
      <c r="A844" s="1"/>
    </row>
    <row r="845" spans="1:1" x14ac:dyDescent="0.25">
      <c r="A845" s="1"/>
    </row>
    <row r="846" spans="1:1" x14ac:dyDescent="0.25">
      <c r="A846" s="1"/>
    </row>
    <row r="847" spans="1:1" x14ac:dyDescent="0.25">
      <c r="A847" s="1"/>
    </row>
    <row r="848" spans="1:1" x14ac:dyDescent="0.25">
      <c r="A848" s="1"/>
    </row>
    <row r="849" spans="1:1" x14ac:dyDescent="0.25">
      <c r="A849" s="1"/>
    </row>
    <row r="850" spans="1:1" x14ac:dyDescent="0.25">
      <c r="A850" s="1"/>
    </row>
    <row r="851" spans="1:1" x14ac:dyDescent="0.25">
      <c r="A851" s="1"/>
    </row>
    <row r="852" spans="1:1" x14ac:dyDescent="0.25">
      <c r="A852" s="1"/>
    </row>
    <row r="853" spans="1:1" x14ac:dyDescent="0.25">
      <c r="A853" s="1"/>
    </row>
    <row r="854" spans="1:1" x14ac:dyDescent="0.25">
      <c r="A854" s="1"/>
    </row>
    <row r="855" spans="1:1" x14ac:dyDescent="0.25">
      <c r="A855" s="1"/>
    </row>
    <row r="856" spans="1:1" x14ac:dyDescent="0.25">
      <c r="A856" s="1"/>
    </row>
    <row r="857" spans="1:1" x14ac:dyDescent="0.25">
      <c r="A857" s="1"/>
    </row>
    <row r="858" spans="1:1" x14ac:dyDescent="0.25">
      <c r="A858" s="1"/>
    </row>
    <row r="859" spans="1:1" x14ac:dyDescent="0.25">
      <c r="A859" s="1"/>
    </row>
    <row r="860" spans="1:1" x14ac:dyDescent="0.25">
      <c r="A860" s="1"/>
    </row>
    <row r="861" spans="1:1" x14ac:dyDescent="0.25">
      <c r="A861" s="1"/>
    </row>
    <row r="862" spans="1:1" x14ac:dyDescent="0.25">
      <c r="A862" s="1"/>
    </row>
    <row r="863" spans="1:1" x14ac:dyDescent="0.25">
      <c r="A863" s="1"/>
    </row>
    <row r="864" spans="1:1" x14ac:dyDescent="0.25">
      <c r="A864" s="1"/>
    </row>
    <row r="865" spans="1:1" x14ac:dyDescent="0.25">
      <c r="A865" s="1"/>
    </row>
    <row r="866" spans="1:1" x14ac:dyDescent="0.25">
      <c r="A866" s="1"/>
    </row>
    <row r="867" spans="1:1" x14ac:dyDescent="0.25">
      <c r="A867" s="1"/>
    </row>
    <row r="868" spans="1:1" x14ac:dyDescent="0.25">
      <c r="A868" s="1"/>
    </row>
    <row r="869" spans="1:1" x14ac:dyDescent="0.25">
      <c r="A869" s="1"/>
    </row>
    <row r="870" spans="1:1" x14ac:dyDescent="0.25">
      <c r="A870" s="1"/>
    </row>
    <row r="871" spans="1:1" x14ac:dyDescent="0.25">
      <c r="A871" s="1"/>
    </row>
    <row r="872" spans="1:1" x14ac:dyDescent="0.25">
      <c r="A872" s="1"/>
    </row>
    <row r="873" spans="1:1" x14ac:dyDescent="0.25">
      <c r="A873" s="1"/>
    </row>
    <row r="874" spans="1:1" x14ac:dyDescent="0.25">
      <c r="A874" s="1"/>
    </row>
    <row r="875" spans="1:1" x14ac:dyDescent="0.25">
      <c r="A875" s="1"/>
    </row>
    <row r="876" spans="1:1" x14ac:dyDescent="0.25">
      <c r="A876" s="1"/>
    </row>
    <row r="877" spans="1:1" x14ac:dyDescent="0.25">
      <c r="A877" s="1"/>
    </row>
    <row r="878" spans="1:1" x14ac:dyDescent="0.25">
      <c r="A878" s="1"/>
    </row>
    <row r="879" spans="1:1" x14ac:dyDescent="0.25">
      <c r="A879" s="1"/>
    </row>
    <row r="880" spans="1:1" x14ac:dyDescent="0.25">
      <c r="A880" s="1"/>
    </row>
    <row r="881" spans="1:1" x14ac:dyDescent="0.25">
      <c r="A881" s="1"/>
    </row>
    <row r="882" spans="1:1" x14ac:dyDescent="0.25">
      <c r="A882" s="1"/>
    </row>
    <row r="883" spans="1:1" x14ac:dyDescent="0.25">
      <c r="A883" s="1"/>
    </row>
    <row r="884" spans="1:1" x14ac:dyDescent="0.25">
      <c r="A884" s="1"/>
    </row>
    <row r="885" spans="1:1" x14ac:dyDescent="0.25">
      <c r="A885" s="1"/>
    </row>
    <row r="886" spans="1:1" x14ac:dyDescent="0.25">
      <c r="A886" s="1"/>
    </row>
    <row r="887" spans="1:1" x14ac:dyDescent="0.25">
      <c r="A887" s="1"/>
    </row>
    <row r="888" spans="1:1" x14ac:dyDescent="0.25">
      <c r="A888" s="1"/>
    </row>
    <row r="889" spans="1:1" x14ac:dyDescent="0.25">
      <c r="A889" s="1"/>
    </row>
    <row r="890" spans="1:1" x14ac:dyDescent="0.25">
      <c r="A890" s="1"/>
    </row>
    <row r="891" spans="1:1" x14ac:dyDescent="0.25">
      <c r="A891" s="1"/>
    </row>
    <row r="892" spans="1:1" x14ac:dyDescent="0.25">
      <c r="A892" s="1"/>
    </row>
    <row r="893" spans="1:1" x14ac:dyDescent="0.25">
      <c r="A893" s="1"/>
    </row>
    <row r="894" spans="1:1" x14ac:dyDescent="0.25">
      <c r="A894" s="1"/>
    </row>
    <row r="895" spans="1:1" x14ac:dyDescent="0.25">
      <c r="A895" s="1"/>
    </row>
    <row r="896" spans="1:1" x14ac:dyDescent="0.25">
      <c r="A896" s="1"/>
    </row>
    <row r="897" spans="1:1" x14ac:dyDescent="0.25">
      <c r="A897" s="1"/>
    </row>
    <row r="898" spans="1:1" x14ac:dyDescent="0.25">
      <c r="A898" s="1"/>
    </row>
    <row r="899" spans="1:1" x14ac:dyDescent="0.25">
      <c r="A899" s="1"/>
    </row>
    <row r="900" spans="1:1" x14ac:dyDescent="0.25">
      <c r="A900" s="1"/>
    </row>
    <row r="901" spans="1:1" x14ac:dyDescent="0.25">
      <c r="A901" s="1"/>
    </row>
    <row r="902" spans="1:1" x14ac:dyDescent="0.25">
      <c r="A902" s="1"/>
    </row>
    <row r="903" spans="1:1" x14ac:dyDescent="0.25">
      <c r="A903" s="1"/>
    </row>
    <row r="904" spans="1:1" x14ac:dyDescent="0.25">
      <c r="A904" s="1"/>
    </row>
    <row r="905" spans="1:1" x14ac:dyDescent="0.25">
      <c r="A905" s="1"/>
    </row>
    <row r="906" spans="1:1" x14ac:dyDescent="0.25">
      <c r="A906" s="1"/>
    </row>
    <row r="907" spans="1:1" x14ac:dyDescent="0.25">
      <c r="A907" s="1"/>
    </row>
    <row r="908" spans="1:1" x14ac:dyDescent="0.25">
      <c r="A908" s="1"/>
    </row>
    <row r="909" spans="1:1" x14ac:dyDescent="0.25">
      <c r="A909" s="1"/>
    </row>
    <row r="910" spans="1:1" x14ac:dyDescent="0.25">
      <c r="A910" s="1"/>
    </row>
    <row r="911" spans="1:1" x14ac:dyDescent="0.25">
      <c r="A911" s="1"/>
    </row>
    <row r="912" spans="1:1" x14ac:dyDescent="0.25">
      <c r="A912" s="1"/>
    </row>
    <row r="913" spans="1:1" x14ac:dyDescent="0.25">
      <c r="A913" s="1"/>
    </row>
    <row r="914" spans="1:1" x14ac:dyDescent="0.25">
      <c r="A914" s="1"/>
    </row>
    <row r="915" spans="1:1" x14ac:dyDescent="0.25">
      <c r="A915" s="1"/>
    </row>
    <row r="916" spans="1:1" x14ac:dyDescent="0.25">
      <c r="A916" s="1"/>
    </row>
    <row r="917" spans="1:1" x14ac:dyDescent="0.25">
      <c r="A917" s="1"/>
    </row>
    <row r="918" spans="1:1" x14ac:dyDescent="0.25">
      <c r="A918" s="1"/>
    </row>
    <row r="919" spans="1:1" x14ac:dyDescent="0.25">
      <c r="A919" s="1"/>
    </row>
    <row r="920" spans="1:1" x14ac:dyDescent="0.25">
      <c r="A920" s="1"/>
    </row>
    <row r="921" spans="1:1" x14ac:dyDescent="0.25">
      <c r="A921" s="1"/>
    </row>
    <row r="922" spans="1:1" x14ac:dyDescent="0.25">
      <c r="A922" s="1"/>
    </row>
    <row r="923" spans="1:1" x14ac:dyDescent="0.25">
      <c r="A923" s="1"/>
    </row>
    <row r="924" spans="1:1" x14ac:dyDescent="0.25">
      <c r="A924" s="1"/>
    </row>
    <row r="925" spans="1:1" x14ac:dyDescent="0.25">
      <c r="A925" s="1"/>
    </row>
    <row r="926" spans="1:1" x14ac:dyDescent="0.25">
      <c r="A926" s="1"/>
    </row>
    <row r="927" spans="1:1" x14ac:dyDescent="0.25">
      <c r="A927" s="1"/>
    </row>
    <row r="928" spans="1:1" x14ac:dyDescent="0.25">
      <c r="A928" s="1"/>
    </row>
    <row r="929" spans="1:1" x14ac:dyDescent="0.25">
      <c r="A929" s="1"/>
    </row>
    <row r="930" spans="1:1" x14ac:dyDescent="0.25">
      <c r="A930" s="1"/>
    </row>
    <row r="931" spans="1:1" x14ac:dyDescent="0.25">
      <c r="A931" s="1"/>
    </row>
    <row r="932" spans="1:1" x14ac:dyDescent="0.25">
      <c r="A932" s="1"/>
    </row>
    <row r="933" spans="1:1" x14ac:dyDescent="0.25">
      <c r="A933" s="1"/>
    </row>
    <row r="934" spans="1:1" x14ac:dyDescent="0.25">
      <c r="A934" s="1"/>
    </row>
    <row r="935" spans="1:1" x14ac:dyDescent="0.25">
      <c r="A935" s="1"/>
    </row>
    <row r="936" spans="1:1" x14ac:dyDescent="0.25">
      <c r="A936" s="1"/>
    </row>
    <row r="937" spans="1:1" x14ac:dyDescent="0.25">
      <c r="A937" s="1"/>
    </row>
    <row r="938" spans="1:1" x14ac:dyDescent="0.25">
      <c r="A938" s="1"/>
    </row>
    <row r="939" spans="1:1" x14ac:dyDescent="0.25">
      <c r="A939" s="1"/>
    </row>
    <row r="940" spans="1:1" x14ac:dyDescent="0.25">
      <c r="A940" s="1"/>
    </row>
    <row r="941" spans="1:1" x14ac:dyDescent="0.25">
      <c r="A941" s="1"/>
    </row>
    <row r="942" spans="1:1" x14ac:dyDescent="0.25">
      <c r="A942" s="1"/>
    </row>
    <row r="943" spans="1:1" x14ac:dyDescent="0.25">
      <c r="A943" s="1"/>
    </row>
    <row r="944" spans="1:1" x14ac:dyDescent="0.25">
      <c r="A944" s="1"/>
    </row>
    <row r="945" spans="1:1" x14ac:dyDescent="0.25">
      <c r="A945" s="1"/>
    </row>
    <row r="946" spans="1:1" x14ac:dyDescent="0.25">
      <c r="A946" s="1"/>
    </row>
    <row r="947" spans="1:1" x14ac:dyDescent="0.25">
      <c r="A947" s="1"/>
    </row>
    <row r="948" spans="1:1" x14ac:dyDescent="0.25">
      <c r="A948" s="1"/>
    </row>
    <row r="949" spans="1:1" x14ac:dyDescent="0.25">
      <c r="A949" s="1"/>
    </row>
    <row r="950" spans="1:1" x14ac:dyDescent="0.25">
      <c r="A950" s="1"/>
    </row>
    <row r="951" spans="1:1" x14ac:dyDescent="0.25">
      <c r="A951" s="1"/>
    </row>
    <row r="952" spans="1:1" x14ac:dyDescent="0.25">
      <c r="A952" s="1"/>
    </row>
    <row r="953" spans="1:1" x14ac:dyDescent="0.25">
      <c r="A953" s="1"/>
    </row>
    <row r="954" spans="1:1" x14ac:dyDescent="0.25">
      <c r="A954" s="1"/>
    </row>
    <row r="955" spans="1:1" x14ac:dyDescent="0.25">
      <c r="A955" s="1"/>
    </row>
    <row r="956" spans="1:1" x14ac:dyDescent="0.25">
      <c r="A956" s="1"/>
    </row>
    <row r="957" spans="1:1" x14ac:dyDescent="0.25">
      <c r="A957" s="1"/>
    </row>
    <row r="958" spans="1:1" x14ac:dyDescent="0.25">
      <c r="A958" s="1"/>
    </row>
    <row r="959" spans="1:1" x14ac:dyDescent="0.25">
      <c r="A959" s="1"/>
    </row>
    <row r="960" spans="1:1" x14ac:dyDescent="0.25">
      <c r="A960" s="1"/>
    </row>
    <row r="961" spans="1:1" x14ac:dyDescent="0.25">
      <c r="A961" s="1"/>
    </row>
    <row r="962" spans="1:1" x14ac:dyDescent="0.25">
      <c r="A962" s="1"/>
    </row>
    <row r="963" spans="1:1" x14ac:dyDescent="0.25">
      <c r="A963" s="1"/>
    </row>
    <row r="964" spans="1:1" x14ac:dyDescent="0.25">
      <c r="A964" s="1"/>
    </row>
    <row r="965" spans="1:1" x14ac:dyDescent="0.25">
      <c r="A965" s="1"/>
    </row>
    <row r="966" spans="1:1" x14ac:dyDescent="0.25">
      <c r="A966" s="1"/>
    </row>
    <row r="967" spans="1:1" x14ac:dyDescent="0.25">
      <c r="A967" s="1"/>
    </row>
    <row r="968" spans="1:1" x14ac:dyDescent="0.25">
      <c r="A968" s="1"/>
    </row>
    <row r="969" spans="1:1" x14ac:dyDescent="0.25">
      <c r="A969" s="1"/>
    </row>
    <row r="970" spans="1:1" x14ac:dyDescent="0.25">
      <c r="A970" s="1"/>
    </row>
    <row r="971" spans="1:1" x14ac:dyDescent="0.25">
      <c r="A971" s="1"/>
    </row>
    <row r="972" spans="1:1" x14ac:dyDescent="0.25">
      <c r="A972" s="1"/>
    </row>
    <row r="973" spans="1:1" x14ac:dyDescent="0.25">
      <c r="A973" s="1"/>
    </row>
    <row r="974" spans="1:1" x14ac:dyDescent="0.25">
      <c r="A974" s="1"/>
    </row>
    <row r="975" spans="1:1" x14ac:dyDescent="0.25">
      <c r="A975" s="1"/>
    </row>
    <row r="976" spans="1:1" x14ac:dyDescent="0.25">
      <c r="A976" s="1"/>
    </row>
    <row r="977" spans="1:1" x14ac:dyDescent="0.25">
      <c r="A977" s="1"/>
    </row>
    <row r="978" spans="1:1" x14ac:dyDescent="0.25">
      <c r="A978" s="1"/>
    </row>
    <row r="979" spans="1:1" x14ac:dyDescent="0.25">
      <c r="A979" s="1"/>
    </row>
    <row r="980" spans="1:1" x14ac:dyDescent="0.25">
      <c r="A980" s="1"/>
    </row>
    <row r="981" spans="1:1" x14ac:dyDescent="0.25">
      <c r="A981" s="1"/>
    </row>
    <row r="982" spans="1:1" x14ac:dyDescent="0.25">
      <c r="A982" s="1"/>
    </row>
    <row r="983" spans="1:1" x14ac:dyDescent="0.25">
      <c r="A983" s="1"/>
    </row>
    <row r="984" spans="1:1" x14ac:dyDescent="0.25">
      <c r="A984" s="1"/>
    </row>
    <row r="985" spans="1:1" x14ac:dyDescent="0.25">
      <c r="A985" s="1"/>
    </row>
    <row r="986" spans="1:1" x14ac:dyDescent="0.25">
      <c r="A986" s="1"/>
    </row>
    <row r="987" spans="1:1" x14ac:dyDescent="0.25">
      <c r="A987" s="1"/>
    </row>
    <row r="988" spans="1:1" x14ac:dyDescent="0.25">
      <c r="A988" s="1"/>
    </row>
    <row r="989" spans="1:1" x14ac:dyDescent="0.25">
      <c r="A989" s="1"/>
    </row>
    <row r="990" spans="1:1" x14ac:dyDescent="0.25">
      <c r="A990" s="1"/>
    </row>
    <row r="991" spans="1:1" x14ac:dyDescent="0.25">
      <c r="A991" s="1"/>
    </row>
    <row r="992" spans="1:1" x14ac:dyDescent="0.25">
      <c r="A992" s="1"/>
    </row>
    <row r="993" spans="1:1" x14ac:dyDescent="0.25">
      <c r="A993" s="1"/>
    </row>
    <row r="994" spans="1:1" x14ac:dyDescent="0.25">
      <c r="A994" s="1"/>
    </row>
    <row r="995" spans="1:1" x14ac:dyDescent="0.25">
      <c r="A995" s="1"/>
    </row>
    <row r="996" spans="1:1" x14ac:dyDescent="0.25">
      <c r="A996" s="1"/>
    </row>
    <row r="997" spans="1:1" x14ac:dyDescent="0.25">
      <c r="A997" s="1"/>
    </row>
    <row r="998" spans="1:1" x14ac:dyDescent="0.25">
      <c r="A998" s="1"/>
    </row>
    <row r="999" spans="1:1" x14ac:dyDescent="0.25">
      <c r="A999" s="1"/>
    </row>
    <row r="1000" spans="1:1" x14ac:dyDescent="0.25">
      <c r="A1000" s="1"/>
    </row>
  </sheetData>
  <sheetProtection algorithmName="SHA-512" hashValue="zqDX9B9gsxXAiM31X4gXGzFHew5zDXcEWctacgiCKspj9rJAHQgjxfx1XbgGRpDEEiUnjLM1NEBTPtCUOehqGQ==" saltValue="uEQjskHTqvbjPILEvBZ7wA==" spinCount="100000" sheet="1" objects="1" scenarios="1"/>
  <conditionalFormatting sqref="B2:V43">
    <cfRule type="colorScale" priority="2">
      <colorScale>
        <cfvo type="min"/>
        <cfvo type="percentile" val="50"/>
        <cfvo type="max"/>
        <color rgb="FF5A8AC6"/>
        <color rgb="FFFCFCFF"/>
        <color rgb="FFF8696B"/>
      </colorScale>
    </cfRule>
  </conditionalFormatting>
  <conditionalFormatting sqref="Y2:AS43">
    <cfRule type="colorScale" priority="1">
      <colorScale>
        <cfvo type="min"/>
        <cfvo type="percentile" val="50"/>
        <cfvo type="max"/>
        <color rgb="FF5A8AC6"/>
        <color rgb="FFFCFCFF"/>
        <color rgb="FFF8696B"/>
      </colorScale>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outlinePr summaryBelow="0" summaryRight="0"/>
  </sheetPr>
  <dimension ref="A1:AB1000"/>
  <sheetViews>
    <sheetView zoomScale="70" zoomScaleNormal="70" workbookViewId="0">
      <selection activeCell="B2" sqref="B2"/>
    </sheetView>
  </sheetViews>
  <sheetFormatPr defaultColWidth="12.5546875" defaultRowHeight="13.2" x14ac:dyDescent="0.25"/>
  <cols>
    <col min="1" max="1" width="6.6640625" style="2" bestFit="1" customWidth="1"/>
    <col min="2" max="24" width="4.6640625" style="2" customWidth="1"/>
    <col min="25" max="16384" width="12.5546875" style="2"/>
  </cols>
  <sheetData>
    <row r="1" spans="1:28" x14ac:dyDescent="0.25">
      <c r="A1" s="3"/>
      <c r="B1" s="4">
        <v>0</v>
      </c>
      <c r="C1" s="4">
        <v>0.6</v>
      </c>
      <c r="D1" s="4">
        <v>1.2</v>
      </c>
      <c r="E1" s="4">
        <v>1.9</v>
      </c>
      <c r="F1" s="4">
        <v>2.5</v>
      </c>
      <c r="G1" s="4">
        <v>3.1</v>
      </c>
      <c r="H1" s="4">
        <v>3.7</v>
      </c>
      <c r="I1" s="4">
        <v>4.4000000000000004</v>
      </c>
      <c r="J1" s="4">
        <v>5.6</v>
      </c>
      <c r="K1" s="4">
        <v>6.8</v>
      </c>
      <c r="L1" s="4">
        <v>8.1</v>
      </c>
      <c r="M1" s="4">
        <v>9.3000000000000007</v>
      </c>
      <c r="N1" s="4">
        <v>10.6</v>
      </c>
      <c r="O1" s="4">
        <v>15.5</v>
      </c>
      <c r="P1" s="4">
        <v>20.5</v>
      </c>
      <c r="Q1" s="4">
        <v>25.5</v>
      </c>
      <c r="R1" s="4">
        <v>30.5</v>
      </c>
      <c r="S1" s="4">
        <v>40.4</v>
      </c>
      <c r="T1" s="4">
        <v>50.4</v>
      </c>
      <c r="U1" s="4">
        <v>60.3</v>
      </c>
      <c r="V1" s="4">
        <v>70.3</v>
      </c>
      <c r="W1" s="4">
        <v>90.2</v>
      </c>
      <c r="X1" s="5">
        <v>100</v>
      </c>
      <c r="Y1" s="1"/>
      <c r="Z1" s="69" t="s">
        <v>19</v>
      </c>
      <c r="AA1" s="70"/>
      <c r="AB1" s="71"/>
    </row>
    <row r="2" spans="1:28" x14ac:dyDescent="0.25">
      <c r="A2" s="6">
        <v>800</v>
      </c>
      <c r="B2" s="8">
        <v>46</v>
      </c>
      <c r="C2" s="8">
        <v>47</v>
      </c>
      <c r="D2" s="8">
        <v>71</v>
      </c>
      <c r="E2" s="8">
        <v>82</v>
      </c>
      <c r="F2" s="8">
        <v>92</v>
      </c>
      <c r="G2" s="8">
        <v>96</v>
      </c>
      <c r="H2" s="8">
        <v>104</v>
      </c>
      <c r="I2" s="8">
        <v>107</v>
      </c>
      <c r="J2" s="8">
        <v>117</v>
      </c>
      <c r="K2" s="8">
        <v>126</v>
      </c>
      <c r="L2" s="8">
        <v>129</v>
      </c>
      <c r="M2" s="8">
        <v>135</v>
      </c>
      <c r="N2" s="8">
        <v>135</v>
      </c>
      <c r="O2" s="8">
        <v>138</v>
      </c>
      <c r="P2" s="8">
        <v>142</v>
      </c>
      <c r="Q2" s="8">
        <v>147</v>
      </c>
      <c r="R2" s="8">
        <v>148</v>
      </c>
      <c r="S2" s="8">
        <v>151</v>
      </c>
      <c r="T2" s="8">
        <v>151</v>
      </c>
      <c r="U2" s="8">
        <v>152</v>
      </c>
      <c r="V2" s="8">
        <v>156</v>
      </c>
      <c r="W2" s="8">
        <v>159</v>
      </c>
      <c r="X2" s="9">
        <v>159</v>
      </c>
      <c r="Z2" s="72"/>
      <c r="AA2" s="73"/>
      <c r="AB2" s="74"/>
    </row>
    <row r="3" spans="1:28" ht="13.8" thickBot="1" x14ac:dyDescent="0.3">
      <c r="A3" s="6">
        <v>1000</v>
      </c>
      <c r="B3" s="8">
        <v>46</v>
      </c>
      <c r="C3" s="8">
        <v>47</v>
      </c>
      <c r="D3" s="8">
        <v>71</v>
      </c>
      <c r="E3" s="8">
        <v>82</v>
      </c>
      <c r="F3" s="8">
        <v>92</v>
      </c>
      <c r="G3" s="8">
        <v>96</v>
      </c>
      <c r="H3" s="8">
        <v>104</v>
      </c>
      <c r="I3" s="8">
        <v>107</v>
      </c>
      <c r="J3" s="8">
        <v>117</v>
      </c>
      <c r="K3" s="8">
        <v>126</v>
      </c>
      <c r="L3" s="8">
        <v>129</v>
      </c>
      <c r="M3" s="8">
        <v>135</v>
      </c>
      <c r="N3" s="8">
        <v>135</v>
      </c>
      <c r="O3" s="8">
        <v>138</v>
      </c>
      <c r="P3" s="8">
        <v>142</v>
      </c>
      <c r="Q3" s="8">
        <v>147</v>
      </c>
      <c r="R3" s="8">
        <v>148</v>
      </c>
      <c r="S3" s="8">
        <v>151</v>
      </c>
      <c r="T3" s="8">
        <v>151</v>
      </c>
      <c r="U3" s="8">
        <v>152</v>
      </c>
      <c r="V3" s="8">
        <v>156</v>
      </c>
      <c r="W3" s="8">
        <v>159</v>
      </c>
      <c r="X3" s="9">
        <v>159</v>
      </c>
      <c r="Z3" s="75"/>
      <c r="AA3" s="76"/>
      <c r="AB3" s="77"/>
    </row>
    <row r="4" spans="1:28" x14ac:dyDescent="0.25">
      <c r="A4" s="6">
        <v>1200</v>
      </c>
      <c r="B4" s="8">
        <v>42</v>
      </c>
      <c r="C4" s="8">
        <v>41</v>
      </c>
      <c r="D4" s="8">
        <v>64</v>
      </c>
      <c r="E4" s="8">
        <v>78</v>
      </c>
      <c r="F4" s="8">
        <v>84</v>
      </c>
      <c r="G4" s="8">
        <v>90</v>
      </c>
      <c r="H4" s="8">
        <v>94</v>
      </c>
      <c r="I4" s="8">
        <v>97</v>
      </c>
      <c r="J4" s="8">
        <v>107</v>
      </c>
      <c r="K4" s="8">
        <v>112</v>
      </c>
      <c r="L4" s="8">
        <v>119</v>
      </c>
      <c r="M4" s="8">
        <v>126</v>
      </c>
      <c r="N4" s="8">
        <v>131</v>
      </c>
      <c r="O4" s="8">
        <v>140</v>
      </c>
      <c r="P4" s="8">
        <v>140</v>
      </c>
      <c r="Q4" s="8">
        <v>140</v>
      </c>
      <c r="R4" s="8">
        <v>135</v>
      </c>
      <c r="S4" s="8">
        <v>134</v>
      </c>
      <c r="T4" s="8">
        <v>135</v>
      </c>
      <c r="U4" s="8">
        <v>136</v>
      </c>
      <c r="V4" s="8">
        <v>141</v>
      </c>
      <c r="W4" s="8">
        <v>142</v>
      </c>
      <c r="X4" s="9">
        <v>147</v>
      </c>
      <c r="Z4" s="22"/>
      <c r="AA4" s="22"/>
      <c r="AB4" s="22"/>
    </row>
    <row r="5" spans="1:28" x14ac:dyDescent="0.25">
      <c r="A5" s="6">
        <v>1400</v>
      </c>
      <c r="B5" s="8">
        <v>41</v>
      </c>
      <c r="C5" s="8">
        <v>39</v>
      </c>
      <c r="D5" s="8">
        <v>51</v>
      </c>
      <c r="E5" s="8">
        <v>72</v>
      </c>
      <c r="F5" s="8">
        <v>79</v>
      </c>
      <c r="G5" s="8">
        <v>84</v>
      </c>
      <c r="H5" s="8">
        <v>87</v>
      </c>
      <c r="I5" s="8">
        <v>91</v>
      </c>
      <c r="J5" s="8">
        <v>98</v>
      </c>
      <c r="K5" s="8">
        <v>104</v>
      </c>
      <c r="L5" s="8">
        <v>112</v>
      </c>
      <c r="M5" s="8">
        <v>116</v>
      </c>
      <c r="N5" s="8">
        <v>122</v>
      </c>
      <c r="O5" s="8">
        <v>134</v>
      </c>
      <c r="P5" s="8">
        <v>139</v>
      </c>
      <c r="Q5" s="8">
        <v>139</v>
      </c>
      <c r="R5" s="8">
        <v>139</v>
      </c>
      <c r="S5" s="8">
        <v>139</v>
      </c>
      <c r="T5" s="8">
        <v>139</v>
      </c>
      <c r="U5" s="8">
        <v>140</v>
      </c>
      <c r="V5" s="8">
        <v>140</v>
      </c>
      <c r="W5" s="8">
        <v>140</v>
      </c>
      <c r="X5" s="9">
        <v>140</v>
      </c>
      <c r="Z5" s="22"/>
      <c r="AA5" s="22"/>
      <c r="AB5" s="22"/>
    </row>
    <row r="6" spans="1:28" x14ac:dyDescent="0.25">
      <c r="A6" s="6">
        <v>1600</v>
      </c>
      <c r="B6" s="8">
        <v>41</v>
      </c>
      <c r="C6" s="8">
        <v>39</v>
      </c>
      <c r="D6" s="8">
        <v>49</v>
      </c>
      <c r="E6" s="8">
        <v>63</v>
      </c>
      <c r="F6" s="8">
        <v>71</v>
      </c>
      <c r="G6" s="8">
        <v>80</v>
      </c>
      <c r="H6" s="8">
        <v>84</v>
      </c>
      <c r="I6" s="8">
        <v>86</v>
      </c>
      <c r="J6" s="8">
        <v>92</v>
      </c>
      <c r="K6" s="8">
        <v>99</v>
      </c>
      <c r="L6" s="8">
        <v>104</v>
      </c>
      <c r="M6" s="8">
        <v>109</v>
      </c>
      <c r="N6" s="8">
        <v>116</v>
      </c>
      <c r="O6" s="8">
        <v>134</v>
      </c>
      <c r="P6" s="8">
        <v>138</v>
      </c>
      <c r="Q6" s="8">
        <v>140</v>
      </c>
      <c r="R6" s="8">
        <v>140</v>
      </c>
      <c r="S6" s="8">
        <v>140</v>
      </c>
      <c r="T6" s="8">
        <v>140</v>
      </c>
      <c r="U6" s="8">
        <v>140</v>
      </c>
      <c r="V6" s="8">
        <v>140</v>
      </c>
      <c r="W6" s="8">
        <v>142</v>
      </c>
      <c r="X6" s="9">
        <v>142</v>
      </c>
      <c r="Z6" s="22"/>
      <c r="AA6" s="22"/>
      <c r="AB6" s="22"/>
    </row>
    <row r="7" spans="1:28" x14ac:dyDescent="0.25">
      <c r="A7" s="6">
        <v>1800</v>
      </c>
      <c r="B7" s="8">
        <v>40</v>
      </c>
      <c r="C7" s="8">
        <v>37</v>
      </c>
      <c r="D7" s="8">
        <v>44</v>
      </c>
      <c r="E7" s="8">
        <v>59</v>
      </c>
      <c r="F7" s="8">
        <v>68</v>
      </c>
      <c r="G7" s="8">
        <v>76</v>
      </c>
      <c r="H7" s="8">
        <v>82</v>
      </c>
      <c r="I7" s="8">
        <v>85</v>
      </c>
      <c r="J7" s="8">
        <v>91</v>
      </c>
      <c r="K7" s="8">
        <v>97</v>
      </c>
      <c r="L7" s="8">
        <v>103</v>
      </c>
      <c r="M7" s="8">
        <v>108</v>
      </c>
      <c r="N7" s="8">
        <v>114</v>
      </c>
      <c r="O7" s="8">
        <v>133</v>
      </c>
      <c r="P7" s="8">
        <v>142</v>
      </c>
      <c r="Q7" s="8">
        <v>145</v>
      </c>
      <c r="R7" s="8">
        <v>146</v>
      </c>
      <c r="S7" s="8">
        <v>146</v>
      </c>
      <c r="T7" s="8">
        <v>146</v>
      </c>
      <c r="U7" s="8">
        <v>148</v>
      </c>
      <c r="V7" s="8">
        <v>148</v>
      </c>
      <c r="W7" s="8">
        <v>151</v>
      </c>
      <c r="X7" s="9">
        <v>159</v>
      </c>
    </row>
    <row r="8" spans="1:28" x14ac:dyDescent="0.25">
      <c r="A8" s="6">
        <v>2000</v>
      </c>
      <c r="B8" s="8">
        <v>36</v>
      </c>
      <c r="C8" s="8">
        <v>36</v>
      </c>
      <c r="D8" s="8">
        <v>41</v>
      </c>
      <c r="E8" s="8">
        <v>52</v>
      </c>
      <c r="F8" s="8">
        <v>64</v>
      </c>
      <c r="G8" s="8">
        <v>74</v>
      </c>
      <c r="H8" s="8">
        <v>81</v>
      </c>
      <c r="I8" s="8">
        <v>84</v>
      </c>
      <c r="J8" s="8">
        <v>91</v>
      </c>
      <c r="K8" s="8">
        <v>96</v>
      </c>
      <c r="L8" s="8">
        <v>102</v>
      </c>
      <c r="M8" s="8">
        <v>107</v>
      </c>
      <c r="N8" s="8">
        <v>113</v>
      </c>
      <c r="O8" s="8">
        <v>133</v>
      </c>
      <c r="P8" s="8">
        <v>143</v>
      </c>
      <c r="Q8" s="8">
        <v>150</v>
      </c>
      <c r="R8" s="8">
        <v>152</v>
      </c>
      <c r="S8" s="8">
        <v>152</v>
      </c>
      <c r="T8" s="8">
        <v>153</v>
      </c>
      <c r="U8" s="8">
        <v>153</v>
      </c>
      <c r="V8" s="8">
        <v>153</v>
      </c>
      <c r="W8" s="8">
        <v>154</v>
      </c>
      <c r="X8" s="9">
        <v>168</v>
      </c>
    </row>
    <row r="9" spans="1:28" x14ac:dyDescent="0.25">
      <c r="A9" s="6">
        <v>2200</v>
      </c>
      <c r="B9" s="8">
        <v>34</v>
      </c>
      <c r="C9" s="8">
        <v>34</v>
      </c>
      <c r="D9" s="8">
        <v>41</v>
      </c>
      <c r="E9" s="8">
        <v>47</v>
      </c>
      <c r="F9" s="8">
        <v>61</v>
      </c>
      <c r="G9" s="8">
        <v>69</v>
      </c>
      <c r="H9" s="8">
        <v>75</v>
      </c>
      <c r="I9" s="8">
        <v>79</v>
      </c>
      <c r="J9" s="8">
        <v>87</v>
      </c>
      <c r="K9" s="8">
        <v>91</v>
      </c>
      <c r="L9" s="8">
        <v>97</v>
      </c>
      <c r="M9" s="8">
        <v>102</v>
      </c>
      <c r="N9" s="8">
        <v>108</v>
      </c>
      <c r="O9" s="8">
        <v>123</v>
      </c>
      <c r="P9" s="8">
        <v>133</v>
      </c>
      <c r="Q9" s="8">
        <v>141</v>
      </c>
      <c r="R9" s="8">
        <v>145</v>
      </c>
      <c r="S9" s="8">
        <v>146</v>
      </c>
      <c r="T9" s="8">
        <v>146</v>
      </c>
      <c r="U9" s="8">
        <v>147</v>
      </c>
      <c r="V9" s="8">
        <v>148</v>
      </c>
      <c r="W9" s="8">
        <v>150</v>
      </c>
      <c r="X9" s="9">
        <v>159</v>
      </c>
    </row>
    <row r="10" spans="1:28" x14ac:dyDescent="0.25">
      <c r="A10" s="6">
        <v>2400</v>
      </c>
      <c r="B10" s="8">
        <v>32</v>
      </c>
      <c r="C10" s="8">
        <v>32</v>
      </c>
      <c r="D10" s="8">
        <v>40</v>
      </c>
      <c r="E10" s="8">
        <v>45</v>
      </c>
      <c r="F10" s="8">
        <v>58</v>
      </c>
      <c r="G10" s="8">
        <v>65</v>
      </c>
      <c r="H10" s="8">
        <v>70</v>
      </c>
      <c r="I10" s="8">
        <v>72</v>
      </c>
      <c r="J10" s="8">
        <v>82</v>
      </c>
      <c r="K10" s="8">
        <v>87</v>
      </c>
      <c r="L10" s="8">
        <v>91</v>
      </c>
      <c r="M10" s="8">
        <v>96</v>
      </c>
      <c r="N10" s="8">
        <v>99</v>
      </c>
      <c r="O10" s="8">
        <v>113</v>
      </c>
      <c r="P10" s="8">
        <v>124</v>
      </c>
      <c r="Q10" s="8">
        <v>134</v>
      </c>
      <c r="R10" s="8">
        <v>139</v>
      </c>
      <c r="S10" s="8">
        <v>140</v>
      </c>
      <c r="T10" s="8">
        <v>141</v>
      </c>
      <c r="U10" s="8">
        <v>142</v>
      </c>
      <c r="V10" s="8">
        <v>143</v>
      </c>
      <c r="W10" s="8">
        <v>146</v>
      </c>
      <c r="X10" s="9">
        <v>155</v>
      </c>
    </row>
    <row r="11" spans="1:28" x14ac:dyDescent="0.25">
      <c r="A11" s="6">
        <v>2600</v>
      </c>
      <c r="B11" s="8">
        <v>32</v>
      </c>
      <c r="C11" s="8">
        <v>32</v>
      </c>
      <c r="D11" s="8">
        <v>37</v>
      </c>
      <c r="E11" s="8">
        <v>42</v>
      </c>
      <c r="F11" s="8">
        <v>54</v>
      </c>
      <c r="G11" s="8">
        <v>60</v>
      </c>
      <c r="H11" s="8">
        <v>66</v>
      </c>
      <c r="I11" s="8">
        <v>70</v>
      </c>
      <c r="J11" s="8">
        <v>78</v>
      </c>
      <c r="K11" s="8">
        <v>82</v>
      </c>
      <c r="L11" s="8">
        <v>88</v>
      </c>
      <c r="M11" s="8">
        <v>92</v>
      </c>
      <c r="N11" s="8">
        <v>97</v>
      </c>
      <c r="O11" s="8">
        <v>109</v>
      </c>
      <c r="P11" s="8">
        <v>122</v>
      </c>
      <c r="Q11" s="8">
        <v>132</v>
      </c>
      <c r="R11" s="8">
        <v>138</v>
      </c>
      <c r="S11" s="8">
        <v>142</v>
      </c>
      <c r="T11" s="8">
        <v>143</v>
      </c>
      <c r="U11" s="8">
        <v>143</v>
      </c>
      <c r="V11" s="8">
        <v>147</v>
      </c>
      <c r="W11" s="8">
        <v>150</v>
      </c>
      <c r="X11" s="9">
        <v>158</v>
      </c>
    </row>
    <row r="12" spans="1:28" x14ac:dyDescent="0.25">
      <c r="A12" s="6">
        <v>2800</v>
      </c>
      <c r="B12" s="8">
        <v>32</v>
      </c>
      <c r="C12" s="8">
        <v>32</v>
      </c>
      <c r="D12" s="8">
        <v>32</v>
      </c>
      <c r="E12" s="8">
        <v>40</v>
      </c>
      <c r="F12" s="8">
        <v>51</v>
      </c>
      <c r="G12" s="8">
        <v>55</v>
      </c>
      <c r="H12" s="8">
        <v>63</v>
      </c>
      <c r="I12" s="8">
        <v>68</v>
      </c>
      <c r="J12" s="8">
        <v>75</v>
      </c>
      <c r="K12" s="8">
        <v>80</v>
      </c>
      <c r="L12" s="8">
        <v>86</v>
      </c>
      <c r="M12" s="8">
        <v>91</v>
      </c>
      <c r="N12" s="8">
        <v>94</v>
      </c>
      <c r="O12" s="8">
        <v>108</v>
      </c>
      <c r="P12" s="8">
        <v>120</v>
      </c>
      <c r="Q12" s="8">
        <v>130</v>
      </c>
      <c r="R12" s="8">
        <v>138</v>
      </c>
      <c r="S12" s="8">
        <v>145</v>
      </c>
      <c r="T12" s="8">
        <v>145</v>
      </c>
      <c r="U12" s="8">
        <v>147</v>
      </c>
      <c r="V12" s="8">
        <v>150</v>
      </c>
      <c r="W12" s="8">
        <v>154</v>
      </c>
      <c r="X12" s="9">
        <v>160</v>
      </c>
    </row>
    <row r="13" spans="1:28" x14ac:dyDescent="0.25">
      <c r="A13" s="6">
        <v>3000</v>
      </c>
      <c r="B13" s="8">
        <v>30</v>
      </c>
      <c r="C13" s="8">
        <v>30</v>
      </c>
      <c r="D13" s="8">
        <v>30</v>
      </c>
      <c r="E13" s="8">
        <v>38</v>
      </c>
      <c r="F13" s="8">
        <v>47</v>
      </c>
      <c r="G13" s="8">
        <v>52</v>
      </c>
      <c r="H13" s="8">
        <v>61</v>
      </c>
      <c r="I13" s="8">
        <v>66</v>
      </c>
      <c r="J13" s="8">
        <v>74</v>
      </c>
      <c r="K13" s="8">
        <v>80</v>
      </c>
      <c r="L13" s="8">
        <v>86</v>
      </c>
      <c r="M13" s="8">
        <v>91</v>
      </c>
      <c r="N13" s="8">
        <v>96</v>
      </c>
      <c r="O13" s="8">
        <v>112</v>
      </c>
      <c r="P13" s="8">
        <v>127</v>
      </c>
      <c r="Q13" s="8">
        <v>135</v>
      </c>
      <c r="R13" s="8">
        <v>146</v>
      </c>
      <c r="S13" s="8">
        <v>153</v>
      </c>
      <c r="T13" s="8">
        <v>153</v>
      </c>
      <c r="U13" s="8">
        <v>154</v>
      </c>
      <c r="V13" s="8">
        <v>159</v>
      </c>
      <c r="W13" s="8">
        <v>163</v>
      </c>
      <c r="X13" s="9">
        <v>167</v>
      </c>
    </row>
    <row r="14" spans="1:28" x14ac:dyDescent="0.25">
      <c r="A14" s="6">
        <v>3200</v>
      </c>
      <c r="B14" s="8">
        <v>30</v>
      </c>
      <c r="C14" s="8">
        <v>30</v>
      </c>
      <c r="D14" s="8">
        <v>30</v>
      </c>
      <c r="E14" s="8">
        <v>36</v>
      </c>
      <c r="F14" s="8">
        <v>43</v>
      </c>
      <c r="G14" s="8">
        <v>50</v>
      </c>
      <c r="H14" s="8">
        <v>60</v>
      </c>
      <c r="I14" s="8">
        <v>64</v>
      </c>
      <c r="J14" s="8">
        <v>74</v>
      </c>
      <c r="K14" s="8">
        <v>80</v>
      </c>
      <c r="L14" s="8">
        <v>85</v>
      </c>
      <c r="M14" s="8">
        <v>90</v>
      </c>
      <c r="N14" s="8">
        <v>97</v>
      </c>
      <c r="O14" s="8">
        <v>117</v>
      </c>
      <c r="P14" s="8">
        <v>132</v>
      </c>
      <c r="Q14" s="8">
        <v>141</v>
      </c>
      <c r="R14" s="8">
        <v>152</v>
      </c>
      <c r="S14" s="8">
        <v>161</v>
      </c>
      <c r="T14" s="8">
        <v>161</v>
      </c>
      <c r="U14" s="8">
        <v>162</v>
      </c>
      <c r="V14" s="8">
        <v>166</v>
      </c>
      <c r="W14" s="8">
        <v>171</v>
      </c>
      <c r="X14" s="9">
        <v>172</v>
      </c>
    </row>
    <row r="15" spans="1:28" x14ac:dyDescent="0.25">
      <c r="A15" s="6">
        <v>3400</v>
      </c>
      <c r="B15" s="8">
        <v>30</v>
      </c>
      <c r="C15" s="8">
        <v>30</v>
      </c>
      <c r="D15" s="8">
        <v>30</v>
      </c>
      <c r="E15" s="8">
        <v>34</v>
      </c>
      <c r="F15" s="8">
        <v>41</v>
      </c>
      <c r="G15" s="8">
        <v>47</v>
      </c>
      <c r="H15" s="8">
        <v>58</v>
      </c>
      <c r="I15" s="8">
        <v>63</v>
      </c>
      <c r="J15" s="8">
        <v>72</v>
      </c>
      <c r="K15" s="8">
        <v>80</v>
      </c>
      <c r="L15" s="8">
        <v>85</v>
      </c>
      <c r="M15" s="8">
        <v>91</v>
      </c>
      <c r="N15" s="8">
        <v>97</v>
      </c>
      <c r="O15" s="8">
        <v>116</v>
      </c>
      <c r="P15" s="8">
        <v>132</v>
      </c>
      <c r="Q15" s="8">
        <v>143</v>
      </c>
      <c r="R15" s="8">
        <v>155</v>
      </c>
      <c r="S15" s="8">
        <v>166</v>
      </c>
      <c r="T15" s="8">
        <v>169</v>
      </c>
      <c r="U15" s="8">
        <v>170</v>
      </c>
      <c r="V15" s="8">
        <v>173</v>
      </c>
      <c r="W15" s="8">
        <v>178</v>
      </c>
      <c r="X15" s="9">
        <v>186</v>
      </c>
    </row>
    <row r="16" spans="1:28" x14ac:dyDescent="0.25">
      <c r="A16" s="6">
        <v>3600</v>
      </c>
      <c r="B16" s="8">
        <v>30</v>
      </c>
      <c r="C16" s="8">
        <v>30</v>
      </c>
      <c r="D16" s="8">
        <v>30</v>
      </c>
      <c r="E16" s="8">
        <v>32</v>
      </c>
      <c r="F16" s="8">
        <v>39</v>
      </c>
      <c r="G16" s="8">
        <v>46</v>
      </c>
      <c r="H16" s="8">
        <v>54</v>
      </c>
      <c r="I16" s="8">
        <v>61</v>
      </c>
      <c r="J16" s="8">
        <v>71</v>
      </c>
      <c r="K16" s="8">
        <v>81</v>
      </c>
      <c r="L16" s="8">
        <v>86</v>
      </c>
      <c r="M16" s="8">
        <v>91</v>
      </c>
      <c r="N16" s="8">
        <v>98</v>
      </c>
      <c r="O16" s="8">
        <v>114</v>
      </c>
      <c r="P16" s="8">
        <v>128</v>
      </c>
      <c r="Q16" s="8">
        <v>143</v>
      </c>
      <c r="R16" s="8">
        <v>158</v>
      </c>
      <c r="S16" s="8">
        <v>172</v>
      </c>
      <c r="T16" s="8">
        <v>174</v>
      </c>
      <c r="U16" s="8">
        <v>174</v>
      </c>
      <c r="V16" s="8">
        <v>178</v>
      </c>
      <c r="W16" s="8">
        <v>185</v>
      </c>
      <c r="X16" s="9">
        <v>195</v>
      </c>
    </row>
    <row r="17" spans="1:24" x14ac:dyDescent="0.25">
      <c r="A17" s="6">
        <v>3800</v>
      </c>
      <c r="B17" s="8">
        <v>30</v>
      </c>
      <c r="C17" s="8">
        <v>30</v>
      </c>
      <c r="D17" s="8">
        <v>30</v>
      </c>
      <c r="E17" s="8">
        <v>32</v>
      </c>
      <c r="F17" s="8">
        <v>38</v>
      </c>
      <c r="G17" s="8">
        <v>46</v>
      </c>
      <c r="H17" s="8">
        <v>54</v>
      </c>
      <c r="I17" s="8">
        <v>60</v>
      </c>
      <c r="J17" s="8">
        <v>71</v>
      </c>
      <c r="K17" s="8">
        <v>82</v>
      </c>
      <c r="L17" s="8">
        <v>87</v>
      </c>
      <c r="M17" s="8">
        <v>92</v>
      </c>
      <c r="N17" s="8">
        <v>97</v>
      </c>
      <c r="O17" s="8">
        <v>112</v>
      </c>
      <c r="P17" s="8">
        <v>128</v>
      </c>
      <c r="Q17" s="8">
        <v>141</v>
      </c>
      <c r="R17" s="8">
        <v>155</v>
      </c>
      <c r="S17" s="8">
        <v>172</v>
      </c>
      <c r="T17" s="8">
        <v>176</v>
      </c>
      <c r="U17" s="8">
        <v>177</v>
      </c>
      <c r="V17" s="8">
        <v>182</v>
      </c>
      <c r="W17" s="8">
        <v>184</v>
      </c>
      <c r="X17" s="9">
        <v>198</v>
      </c>
    </row>
    <row r="18" spans="1:24" x14ac:dyDescent="0.25">
      <c r="A18" s="6">
        <v>4000</v>
      </c>
      <c r="B18" s="8">
        <v>30</v>
      </c>
      <c r="C18" s="8">
        <v>30</v>
      </c>
      <c r="D18" s="8">
        <v>30</v>
      </c>
      <c r="E18" s="8">
        <v>32</v>
      </c>
      <c r="F18" s="8">
        <v>38</v>
      </c>
      <c r="G18" s="8">
        <v>46</v>
      </c>
      <c r="H18" s="8">
        <v>54</v>
      </c>
      <c r="I18" s="8">
        <v>59</v>
      </c>
      <c r="J18" s="8">
        <v>74</v>
      </c>
      <c r="K18" s="8">
        <v>84</v>
      </c>
      <c r="L18" s="8">
        <v>89</v>
      </c>
      <c r="M18" s="8">
        <v>92</v>
      </c>
      <c r="N18" s="8">
        <v>97</v>
      </c>
      <c r="O18" s="8">
        <v>111</v>
      </c>
      <c r="P18" s="8">
        <v>126</v>
      </c>
      <c r="Q18" s="8">
        <v>139</v>
      </c>
      <c r="R18" s="8">
        <v>152</v>
      </c>
      <c r="S18" s="8">
        <v>172</v>
      </c>
      <c r="T18" s="8">
        <v>181</v>
      </c>
      <c r="U18" s="8">
        <v>178</v>
      </c>
      <c r="V18" s="8">
        <v>183</v>
      </c>
      <c r="W18" s="8">
        <v>184</v>
      </c>
      <c r="X18" s="9">
        <v>201</v>
      </c>
    </row>
    <row r="19" spans="1:24" x14ac:dyDescent="0.25">
      <c r="A19" s="6">
        <v>4200</v>
      </c>
      <c r="B19" s="8">
        <v>30</v>
      </c>
      <c r="C19" s="8">
        <v>30</v>
      </c>
      <c r="D19" s="8">
        <v>30</v>
      </c>
      <c r="E19" s="8">
        <v>32</v>
      </c>
      <c r="F19" s="8">
        <v>37</v>
      </c>
      <c r="G19" s="8">
        <v>45</v>
      </c>
      <c r="H19" s="8">
        <v>52</v>
      </c>
      <c r="I19" s="8">
        <v>58</v>
      </c>
      <c r="J19" s="8">
        <v>72</v>
      </c>
      <c r="K19" s="8">
        <v>84</v>
      </c>
      <c r="L19" s="8">
        <v>89</v>
      </c>
      <c r="M19" s="8">
        <v>93</v>
      </c>
      <c r="N19" s="8">
        <v>98</v>
      </c>
      <c r="O19" s="8">
        <v>110</v>
      </c>
      <c r="P19" s="8">
        <v>124</v>
      </c>
      <c r="Q19" s="8">
        <v>135</v>
      </c>
      <c r="R19" s="8">
        <v>148</v>
      </c>
      <c r="S19" s="8">
        <v>171</v>
      </c>
      <c r="T19" s="8">
        <v>181</v>
      </c>
      <c r="U19" s="8">
        <v>181</v>
      </c>
      <c r="V19" s="8">
        <v>183</v>
      </c>
      <c r="W19" s="8">
        <v>184</v>
      </c>
      <c r="X19" s="9">
        <v>200</v>
      </c>
    </row>
    <row r="20" spans="1:24" x14ac:dyDescent="0.25">
      <c r="A20" s="6">
        <v>4400</v>
      </c>
      <c r="B20" s="8">
        <v>30</v>
      </c>
      <c r="C20" s="8">
        <v>30</v>
      </c>
      <c r="D20" s="8">
        <v>30</v>
      </c>
      <c r="E20" s="8">
        <v>32</v>
      </c>
      <c r="F20" s="8">
        <v>35</v>
      </c>
      <c r="G20" s="8">
        <v>42</v>
      </c>
      <c r="H20" s="8">
        <v>52</v>
      </c>
      <c r="I20" s="8">
        <v>59</v>
      </c>
      <c r="J20" s="8">
        <v>72</v>
      </c>
      <c r="K20" s="8">
        <v>83</v>
      </c>
      <c r="L20" s="8">
        <v>89</v>
      </c>
      <c r="M20" s="8">
        <v>93</v>
      </c>
      <c r="N20" s="8">
        <v>97</v>
      </c>
      <c r="O20" s="8">
        <v>109</v>
      </c>
      <c r="P20" s="8">
        <v>122</v>
      </c>
      <c r="Q20" s="8">
        <v>132</v>
      </c>
      <c r="R20" s="8">
        <v>143</v>
      </c>
      <c r="S20" s="8">
        <v>170</v>
      </c>
      <c r="T20" s="8">
        <v>183</v>
      </c>
      <c r="U20" s="8">
        <v>184</v>
      </c>
      <c r="V20" s="8">
        <v>183</v>
      </c>
      <c r="W20" s="8">
        <v>186</v>
      </c>
      <c r="X20" s="9">
        <v>198</v>
      </c>
    </row>
    <row r="21" spans="1:24" x14ac:dyDescent="0.25">
      <c r="A21" s="6">
        <v>4600</v>
      </c>
      <c r="B21" s="8">
        <v>30</v>
      </c>
      <c r="C21" s="8">
        <v>30</v>
      </c>
      <c r="D21" s="8">
        <v>30</v>
      </c>
      <c r="E21" s="8">
        <v>30</v>
      </c>
      <c r="F21" s="8">
        <v>34</v>
      </c>
      <c r="G21" s="8">
        <v>41</v>
      </c>
      <c r="H21" s="8">
        <v>49</v>
      </c>
      <c r="I21" s="8">
        <v>57</v>
      </c>
      <c r="J21" s="8">
        <v>68</v>
      </c>
      <c r="K21" s="8">
        <v>79</v>
      </c>
      <c r="L21" s="8">
        <v>85</v>
      </c>
      <c r="M21" s="8">
        <v>89</v>
      </c>
      <c r="N21" s="8">
        <v>93</v>
      </c>
      <c r="O21" s="8">
        <v>105</v>
      </c>
      <c r="P21" s="8">
        <v>116</v>
      </c>
      <c r="Q21" s="8">
        <v>126</v>
      </c>
      <c r="R21" s="8">
        <v>140</v>
      </c>
      <c r="S21" s="8">
        <v>166</v>
      </c>
      <c r="T21" s="8">
        <v>181</v>
      </c>
      <c r="U21" s="8">
        <v>185</v>
      </c>
      <c r="V21" s="8">
        <v>187</v>
      </c>
      <c r="W21" s="8">
        <v>191</v>
      </c>
      <c r="X21" s="9">
        <v>201</v>
      </c>
    </row>
    <row r="22" spans="1:24" x14ac:dyDescent="0.25">
      <c r="A22" s="6">
        <v>4800</v>
      </c>
      <c r="B22" s="8">
        <v>28</v>
      </c>
      <c r="C22" s="8">
        <v>28</v>
      </c>
      <c r="D22" s="8">
        <v>28</v>
      </c>
      <c r="E22" s="8">
        <v>28</v>
      </c>
      <c r="F22" s="8">
        <v>32</v>
      </c>
      <c r="G22" s="8">
        <v>38</v>
      </c>
      <c r="H22" s="8">
        <v>47</v>
      </c>
      <c r="I22" s="8">
        <v>51</v>
      </c>
      <c r="J22" s="8">
        <v>63</v>
      </c>
      <c r="K22" s="8">
        <v>72</v>
      </c>
      <c r="L22" s="8">
        <v>81</v>
      </c>
      <c r="M22" s="8">
        <v>84</v>
      </c>
      <c r="N22" s="8">
        <v>88</v>
      </c>
      <c r="O22" s="8">
        <v>99</v>
      </c>
      <c r="P22" s="8">
        <v>111</v>
      </c>
      <c r="Q22" s="8">
        <v>120</v>
      </c>
      <c r="R22" s="8">
        <v>133</v>
      </c>
      <c r="S22" s="8">
        <v>161</v>
      </c>
      <c r="T22" s="8">
        <v>178</v>
      </c>
      <c r="U22" s="8">
        <v>186</v>
      </c>
      <c r="V22" s="8">
        <v>190</v>
      </c>
      <c r="W22" s="8">
        <v>195</v>
      </c>
      <c r="X22" s="9">
        <v>206</v>
      </c>
    </row>
    <row r="23" spans="1:24" x14ac:dyDescent="0.25">
      <c r="A23" s="6">
        <v>5000</v>
      </c>
      <c r="B23" s="8">
        <v>28</v>
      </c>
      <c r="C23" s="8">
        <v>28</v>
      </c>
      <c r="D23" s="8">
        <v>28</v>
      </c>
      <c r="E23" s="8">
        <v>32</v>
      </c>
      <c r="F23" s="8">
        <v>32</v>
      </c>
      <c r="G23" s="8">
        <v>36</v>
      </c>
      <c r="H23" s="8">
        <v>43</v>
      </c>
      <c r="I23" s="8">
        <v>48</v>
      </c>
      <c r="J23" s="8">
        <v>59</v>
      </c>
      <c r="K23" s="8">
        <v>68</v>
      </c>
      <c r="L23" s="8">
        <v>75</v>
      </c>
      <c r="M23" s="8">
        <v>80</v>
      </c>
      <c r="N23" s="8">
        <v>83</v>
      </c>
      <c r="O23" s="8">
        <v>93</v>
      </c>
      <c r="P23" s="8">
        <v>105</v>
      </c>
      <c r="Q23" s="8">
        <v>114</v>
      </c>
      <c r="R23" s="8">
        <v>128</v>
      </c>
      <c r="S23" s="8">
        <v>154</v>
      </c>
      <c r="T23" s="8">
        <v>175</v>
      </c>
      <c r="U23" s="8">
        <v>185</v>
      </c>
      <c r="V23" s="8">
        <v>189</v>
      </c>
      <c r="W23" s="8">
        <v>193</v>
      </c>
      <c r="X23" s="9">
        <v>203</v>
      </c>
    </row>
    <row r="24" spans="1:24" x14ac:dyDescent="0.25">
      <c r="A24" s="6">
        <v>5200</v>
      </c>
      <c r="B24" s="8">
        <v>28</v>
      </c>
      <c r="C24" s="8">
        <v>28</v>
      </c>
      <c r="D24" s="8">
        <v>28</v>
      </c>
      <c r="E24" s="8">
        <v>32</v>
      </c>
      <c r="F24" s="8">
        <v>32</v>
      </c>
      <c r="G24" s="8">
        <v>34</v>
      </c>
      <c r="H24" s="8">
        <v>39</v>
      </c>
      <c r="I24" s="8">
        <v>44</v>
      </c>
      <c r="J24" s="8">
        <v>57</v>
      </c>
      <c r="K24" s="8">
        <v>65</v>
      </c>
      <c r="L24" s="8">
        <v>71</v>
      </c>
      <c r="M24" s="8">
        <v>78</v>
      </c>
      <c r="N24" s="8">
        <v>81</v>
      </c>
      <c r="O24" s="8">
        <v>89</v>
      </c>
      <c r="P24" s="8">
        <v>101</v>
      </c>
      <c r="Q24" s="8">
        <v>111</v>
      </c>
      <c r="R24" s="8">
        <v>123</v>
      </c>
      <c r="S24" s="8">
        <v>151</v>
      </c>
      <c r="T24" s="8">
        <v>172</v>
      </c>
      <c r="U24" s="8">
        <v>183</v>
      </c>
      <c r="V24" s="8">
        <v>186</v>
      </c>
      <c r="W24" s="8">
        <v>190</v>
      </c>
      <c r="X24" s="9">
        <v>198</v>
      </c>
    </row>
    <row r="25" spans="1:24" x14ac:dyDescent="0.25">
      <c r="A25" s="6">
        <v>5600</v>
      </c>
      <c r="B25" s="8">
        <v>28</v>
      </c>
      <c r="C25" s="8">
        <v>28</v>
      </c>
      <c r="D25" s="8">
        <v>28</v>
      </c>
      <c r="E25" s="8">
        <v>32</v>
      </c>
      <c r="F25" s="8">
        <v>32</v>
      </c>
      <c r="G25" s="8">
        <v>32</v>
      </c>
      <c r="H25" s="8">
        <v>37</v>
      </c>
      <c r="I25" s="8">
        <v>42</v>
      </c>
      <c r="J25" s="8">
        <v>51</v>
      </c>
      <c r="K25" s="8">
        <v>62</v>
      </c>
      <c r="L25" s="8">
        <v>68</v>
      </c>
      <c r="M25" s="8">
        <v>75</v>
      </c>
      <c r="N25" s="8">
        <v>79</v>
      </c>
      <c r="O25" s="8">
        <v>88</v>
      </c>
      <c r="P25" s="8">
        <v>99</v>
      </c>
      <c r="Q25" s="8">
        <v>111</v>
      </c>
      <c r="R25" s="8">
        <v>123</v>
      </c>
      <c r="S25" s="8">
        <v>151</v>
      </c>
      <c r="T25" s="8">
        <v>174</v>
      </c>
      <c r="U25" s="8">
        <v>186</v>
      </c>
      <c r="V25" s="8">
        <v>191</v>
      </c>
      <c r="W25" s="8">
        <v>194</v>
      </c>
      <c r="X25" s="9">
        <v>202</v>
      </c>
    </row>
    <row r="26" spans="1:24" x14ac:dyDescent="0.25">
      <c r="A26" s="6">
        <v>6000</v>
      </c>
      <c r="B26" s="8">
        <v>28</v>
      </c>
      <c r="C26" s="8">
        <v>28</v>
      </c>
      <c r="D26" s="8">
        <v>28</v>
      </c>
      <c r="E26" s="8">
        <v>30</v>
      </c>
      <c r="F26" s="8">
        <v>30</v>
      </c>
      <c r="G26" s="8">
        <v>29</v>
      </c>
      <c r="H26" s="8">
        <v>35</v>
      </c>
      <c r="I26" s="8">
        <v>40</v>
      </c>
      <c r="J26" s="8">
        <v>48</v>
      </c>
      <c r="K26" s="8">
        <v>58</v>
      </c>
      <c r="L26" s="8">
        <v>65</v>
      </c>
      <c r="M26" s="8">
        <v>72</v>
      </c>
      <c r="N26" s="8">
        <v>75</v>
      </c>
      <c r="O26" s="8">
        <v>87</v>
      </c>
      <c r="P26" s="8">
        <v>98</v>
      </c>
      <c r="Q26" s="8">
        <v>109</v>
      </c>
      <c r="R26" s="8">
        <v>125</v>
      </c>
      <c r="S26" s="8">
        <v>152</v>
      </c>
      <c r="T26" s="8">
        <v>177</v>
      </c>
      <c r="U26" s="8">
        <v>193</v>
      </c>
      <c r="V26" s="8">
        <v>202</v>
      </c>
      <c r="W26" s="8">
        <v>206</v>
      </c>
      <c r="X26" s="9">
        <v>213</v>
      </c>
    </row>
    <row r="27" spans="1:24" x14ac:dyDescent="0.25">
      <c r="A27" s="6">
        <v>6400</v>
      </c>
      <c r="B27" s="8">
        <v>28</v>
      </c>
      <c r="C27" s="8">
        <v>28</v>
      </c>
      <c r="D27" s="8">
        <v>28</v>
      </c>
      <c r="E27" s="8">
        <v>28</v>
      </c>
      <c r="F27" s="8">
        <v>28</v>
      </c>
      <c r="G27" s="8">
        <v>32</v>
      </c>
      <c r="H27" s="8">
        <v>34</v>
      </c>
      <c r="I27" s="8">
        <v>37</v>
      </c>
      <c r="J27" s="8">
        <v>41</v>
      </c>
      <c r="K27" s="8">
        <v>46</v>
      </c>
      <c r="L27" s="8">
        <v>57</v>
      </c>
      <c r="M27" s="8">
        <v>64</v>
      </c>
      <c r="N27" s="8">
        <v>70</v>
      </c>
      <c r="O27" s="8">
        <v>84</v>
      </c>
      <c r="P27" s="8">
        <v>94</v>
      </c>
      <c r="Q27" s="8">
        <v>107</v>
      </c>
      <c r="R27" s="8">
        <v>125</v>
      </c>
      <c r="S27" s="8">
        <v>151</v>
      </c>
      <c r="T27" s="8">
        <v>176</v>
      </c>
      <c r="U27" s="8">
        <v>194</v>
      </c>
      <c r="V27" s="8">
        <v>202</v>
      </c>
      <c r="W27" s="8">
        <v>206</v>
      </c>
      <c r="X27" s="9">
        <v>212</v>
      </c>
    </row>
    <row r="28" spans="1:24" x14ac:dyDescent="0.25">
      <c r="A28" s="6">
        <v>6800</v>
      </c>
      <c r="B28" s="8">
        <v>27</v>
      </c>
      <c r="C28" s="8">
        <v>27</v>
      </c>
      <c r="D28" s="8">
        <v>27</v>
      </c>
      <c r="E28" s="8">
        <v>27</v>
      </c>
      <c r="F28" s="8">
        <v>27</v>
      </c>
      <c r="G28" s="8">
        <v>32</v>
      </c>
      <c r="H28" s="8">
        <v>32</v>
      </c>
      <c r="I28" s="8">
        <v>34</v>
      </c>
      <c r="J28" s="8">
        <v>37</v>
      </c>
      <c r="K28" s="8">
        <v>43</v>
      </c>
      <c r="L28" s="8">
        <v>50</v>
      </c>
      <c r="M28" s="8">
        <v>60</v>
      </c>
      <c r="N28" s="8">
        <v>68</v>
      </c>
      <c r="O28" s="8">
        <v>82</v>
      </c>
      <c r="P28" s="8">
        <v>92</v>
      </c>
      <c r="Q28" s="8">
        <v>106</v>
      </c>
      <c r="R28" s="8">
        <v>124</v>
      </c>
      <c r="S28" s="8">
        <v>149</v>
      </c>
      <c r="T28" s="8">
        <v>174</v>
      </c>
      <c r="U28" s="8">
        <v>195</v>
      </c>
      <c r="V28" s="8">
        <v>205</v>
      </c>
      <c r="W28" s="8">
        <v>257</v>
      </c>
      <c r="X28" s="9">
        <v>261</v>
      </c>
    </row>
    <row r="29" spans="1:24" x14ac:dyDescent="0.25">
      <c r="A29" s="6">
        <v>7200</v>
      </c>
      <c r="B29" s="8">
        <v>26</v>
      </c>
      <c r="C29" s="8">
        <v>26</v>
      </c>
      <c r="D29" s="8">
        <v>26</v>
      </c>
      <c r="E29" s="8">
        <v>26</v>
      </c>
      <c r="F29" s="8">
        <v>26</v>
      </c>
      <c r="G29" s="8">
        <v>30</v>
      </c>
      <c r="H29" s="8">
        <v>32</v>
      </c>
      <c r="I29" s="8">
        <v>32</v>
      </c>
      <c r="J29" s="8">
        <v>34</v>
      </c>
      <c r="K29" s="8">
        <v>40</v>
      </c>
      <c r="L29" s="8">
        <v>46</v>
      </c>
      <c r="M29" s="8">
        <v>58</v>
      </c>
      <c r="N29" s="8">
        <v>67</v>
      </c>
      <c r="O29" s="8">
        <v>80</v>
      </c>
      <c r="P29" s="8">
        <v>90</v>
      </c>
      <c r="Q29" s="8">
        <v>104</v>
      </c>
      <c r="R29" s="8">
        <v>120</v>
      </c>
      <c r="S29" s="8">
        <v>147</v>
      </c>
      <c r="T29" s="8">
        <v>173</v>
      </c>
      <c r="U29" s="8">
        <v>196</v>
      </c>
      <c r="V29" s="8">
        <v>210</v>
      </c>
      <c r="W29" s="8">
        <v>262</v>
      </c>
      <c r="X29" s="9">
        <v>268</v>
      </c>
    </row>
    <row r="30" spans="1:24" x14ac:dyDescent="0.25">
      <c r="A30" s="6">
        <v>7600</v>
      </c>
      <c r="B30" s="8">
        <v>26</v>
      </c>
      <c r="C30" s="8">
        <v>26</v>
      </c>
      <c r="D30" s="8">
        <v>26</v>
      </c>
      <c r="E30" s="8">
        <v>26</v>
      </c>
      <c r="F30" s="8">
        <v>26</v>
      </c>
      <c r="G30" s="8">
        <v>28</v>
      </c>
      <c r="H30" s="8">
        <v>30</v>
      </c>
      <c r="I30" s="8">
        <v>30</v>
      </c>
      <c r="J30" s="8">
        <v>34</v>
      </c>
      <c r="K30" s="8">
        <v>38</v>
      </c>
      <c r="L30" s="8">
        <v>45</v>
      </c>
      <c r="M30" s="8">
        <v>54</v>
      </c>
      <c r="N30" s="8">
        <v>66</v>
      </c>
      <c r="O30" s="8">
        <v>76</v>
      </c>
      <c r="P30" s="8">
        <v>89</v>
      </c>
      <c r="Q30" s="8">
        <v>103</v>
      </c>
      <c r="R30" s="8">
        <v>117</v>
      </c>
      <c r="S30" s="8">
        <v>143</v>
      </c>
      <c r="T30" s="8">
        <v>172</v>
      </c>
      <c r="U30" s="8">
        <v>196</v>
      </c>
      <c r="V30" s="8">
        <v>212</v>
      </c>
      <c r="W30" s="8">
        <v>268</v>
      </c>
      <c r="X30" s="9">
        <v>273</v>
      </c>
    </row>
    <row r="31" spans="1:24" x14ac:dyDescent="0.25">
      <c r="A31" s="6">
        <v>8000</v>
      </c>
      <c r="B31" s="8">
        <v>24</v>
      </c>
      <c r="C31" s="8">
        <v>24</v>
      </c>
      <c r="D31" s="8">
        <v>24</v>
      </c>
      <c r="E31" s="8">
        <v>24</v>
      </c>
      <c r="F31" s="8">
        <v>24</v>
      </c>
      <c r="G31" s="8">
        <v>28</v>
      </c>
      <c r="H31" s="8">
        <v>30</v>
      </c>
      <c r="I31" s="8">
        <v>30</v>
      </c>
      <c r="J31" s="8">
        <v>32</v>
      </c>
      <c r="K31" s="8">
        <v>37</v>
      </c>
      <c r="L31" s="8">
        <v>44</v>
      </c>
      <c r="M31" s="8">
        <v>52</v>
      </c>
      <c r="N31" s="8">
        <v>63</v>
      </c>
      <c r="O31" s="8">
        <v>75</v>
      </c>
      <c r="P31" s="8">
        <v>88</v>
      </c>
      <c r="Q31" s="8">
        <v>102</v>
      </c>
      <c r="R31" s="8">
        <v>116</v>
      </c>
      <c r="S31" s="8">
        <v>142</v>
      </c>
      <c r="T31" s="8">
        <v>170</v>
      </c>
      <c r="U31" s="8">
        <v>194</v>
      </c>
      <c r="V31" s="8">
        <v>210</v>
      </c>
      <c r="W31" s="8">
        <v>255</v>
      </c>
      <c r="X31" s="9">
        <v>260</v>
      </c>
    </row>
    <row r="32" spans="1:24" x14ac:dyDescent="0.25">
      <c r="A32" s="6">
        <v>8400</v>
      </c>
      <c r="B32" s="8">
        <v>23</v>
      </c>
      <c r="C32" s="8">
        <v>23</v>
      </c>
      <c r="D32" s="8">
        <v>23</v>
      </c>
      <c r="E32" s="8">
        <v>24</v>
      </c>
      <c r="F32" s="8">
        <v>24</v>
      </c>
      <c r="G32" s="8">
        <v>28</v>
      </c>
      <c r="H32" s="8">
        <v>30</v>
      </c>
      <c r="I32" s="8">
        <v>30</v>
      </c>
      <c r="J32" s="8">
        <v>32</v>
      </c>
      <c r="K32" s="8">
        <v>37</v>
      </c>
      <c r="L32" s="8">
        <v>44</v>
      </c>
      <c r="M32" s="8">
        <v>52</v>
      </c>
      <c r="N32" s="8">
        <v>62</v>
      </c>
      <c r="O32" s="8">
        <v>75</v>
      </c>
      <c r="P32" s="8">
        <v>88</v>
      </c>
      <c r="Q32" s="8">
        <v>98</v>
      </c>
      <c r="R32" s="8">
        <v>112</v>
      </c>
      <c r="S32" s="8">
        <v>139</v>
      </c>
      <c r="T32" s="8">
        <v>169</v>
      </c>
      <c r="U32" s="8">
        <v>191</v>
      </c>
      <c r="V32" s="8">
        <v>207</v>
      </c>
      <c r="W32" s="8">
        <v>252</v>
      </c>
      <c r="X32" s="9">
        <v>258</v>
      </c>
    </row>
    <row r="33" spans="1:24" x14ac:dyDescent="0.25">
      <c r="A33" s="6">
        <v>8800</v>
      </c>
      <c r="B33" s="8">
        <v>23</v>
      </c>
      <c r="C33" s="8">
        <v>23</v>
      </c>
      <c r="D33" s="8">
        <v>23</v>
      </c>
      <c r="E33" s="8">
        <v>24</v>
      </c>
      <c r="F33" s="8">
        <v>24</v>
      </c>
      <c r="G33" s="8">
        <v>28</v>
      </c>
      <c r="H33" s="8">
        <v>30</v>
      </c>
      <c r="I33" s="8">
        <v>30</v>
      </c>
      <c r="J33" s="8">
        <v>32</v>
      </c>
      <c r="K33" s="8">
        <v>36</v>
      </c>
      <c r="L33" s="8">
        <v>42</v>
      </c>
      <c r="M33" s="8">
        <v>49</v>
      </c>
      <c r="N33" s="8">
        <v>60</v>
      </c>
      <c r="O33" s="8">
        <v>75</v>
      </c>
      <c r="P33" s="8">
        <v>85</v>
      </c>
      <c r="Q33" s="8">
        <v>93</v>
      </c>
      <c r="R33" s="8">
        <v>111</v>
      </c>
      <c r="S33" s="8">
        <v>136</v>
      </c>
      <c r="T33" s="8">
        <v>166</v>
      </c>
      <c r="U33" s="8">
        <v>190</v>
      </c>
      <c r="V33" s="8">
        <v>207</v>
      </c>
      <c r="W33" s="8">
        <v>243</v>
      </c>
      <c r="X33" s="9">
        <v>249</v>
      </c>
    </row>
    <row r="34" spans="1:24" x14ac:dyDescent="0.25">
      <c r="A34" s="6">
        <v>9200</v>
      </c>
      <c r="B34" s="8">
        <v>20</v>
      </c>
      <c r="C34" s="8">
        <v>20</v>
      </c>
      <c r="D34" s="8">
        <v>20</v>
      </c>
      <c r="E34" s="8">
        <v>23</v>
      </c>
      <c r="F34" s="8">
        <v>24</v>
      </c>
      <c r="G34" s="8">
        <v>28</v>
      </c>
      <c r="H34" s="8">
        <v>30</v>
      </c>
      <c r="I34" s="8">
        <v>30</v>
      </c>
      <c r="J34" s="8">
        <v>32</v>
      </c>
      <c r="K34" s="8">
        <v>36</v>
      </c>
      <c r="L34" s="8">
        <v>41</v>
      </c>
      <c r="M34" s="8">
        <v>49</v>
      </c>
      <c r="N34" s="8">
        <v>59</v>
      </c>
      <c r="O34" s="8">
        <v>72</v>
      </c>
      <c r="P34" s="8">
        <v>84</v>
      </c>
      <c r="Q34" s="8">
        <v>92</v>
      </c>
      <c r="R34" s="8">
        <v>108</v>
      </c>
      <c r="S34" s="8">
        <v>133</v>
      </c>
      <c r="T34" s="8">
        <v>163</v>
      </c>
      <c r="U34" s="8">
        <v>185</v>
      </c>
      <c r="V34" s="8">
        <v>204</v>
      </c>
      <c r="W34" s="8">
        <v>240</v>
      </c>
      <c r="X34" s="9">
        <v>248</v>
      </c>
    </row>
    <row r="35" spans="1:24" x14ac:dyDescent="0.25">
      <c r="A35" s="6">
        <v>9600</v>
      </c>
      <c r="B35" s="8">
        <v>20</v>
      </c>
      <c r="C35" s="8">
        <v>20</v>
      </c>
      <c r="D35" s="8">
        <v>20</v>
      </c>
      <c r="E35" s="8">
        <v>22</v>
      </c>
      <c r="F35" s="8">
        <v>24</v>
      </c>
      <c r="G35" s="8">
        <v>28</v>
      </c>
      <c r="H35" s="8">
        <v>30</v>
      </c>
      <c r="I35" s="8">
        <v>30</v>
      </c>
      <c r="J35" s="8">
        <v>30</v>
      </c>
      <c r="K35" s="8">
        <v>34</v>
      </c>
      <c r="L35" s="8">
        <v>40</v>
      </c>
      <c r="M35" s="8">
        <v>48</v>
      </c>
      <c r="N35" s="8">
        <v>59</v>
      </c>
      <c r="O35" s="8">
        <v>71</v>
      </c>
      <c r="P35" s="8">
        <v>82</v>
      </c>
      <c r="Q35" s="8">
        <v>90</v>
      </c>
      <c r="R35" s="8">
        <v>106</v>
      </c>
      <c r="S35" s="8">
        <v>130</v>
      </c>
      <c r="T35" s="8">
        <v>159</v>
      </c>
      <c r="U35" s="8">
        <v>182</v>
      </c>
      <c r="V35" s="8">
        <v>201</v>
      </c>
      <c r="W35" s="8">
        <v>238</v>
      </c>
      <c r="X35" s="9">
        <v>248</v>
      </c>
    </row>
    <row r="36" spans="1:24" x14ac:dyDescent="0.25">
      <c r="A36" s="6">
        <v>10000</v>
      </c>
      <c r="B36" s="8">
        <v>20</v>
      </c>
      <c r="C36" s="8">
        <v>20</v>
      </c>
      <c r="D36" s="8">
        <v>20</v>
      </c>
      <c r="E36" s="8">
        <v>22</v>
      </c>
      <c r="F36" s="8">
        <v>24</v>
      </c>
      <c r="G36" s="8">
        <v>27</v>
      </c>
      <c r="H36" s="8">
        <v>28</v>
      </c>
      <c r="I36" s="8">
        <v>28</v>
      </c>
      <c r="J36" s="8">
        <v>30</v>
      </c>
      <c r="K36" s="8">
        <v>34</v>
      </c>
      <c r="L36" s="8">
        <v>40</v>
      </c>
      <c r="M36" s="8">
        <v>46</v>
      </c>
      <c r="N36" s="8">
        <v>58</v>
      </c>
      <c r="O36" s="8">
        <v>71</v>
      </c>
      <c r="P36" s="8">
        <v>81</v>
      </c>
      <c r="Q36" s="8">
        <v>89</v>
      </c>
      <c r="R36" s="8">
        <v>104</v>
      </c>
      <c r="S36" s="8">
        <v>124</v>
      </c>
      <c r="T36" s="8">
        <v>152</v>
      </c>
      <c r="U36" s="8">
        <v>176</v>
      </c>
      <c r="V36" s="8">
        <v>194</v>
      </c>
      <c r="W36" s="8">
        <v>231</v>
      </c>
      <c r="X36" s="9">
        <v>236</v>
      </c>
    </row>
    <row r="37" spans="1:24" x14ac:dyDescent="0.25">
      <c r="A37" s="6">
        <v>10400</v>
      </c>
      <c r="B37" s="8">
        <v>19</v>
      </c>
      <c r="C37" s="8">
        <v>19</v>
      </c>
      <c r="D37" s="8">
        <v>19</v>
      </c>
      <c r="E37" s="8">
        <v>22</v>
      </c>
      <c r="F37" s="8">
        <v>24</v>
      </c>
      <c r="G37" s="8">
        <v>27</v>
      </c>
      <c r="H37" s="8">
        <v>28</v>
      </c>
      <c r="I37" s="8">
        <v>28</v>
      </c>
      <c r="J37" s="8">
        <v>30</v>
      </c>
      <c r="K37" s="8">
        <v>32</v>
      </c>
      <c r="L37" s="8">
        <v>38</v>
      </c>
      <c r="M37" s="8">
        <v>45</v>
      </c>
      <c r="N37" s="8">
        <v>58</v>
      </c>
      <c r="O37" s="8">
        <v>71</v>
      </c>
      <c r="P37" s="8">
        <v>81</v>
      </c>
      <c r="Q37" s="8">
        <v>88</v>
      </c>
      <c r="R37" s="8">
        <v>103</v>
      </c>
      <c r="S37" s="8">
        <v>120</v>
      </c>
      <c r="T37" s="8">
        <v>148</v>
      </c>
      <c r="U37" s="8">
        <v>172</v>
      </c>
      <c r="V37" s="8">
        <v>192</v>
      </c>
      <c r="W37" s="8">
        <v>225</v>
      </c>
      <c r="X37" s="9">
        <v>229</v>
      </c>
    </row>
    <row r="38" spans="1:24" x14ac:dyDescent="0.25">
      <c r="A38" s="6">
        <v>10800</v>
      </c>
      <c r="B38" s="8">
        <v>19</v>
      </c>
      <c r="C38" s="8">
        <v>19</v>
      </c>
      <c r="D38" s="8">
        <v>19</v>
      </c>
      <c r="E38" s="8">
        <v>22</v>
      </c>
      <c r="F38" s="8">
        <v>24</v>
      </c>
      <c r="G38" s="8">
        <v>27</v>
      </c>
      <c r="H38" s="8">
        <v>27</v>
      </c>
      <c r="I38" s="8">
        <v>28</v>
      </c>
      <c r="J38" s="8">
        <v>28</v>
      </c>
      <c r="K38" s="8">
        <v>30</v>
      </c>
      <c r="L38" s="8">
        <v>37</v>
      </c>
      <c r="M38" s="8">
        <v>44</v>
      </c>
      <c r="N38" s="8">
        <v>54</v>
      </c>
      <c r="O38" s="8">
        <v>68</v>
      </c>
      <c r="P38" s="8">
        <v>80</v>
      </c>
      <c r="Q38" s="8">
        <v>86</v>
      </c>
      <c r="R38" s="8">
        <v>98</v>
      </c>
      <c r="S38" s="8">
        <v>117</v>
      </c>
      <c r="T38" s="8">
        <v>147</v>
      </c>
      <c r="U38" s="8">
        <v>169</v>
      </c>
      <c r="V38" s="8">
        <v>187</v>
      </c>
      <c r="W38" s="8">
        <v>220</v>
      </c>
      <c r="X38" s="9">
        <v>224</v>
      </c>
    </row>
    <row r="39" spans="1:24" x14ac:dyDescent="0.25">
      <c r="A39" s="6">
        <v>11200</v>
      </c>
      <c r="B39" s="8">
        <v>19</v>
      </c>
      <c r="C39" s="8">
        <v>19</v>
      </c>
      <c r="D39" s="8">
        <v>19</v>
      </c>
      <c r="E39" s="8">
        <v>22</v>
      </c>
      <c r="F39" s="8">
        <v>24</v>
      </c>
      <c r="G39" s="8">
        <v>27</v>
      </c>
      <c r="H39" s="8">
        <v>27</v>
      </c>
      <c r="I39" s="8">
        <v>28</v>
      </c>
      <c r="J39" s="8">
        <v>28</v>
      </c>
      <c r="K39" s="8">
        <v>30</v>
      </c>
      <c r="L39" s="8">
        <v>36</v>
      </c>
      <c r="M39" s="8">
        <v>42</v>
      </c>
      <c r="N39" s="8">
        <v>50</v>
      </c>
      <c r="O39" s="8">
        <v>64</v>
      </c>
      <c r="P39" s="8">
        <v>75</v>
      </c>
      <c r="Q39" s="8">
        <v>85</v>
      </c>
      <c r="R39" s="8">
        <v>94</v>
      </c>
      <c r="S39" s="8">
        <v>114</v>
      </c>
      <c r="T39" s="8">
        <v>142</v>
      </c>
      <c r="U39" s="8">
        <v>163</v>
      </c>
      <c r="V39" s="8">
        <v>181</v>
      </c>
      <c r="W39" s="8">
        <v>214</v>
      </c>
      <c r="X39" s="9">
        <v>215</v>
      </c>
    </row>
    <row r="40" spans="1:24" x14ac:dyDescent="0.25">
      <c r="A40" s="6">
        <v>11600</v>
      </c>
      <c r="B40" s="8">
        <v>19</v>
      </c>
      <c r="C40" s="8">
        <v>19</v>
      </c>
      <c r="D40" s="8">
        <v>19</v>
      </c>
      <c r="E40" s="8">
        <v>22</v>
      </c>
      <c r="F40" s="8">
        <v>24</v>
      </c>
      <c r="G40" s="8">
        <v>27</v>
      </c>
      <c r="H40" s="8">
        <v>27</v>
      </c>
      <c r="I40" s="8">
        <v>28</v>
      </c>
      <c r="J40" s="8">
        <v>28</v>
      </c>
      <c r="K40" s="8">
        <v>28</v>
      </c>
      <c r="L40" s="8">
        <v>34</v>
      </c>
      <c r="M40" s="8">
        <v>41</v>
      </c>
      <c r="N40" s="8">
        <v>48</v>
      </c>
      <c r="O40" s="8">
        <v>62</v>
      </c>
      <c r="P40" s="8">
        <v>72</v>
      </c>
      <c r="Q40" s="8">
        <v>82</v>
      </c>
      <c r="R40" s="8">
        <v>92</v>
      </c>
      <c r="S40" s="8">
        <v>111</v>
      </c>
      <c r="T40" s="8">
        <v>136</v>
      </c>
      <c r="U40" s="8">
        <v>155</v>
      </c>
      <c r="V40" s="8">
        <v>173</v>
      </c>
      <c r="W40" s="8">
        <v>204</v>
      </c>
      <c r="X40" s="9">
        <v>206</v>
      </c>
    </row>
    <row r="41" spans="1:24" x14ac:dyDescent="0.25">
      <c r="A41" s="6">
        <v>12000</v>
      </c>
      <c r="B41" s="8">
        <v>19</v>
      </c>
      <c r="C41" s="8">
        <v>19</v>
      </c>
      <c r="D41" s="8">
        <v>19</v>
      </c>
      <c r="E41" s="8">
        <v>22</v>
      </c>
      <c r="F41" s="8">
        <v>24</v>
      </c>
      <c r="G41" s="8">
        <v>27</v>
      </c>
      <c r="H41" s="8">
        <v>27</v>
      </c>
      <c r="I41" s="8">
        <v>28</v>
      </c>
      <c r="J41" s="8">
        <v>28</v>
      </c>
      <c r="K41" s="8">
        <v>28</v>
      </c>
      <c r="L41" s="8">
        <v>34</v>
      </c>
      <c r="M41" s="8">
        <v>40</v>
      </c>
      <c r="N41" s="8">
        <v>46</v>
      </c>
      <c r="O41" s="8">
        <v>60</v>
      </c>
      <c r="P41" s="8">
        <v>70</v>
      </c>
      <c r="Q41" s="8">
        <v>80</v>
      </c>
      <c r="R41" s="8">
        <v>90</v>
      </c>
      <c r="S41" s="8">
        <v>107</v>
      </c>
      <c r="T41" s="8">
        <v>130</v>
      </c>
      <c r="U41" s="8">
        <v>147</v>
      </c>
      <c r="V41" s="8">
        <v>166</v>
      </c>
      <c r="W41" s="8">
        <v>195</v>
      </c>
      <c r="X41" s="9">
        <v>200</v>
      </c>
    </row>
    <row r="42" spans="1:24" x14ac:dyDescent="0.25">
      <c r="A42" s="6">
        <v>12400</v>
      </c>
      <c r="B42" s="8">
        <v>19</v>
      </c>
      <c r="C42" s="8">
        <v>19</v>
      </c>
      <c r="D42" s="8">
        <v>19</v>
      </c>
      <c r="E42" s="8">
        <v>22</v>
      </c>
      <c r="F42" s="8">
        <v>24</v>
      </c>
      <c r="G42" s="8">
        <v>27</v>
      </c>
      <c r="H42" s="8">
        <v>27</v>
      </c>
      <c r="I42" s="8">
        <v>28</v>
      </c>
      <c r="J42" s="8">
        <v>28</v>
      </c>
      <c r="K42" s="8">
        <v>28</v>
      </c>
      <c r="L42" s="8">
        <v>34</v>
      </c>
      <c r="M42" s="8">
        <v>40</v>
      </c>
      <c r="N42" s="8">
        <v>46</v>
      </c>
      <c r="O42" s="8">
        <v>60</v>
      </c>
      <c r="P42" s="8">
        <v>70</v>
      </c>
      <c r="Q42" s="8">
        <v>80</v>
      </c>
      <c r="R42" s="8">
        <v>90</v>
      </c>
      <c r="S42" s="8">
        <v>107</v>
      </c>
      <c r="T42" s="8">
        <v>130</v>
      </c>
      <c r="U42" s="8">
        <v>147</v>
      </c>
      <c r="V42" s="8">
        <v>166</v>
      </c>
      <c r="W42" s="8">
        <v>195</v>
      </c>
      <c r="X42" s="9">
        <v>200</v>
      </c>
    </row>
    <row r="43" spans="1:24" ht="13.8" thickBot="1" x14ac:dyDescent="0.3">
      <c r="A43" s="7">
        <v>12800</v>
      </c>
      <c r="B43" s="10">
        <v>19</v>
      </c>
      <c r="C43" s="10">
        <v>19</v>
      </c>
      <c r="D43" s="10">
        <v>19</v>
      </c>
      <c r="E43" s="10">
        <v>22</v>
      </c>
      <c r="F43" s="10">
        <v>24</v>
      </c>
      <c r="G43" s="10">
        <v>27</v>
      </c>
      <c r="H43" s="10">
        <v>27</v>
      </c>
      <c r="I43" s="10">
        <v>28</v>
      </c>
      <c r="J43" s="10">
        <v>28</v>
      </c>
      <c r="K43" s="10">
        <v>28</v>
      </c>
      <c r="L43" s="10">
        <v>34</v>
      </c>
      <c r="M43" s="10">
        <v>40</v>
      </c>
      <c r="N43" s="10">
        <v>46</v>
      </c>
      <c r="O43" s="10">
        <v>60</v>
      </c>
      <c r="P43" s="10">
        <v>70</v>
      </c>
      <c r="Q43" s="10">
        <v>80</v>
      </c>
      <c r="R43" s="10">
        <v>90</v>
      </c>
      <c r="S43" s="10">
        <v>107</v>
      </c>
      <c r="T43" s="10">
        <v>130</v>
      </c>
      <c r="U43" s="10">
        <v>147</v>
      </c>
      <c r="V43" s="10">
        <v>166</v>
      </c>
      <c r="W43" s="10">
        <v>195</v>
      </c>
      <c r="X43" s="11">
        <v>200</v>
      </c>
    </row>
    <row r="44" spans="1:24" x14ac:dyDescent="0.25">
      <c r="A44" s="1"/>
    </row>
    <row r="45" spans="1:24" x14ac:dyDescent="0.25">
      <c r="A45" s="1"/>
    </row>
    <row r="46" spans="1:24" x14ac:dyDescent="0.25">
      <c r="A46" s="1"/>
    </row>
    <row r="47" spans="1:24" x14ac:dyDescent="0.25">
      <c r="A47" s="1"/>
    </row>
    <row r="48" spans="1:24" x14ac:dyDescent="0.25">
      <c r="A48" s="1"/>
    </row>
    <row r="49" spans="1:1" x14ac:dyDescent="0.25">
      <c r="A49" s="1"/>
    </row>
    <row r="50" spans="1:1" x14ac:dyDescent="0.25">
      <c r="A50" s="1"/>
    </row>
    <row r="51" spans="1:1" x14ac:dyDescent="0.25">
      <c r="A51" s="1"/>
    </row>
    <row r="52" spans="1:1" x14ac:dyDescent="0.25">
      <c r="A52" s="1"/>
    </row>
    <row r="53" spans="1:1" x14ac:dyDescent="0.25">
      <c r="A53" s="1"/>
    </row>
    <row r="54" spans="1:1" x14ac:dyDescent="0.25">
      <c r="A54" s="1"/>
    </row>
    <row r="55" spans="1:1" x14ac:dyDescent="0.25">
      <c r="A55" s="1"/>
    </row>
    <row r="56" spans="1:1" x14ac:dyDescent="0.25">
      <c r="A56" s="1"/>
    </row>
    <row r="57" spans="1:1" x14ac:dyDescent="0.25">
      <c r="A57" s="1"/>
    </row>
    <row r="58" spans="1:1" x14ac:dyDescent="0.25">
      <c r="A58" s="1"/>
    </row>
    <row r="59" spans="1:1" x14ac:dyDescent="0.25">
      <c r="A59" s="1"/>
    </row>
    <row r="60" spans="1:1" x14ac:dyDescent="0.25">
      <c r="A60" s="1"/>
    </row>
    <row r="61" spans="1:1" x14ac:dyDescent="0.25">
      <c r="A61" s="1"/>
    </row>
    <row r="62" spans="1:1" x14ac:dyDescent="0.25">
      <c r="A62" s="1"/>
    </row>
    <row r="63" spans="1:1" x14ac:dyDescent="0.25">
      <c r="A63" s="1"/>
    </row>
    <row r="64" spans="1:1" x14ac:dyDescent="0.25">
      <c r="A64" s="1"/>
    </row>
    <row r="65" spans="1:1" x14ac:dyDescent="0.25">
      <c r="A65" s="1"/>
    </row>
    <row r="66" spans="1:1" x14ac:dyDescent="0.25">
      <c r="A66" s="1"/>
    </row>
    <row r="67" spans="1:1" x14ac:dyDescent="0.25">
      <c r="A67" s="1"/>
    </row>
    <row r="68" spans="1:1" x14ac:dyDescent="0.25">
      <c r="A68" s="1"/>
    </row>
    <row r="69" spans="1:1" x14ac:dyDescent="0.25">
      <c r="A69" s="1"/>
    </row>
    <row r="70" spans="1:1" x14ac:dyDescent="0.25">
      <c r="A70" s="1"/>
    </row>
    <row r="71" spans="1:1" x14ac:dyDescent="0.25">
      <c r="A71" s="1"/>
    </row>
    <row r="72" spans="1:1" x14ac:dyDescent="0.25">
      <c r="A72" s="1"/>
    </row>
    <row r="73" spans="1:1" x14ac:dyDescent="0.25">
      <c r="A73" s="1"/>
    </row>
    <row r="74" spans="1:1" x14ac:dyDescent="0.25">
      <c r="A74" s="1"/>
    </row>
    <row r="75" spans="1:1" x14ac:dyDescent="0.25">
      <c r="A75" s="1"/>
    </row>
    <row r="76" spans="1:1" x14ac:dyDescent="0.25">
      <c r="A76" s="1"/>
    </row>
    <row r="77" spans="1:1" x14ac:dyDescent="0.25">
      <c r="A77" s="1"/>
    </row>
    <row r="78" spans="1:1" x14ac:dyDescent="0.25">
      <c r="A78" s="1"/>
    </row>
    <row r="79" spans="1:1" x14ac:dyDescent="0.25">
      <c r="A79" s="1"/>
    </row>
    <row r="80" spans="1:1" x14ac:dyDescent="0.25">
      <c r="A80" s="1"/>
    </row>
    <row r="81" spans="1:1" x14ac:dyDescent="0.25">
      <c r="A81" s="1"/>
    </row>
    <row r="82" spans="1:1" x14ac:dyDescent="0.25">
      <c r="A82" s="1"/>
    </row>
    <row r="83" spans="1:1" x14ac:dyDescent="0.25">
      <c r="A83" s="1"/>
    </row>
    <row r="84" spans="1:1" x14ac:dyDescent="0.25">
      <c r="A84" s="1"/>
    </row>
    <row r="85" spans="1:1" x14ac:dyDescent="0.25">
      <c r="A85" s="1"/>
    </row>
    <row r="86" spans="1:1" x14ac:dyDescent="0.25">
      <c r="A86" s="1"/>
    </row>
    <row r="87" spans="1:1" x14ac:dyDescent="0.25">
      <c r="A87" s="1"/>
    </row>
    <row r="88" spans="1:1" x14ac:dyDescent="0.25">
      <c r="A88" s="1"/>
    </row>
    <row r="89" spans="1:1" x14ac:dyDescent="0.25">
      <c r="A89" s="1"/>
    </row>
    <row r="90" spans="1:1" x14ac:dyDescent="0.25">
      <c r="A90" s="1"/>
    </row>
    <row r="91" spans="1:1" x14ac:dyDescent="0.25">
      <c r="A91" s="1"/>
    </row>
    <row r="92" spans="1:1" x14ac:dyDescent="0.25">
      <c r="A92" s="1"/>
    </row>
    <row r="93" spans="1:1" x14ac:dyDescent="0.25">
      <c r="A93" s="1"/>
    </row>
    <row r="94" spans="1:1" x14ac:dyDescent="0.25">
      <c r="A94" s="1"/>
    </row>
    <row r="95" spans="1:1" x14ac:dyDescent="0.25">
      <c r="A95" s="1"/>
    </row>
    <row r="96" spans="1:1" x14ac:dyDescent="0.25">
      <c r="A96" s="1"/>
    </row>
    <row r="97" spans="1:1" x14ac:dyDescent="0.25">
      <c r="A97" s="1"/>
    </row>
    <row r="98" spans="1:1" x14ac:dyDescent="0.25">
      <c r="A98" s="1"/>
    </row>
    <row r="99" spans="1:1" x14ac:dyDescent="0.25">
      <c r="A99" s="1"/>
    </row>
    <row r="100" spans="1:1" x14ac:dyDescent="0.25">
      <c r="A100" s="1"/>
    </row>
    <row r="101" spans="1:1" x14ac:dyDescent="0.25">
      <c r="A101" s="1"/>
    </row>
    <row r="102" spans="1:1" x14ac:dyDescent="0.25">
      <c r="A102" s="1"/>
    </row>
    <row r="103" spans="1:1" x14ac:dyDescent="0.25">
      <c r="A103" s="1"/>
    </row>
    <row r="104" spans="1:1" x14ac:dyDescent="0.25">
      <c r="A104" s="1"/>
    </row>
    <row r="105" spans="1:1" x14ac:dyDescent="0.25">
      <c r="A105" s="1"/>
    </row>
    <row r="106" spans="1:1" x14ac:dyDescent="0.25">
      <c r="A106" s="1"/>
    </row>
    <row r="107" spans="1:1" x14ac:dyDescent="0.25">
      <c r="A107" s="1"/>
    </row>
    <row r="108" spans="1:1" x14ac:dyDescent="0.25">
      <c r="A108" s="1"/>
    </row>
    <row r="109" spans="1:1" x14ac:dyDescent="0.25">
      <c r="A109" s="1"/>
    </row>
    <row r="110" spans="1:1" x14ac:dyDescent="0.25">
      <c r="A110" s="1"/>
    </row>
    <row r="111" spans="1:1" x14ac:dyDescent="0.25">
      <c r="A111" s="1"/>
    </row>
    <row r="112" spans="1:1"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row r="248" spans="1:1" x14ac:dyDescent="0.25">
      <c r="A248" s="1"/>
    </row>
    <row r="249" spans="1:1" x14ac:dyDescent="0.25">
      <c r="A249" s="1"/>
    </row>
    <row r="250" spans="1:1" x14ac:dyDescent="0.25">
      <c r="A250" s="1"/>
    </row>
    <row r="251" spans="1:1" x14ac:dyDescent="0.25">
      <c r="A251" s="1"/>
    </row>
    <row r="252" spans="1:1" x14ac:dyDescent="0.25">
      <c r="A252" s="1"/>
    </row>
    <row r="253" spans="1:1" x14ac:dyDescent="0.25">
      <c r="A253" s="1"/>
    </row>
    <row r="254" spans="1:1" x14ac:dyDescent="0.25">
      <c r="A254" s="1"/>
    </row>
    <row r="255" spans="1:1" x14ac:dyDescent="0.25">
      <c r="A255" s="1"/>
    </row>
    <row r="256" spans="1:1" x14ac:dyDescent="0.25">
      <c r="A256" s="1"/>
    </row>
    <row r="257" spans="1:1" x14ac:dyDescent="0.25">
      <c r="A257" s="1"/>
    </row>
    <row r="258" spans="1:1" x14ac:dyDescent="0.25">
      <c r="A258" s="1"/>
    </row>
    <row r="259" spans="1:1" x14ac:dyDescent="0.25">
      <c r="A259" s="1"/>
    </row>
    <row r="260" spans="1:1" x14ac:dyDescent="0.25">
      <c r="A260" s="1"/>
    </row>
    <row r="261" spans="1:1" x14ac:dyDescent="0.25">
      <c r="A261" s="1"/>
    </row>
    <row r="262" spans="1:1" x14ac:dyDescent="0.25">
      <c r="A262" s="1"/>
    </row>
    <row r="263" spans="1:1" x14ac:dyDescent="0.25">
      <c r="A263" s="1"/>
    </row>
    <row r="264" spans="1:1" x14ac:dyDescent="0.25">
      <c r="A264" s="1"/>
    </row>
    <row r="265" spans="1:1" x14ac:dyDescent="0.25">
      <c r="A265" s="1"/>
    </row>
    <row r="266" spans="1:1" x14ac:dyDescent="0.25">
      <c r="A266" s="1"/>
    </row>
    <row r="267" spans="1:1" x14ac:dyDescent="0.25">
      <c r="A267" s="1"/>
    </row>
    <row r="268" spans="1:1" x14ac:dyDescent="0.25">
      <c r="A268" s="1"/>
    </row>
    <row r="269" spans="1:1" x14ac:dyDescent="0.25">
      <c r="A269" s="1"/>
    </row>
    <row r="270" spans="1:1" x14ac:dyDescent="0.25">
      <c r="A270" s="1"/>
    </row>
    <row r="271" spans="1:1" x14ac:dyDescent="0.25">
      <c r="A271" s="1"/>
    </row>
    <row r="272" spans="1:1" x14ac:dyDescent="0.25">
      <c r="A272" s="1"/>
    </row>
    <row r="273" spans="1:1" x14ac:dyDescent="0.25">
      <c r="A273" s="1"/>
    </row>
    <row r="274" spans="1:1" x14ac:dyDescent="0.25">
      <c r="A274" s="1"/>
    </row>
    <row r="275" spans="1:1" x14ac:dyDescent="0.25">
      <c r="A275" s="1"/>
    </row>
    <row r="276" spans="1:1" x14ac:dyDescent="0.25">
      <c r="A276" s="1"/>
    </row>
    <row r="277" spans="1:1" x14ac:dyDescent="0.25">
      <c r="A277" s="1"/>
    </row>
    <row r="278" spans="1:1" x14ac:dyDescent="0.25">
      <c r="A278" s="1"/>
    </row>
    <row r="279" spans="1:1" x14ac:dyDescent="0.25">
      <c r="A279" s="1"/>
    </row>
    <row r="280" spans="1:1" x14ac:dyDescent="0.25">
      <c r="A280" s="1"/>
    </row>
    <row r="281" spans="1:1" x14ac:dyDescent="0.25">
      <c r="A281" s="1"/>
    </row>
    <row r="282" spans="1:1" x14ac:dyDescent="0.25">
      <c r="A282" s="1"/>
    </row>
    <row r="283" spans="1:1" x14ac:dyDescent="0.25">
      <c r="A283" s="1"/>
    </row>
    <row r="284" spans="1:1" x14ac:dyDescent="0.25">
      <c r="A284" s="1"/>
    </row>
    <row r="285" spans="1:1" x14ac:dyDescent="0.25">
      <c r="A285" s="1"/>
    </row>
    <row r="286" spans="1:1" x14ac:dyDescent="0.25">
      <c r="A286" s="1"/>
    </row>
    <row r="287" spans="1:1" x14ac:dyDescent="0.25">
      <c r="A287" s="1"/>
    </row>
    <row r="288" spans="1:1" x14ac:dyDescent="0.25">
      <c r="A288" s="1"/>
    </row>
    <row r="289" spans="1:1" x14ac:dyDescent="0.25">
      <c r="A289" s="1"/>
    </row>
    <row r="290" spans="1:1" x14ac:dyDescent="0.25">
      <c r="A290" s="1"/>
    </row>
    <row r="291" spans="1:1" x14ac:dyDescent="0.25">
      <c r="A291" s="1"/>
    </row>
    <row r="292" spans="1:1" x14ac:dyDescent="0.25">
      <c r="A292" s="1"/>
    </row>
    <row r="293" spans="1:1" x14ac:dyDescent="0.25">
      <c r="A293" s="1"/>
    </row>
    <row r="294" spans="1:1" x14ac:dyDescent="0.25">
      <c r="A294" s="1"/>
    </row>
    <row r="295" spans="1:1" x14ac:dyDescent="0.25">
      <c r="A295" s="1"/>
    </row>
    <row r="296" spans="1:1" x14ac:dyDescent="0.25">
      <c r="A296" s="1"/>
    </row>
    <row r="297" spans="1:1" x14ac:dyDescent="0.25">
      <c r="A297" s="1"/>
    </row>
    <row r="298" spans="1:1" x14ac:dyDescent="0.25">
      <c r="A298" s="1"/>
    </row>
    <row r="299" spans="1:1" x14ac:dyDescent="0.25">
      <c r="A299" s="1"/>
    </row>
    <row r="300" spans="1:1" x14ac:dyDescent="0.25">
      <c r="A300" s="1"/>
    </row>
    <row r="301" spans="1:1" x14ac:dyDescent="0.25">
      <c r="A301" s="1"/>
    </row>
    <row r="302" spans="1:1" x14ac:dyDescent="0.25">
      <c r="A302" s="1"/>
    </row>
    <row r="303" spans="1:1" x14ac:dyDescent="0.25">
      <c r="A303" s="1"/>
    </row>
    <row r="304" spans="1:1" x14ac:dyDescent="0.25">
      <c r="A304" s="1"/>
    </row>
    <row r="305" spans="1:1" x14ac:dyDescent="0.25">
      <c r="A305" s="1"/>
    </row>
    <row r="306" spans="1:1" x14ac:dyDescent="0.25">
      <c r="A306" s="1"/>
    </row>
    <row r="307" spans="1:1" x14ac:dyDescent="0.25">
      <c r="A307" s="1"/>
    </row>
    <row r="308" spans="1:1" x14ac:dyDescent="0.25">
      <c r="A308" s="1"/>
    </row>
    <row r="309" spans="1:1" x14ac:dyDescent="0.25">
      <c r="A309" s="1"/>
    </row>
    <row r="310" spans="1:1" x14ac:dyDescent="0.25">
      <c r="A310" s="1"/>
    </row>
    <row r="311" spans="1:1" x14ac:dyDescent="0.25">
      <c r="A311" s="1"/>
    </row>
    <row r="312" spans="1:1" x14ac:dyDescent="0.25">
      <c r="A312" s="1"/>
    </row>
    <row r="313" spans="1:1" x14ac:dyDescent="0.25">
      <c r="A313" s="1"/>
    </row>
    <row r="314" spans="1:1" x14ac:dyDescent="0.25">
      <c r="A314" s="1"/>
    </row>
    <row r="315" spans="1:1" x14ac:dyDescent="0.25">
      <c r="A315" s="1"/>
    </row>
    <row r="316" spans="1:1" x14ac:dyDescent="0.25">
      <c r="A316" s="1"/>
    </row>
    <row r="317" spans="1:1" x14ac:dyDescent="0.25">
      <c r="A317" s="1"/>
    </row>
    <row r="318" spans="1:1" x14ac:dyDescent="0.25">
      <c r="A318" s="1"/>
    </row>
    <row r="319" spans="1:1" x14ac:dyDescent="0.25">
      <c r="A319" s="1"/>
    </row>
    <row r="320" spans="1:1" x14ac:dyDescent="0.25">
      <c r="A320" s="1"/>
    </row>
    <row r="321" spans="1:1" x14ac:dyDescent="0.25">
      <c r="A321" s="1"/>
    </row>
    <row r="322" spans="1:1" x14ac:dyDescent="0.25">
      <c r="A322" s="1"/>
    </row>
    <row r="323" spans="1:1" x14ac:dyDescent="0.25">
      <c r="A323" s="1"/>
    </row>
    <row r="324" spans="1:1" x14ac:dyDescent="0.25">
      <c r="A324" s="1"/>
    </row>
    <row r="325" spans="1:1" x14ac:dyDescent="0.25">
      <c r="A325" s="1"/>
    </row>
    <row r="326" spans="1:1" x14ac:dyDescent="0.25">
      <c r="A326" s="1"/>
    </row>
    <row r="327" spans="1:1" x14ac:dyDescent="0.25">
      <c r="A327" s="1"/>
    </row>
    <row r="328" spans="1:1" x14ac:dyDescent="0.25">
      <c r="A328" s="1"/>
    </row>
    <row r="329" spans="1:1" x14ac:dyDescent="0.25">
      <c r="A329" s="1"/>
    </row>
    <row r="330" spans="1:1" x14ac:dyDescent="0.25">
      <c r="A330" s="1"/>
    </row>
    <row r="331" spans="1:1" x14ac:dyDescent="0.25">
      <c r="A331" s="1"/>
    </row>
    <row r="332" spans="1:1" x14ac:dyDescent="0.25">
      <c r="A332" s="1"/>
    </row>
    <row r="333" spans="1:1" x14ac:dyDescent="0.25">
      <c r="A333" s="1"/>
    </row>
    <row r="334" spans="1:1" x14ac:dyDescent="0.25">
      <c r="A334" s="1"/>
    </row>
    <row r="335" spans="1:1" x14ac:dyDescent="0.25">
      <c r="A335" s="1"/>
    </row>
    <row r="336" spans="1:1" x14ac:dyDescent="0.25">
      <c r="A336" s="1"/>
    </row>
    <row r="337" spans="1:1" x14ac:dyDescent="0.25">
      <c r="A337" s="1"/>
    </row>
    <row r="338" spans="1:1" x14ac:dyDescent="0.25">
      <c r="A338" s="1"/>
    </row>
    <row r="339" spans="1:1" x14ac:dyDescent="0.25">
      <c r="A339" s="1"/>
    </row>
    <row r="340" spans="1:1" x14ac:dyDescent="0.25">
      <c r="A340" s="1"/>
    </row>
    <row r="341" spans="1:1" x14ac:dyDescent="0.25">
      <c r="A341" s="1"/>
    </row>
    <row r="342" spans="1:1" x14ac:dyDescent="0.25">
      <c r="A342" s="1"/>
    </row>
    <row r="343" spans="1:1" x14ac:dyDescent="0.25">
      <c r="A343" s="1"/>
    </row>
    <row r="344" spans="1:1" x14ac:dyDescent="0.25">
      <c r="A344" s="1"/>
    </row>
    <row r="345" spans="1:1" x14ac:dyDescent="0.25">
      <c r="A345" s="1"/>
    </row>
    <row r="346" spans="1:1" x14ac:dyDescent="0.25">
      <c r="A346" s="1"/>
    </row>
    <row r="347" spans="1:1" x14ac:dyDescent="0.25">
      <c r="A347" s="1"/>
    </row>
    <row r="348" spans="1:1" x14ac:dyDescent="0.25">
      <c r="A348" s="1"/>
    </row>
    <row r="349" spans="1:1" x14ac:dyDescent="0.25">
      <c r="A349" s="1"/>
    </row>
    <row r="350" spans="1:1" x14ac:dyDescent="0.25">
      <c r="A350" s="1"/>
    </row>
    <row r="351" spans="1:1" x14ac:dyDescent="0.25">
      <c r="A351" s="1"/>
    </row>
    <row r="352" spans="1:1" x14ac:dyDescent="0.25">
      <c r="A352" s="1"/>
    </row>
    <row r="353" spans="1:1" x14ac:dyDescent="0.25">
      <c r="A353" s="1"/>
    </row>
    <row r="354" spans="1:1" x14ac:dyDescent="0.25">
      <c r="A354" s="1"/>
    </row>
    <row r="355" spans="1:1" x14ac:dyDescent="0.25">
      <c r="A355" s="1"/>
    </row>
    <row r="356" spans="1:1" x14ac:dyDescent="0.25">
      <c r="A356" s="1"/>
    </row>
    <row r="357" spans="1:1" x14ac:dyDescent="0.25">
      <c r="A357" s="1"/>
    </row>
    <row r="358" spans="1:1" x14ac:dyDescent="0.25">
      <c r="A358" s="1"/>
    </row>
    <row r="359" spans="1:1" x14ac:dyDescent="0.25">
      <c r="A359" s="1"/>
    </row>
    <row r="360" spans="1:1" x14ac:dyDescent="0.25">
      <c r="A360" s="1"/>
    </row>
    <row r="361" spans="1:1" x14ac:dyDescent="0.25">
      <c r="A361" s="1"/>
    </row>
    <row r="362" spans="1:1" x14ac:dyDescent="0.25">
      <c r="A362" s="1"/>
    </row>
    <row r="363" spans="1:1" x14ac:dyDescent="0.25">
      <c r="A363" s="1"/>
    </row>
    <row r="364" spans="1:1" x14ac:dyDescent="0.25">
      <c r="A364" s="1"/>
    </row>
    <row r="365" spans="1:1" x14ac:dyDescent="0.25">
      <c r="A365" s="1"/>
    </row>
    <row r="366" spans="1:1" x14ac:dyDescent="0.25">
      <c r="A366" s="1"/>
    </row>
    <row r="367" spans="1:1" x14ac:dyDescent="0.25">
      <c r="A367" s="1"/>
    </row>
    <row r="368" spans="1:1" x14ac:dyDescent="0.25">
      <c r="A368" s="1"/>
    </row>
    <row r="369" spans="1:1" x14ac:dyDescent="0.25">
      <c r="A369" s="1"/>
    </row>
    <row r="370" spans="1:1" x14ac:dyDescent="0.25">
      <c r="A370" s="1"/>
    </row>
    <row r="371" spans="1:1" x14ac:dyDescent="0.25">
      <c r="A371" s="1"/>
    </row>
    <row r="372" spans="1:1" x14ac:dyDescent="0.25">
      <c r="A372" s="1"/>
    </row>
    <row r="373" spans="1:1" x14ac:dyDescent="0.25">
      <c r="A373" s="1"/>
    </row>
    <row r="374" spans="1:1" x14ac:dyDescent="0.25">
      <c r="A374" s="1"/>
    </row>
    <row r="375" spans="1:1" x14ac:dyDescent="0.25">
      <c r="A375" s="1"/>
    </row>
    <row r="376" spans="1:1" x14ac:dyDescent="0.25">
      <c r="A376" s="1"/>
    </row>
    <row r="377" spans="1:1" x14ac:dyDescent="0.25">
      <c r="A377" s="1"/>
    </row>
    <row r="378" spans="1:1" x14ac:dyDescent="0.25">
      <c r="A378" s="1"/>
    </row>
    <row r="379" spans="1:1" x14ac:dyDescent="0.25">
      <c r="A379" s="1"/>
    </row>
    <row r="380" spans="1:1" x14ac:dyDescent="0.25">
      <c r="A380" s="1"/>
    </row>
    <row r="381" spans="1:1" x14ac:dyDescent="0.25">
      <c r="A381" s="1"/>
    </row>
    <row r="382" spans="1:1" x14ac:dyDescent="0.25">
      <c r="A382" s="1"/>
    </row>
    <row r="383" spans="1:1" x14ac:dyDescent="0.25">
      <c r="A383" s="1"/>
    </row>
    <row r="384" spans="1:1" x14ac:dyDescent="0.25">
      <c r="A384" s="1"/>
    </row>
    <row r="385" spans="1:1" x14ac:dyDescent="0.25">
      <c r="A385" s="1"/>
    </row>
    <row r="386" spans="1:1" x14ac:dyDescent="0.25">
      <c r="A386" s="1"/>
    </row>
    <row r="387" spans="1:1" x14ac:dyDescent="0.25">
      <c r="A387" s="1"/>
    </row>
    <row r="388" spans="1:1" x14ac:dyDescent="0.25">
      <c r="A388" s="1"/>
    </row>
    <row r="389" spans="1:1" x14ac:dyDescent="0.25">
      <c r="A389" s="1"/>
    </row>
    <row r="390" spans="1:1" x14ac:dyDescent="0.25">
      <c r="A390" s="1"/>
    </row>
    <row r="391" spans="1:1" x14ac:dyDescent="0.25">
      <c r="A391" s="1"/>
    </row>
    <row r="392" spans="1:1" x14ac:dyDescent="0.25">
      <c r="A392" s="1"/>
    </row>
    <row r="393" spans="1:1" x14ac:dyDescent="0.25">
      <c r="A393" s="1"/>
    </row>
    <row r="394" spans="1:1" x14ac:dyDescent="0.25">
      <c r="A394" s="1"/>
    </row>
    <row r="395" spans="1:1" x14ac:dyDescent="0.25">
      <c r="A395" s="1"/>
    </row>
    <row r="396" spans="1:1" x14ac:dyDescent="0.25">
      <c r="A396" s="1"/>
    </row>
    <row r="397" spans="1:1" x14ac:dyDescent="0.25">
      <c r="A397" s="1"/>
    </row>
    <row r="398" spans="1:1" x14ac:dyDescent="0.25">
      <c r="A398" s="1"/>
    </row>
    <row r="399" spans="1:1" x14ac:dyDescent="0.25">
      <c r="A399" s="1"/>
    </row>
    <row r="400" spans="1:1" x14ac:dyDescent="0.25">
      <c r="A400" s="1"/>
    </row>
    <row r="401" spans="1:1" x14ac:dyDescent="0.25">
      <c r="A401" s="1"/>
    </row>
    <row r="402" spans="1:1" x14ac:dyDescent="0.25">
      <c r="A402" s="1"/>
    </row>
    <row r="403" spans="1:1" x14ac:dyDescent="0.25">
      <c r="A403" s="1"/>
    </row>
    <row r="404" spans="1:1" x14ac:dyDescent="0.25">
      <c r="A404" s="1"/>
    </row>
    <row r="405" spans="1:1" x14ac:dyDescent="0.25">
      <c r="A405" s="1"/>
    </row>
    <row r="406" spans="1:1" x14ac:dyDescent="0.25">
      <c r="A406" s="1"/>
    </row>
    <row r="407" spans="1:1" x14ac:dyDescent="0.25">
      <c r="A407" s="1"/>
    </row>
    <row r="408" spans="1:1" x14ac:dyDescent="0.25">
      <c r="A408" s="1"/>
    </row>
    <row r="409" spans="1:1" x14ac:dyDescent="0.25">
      <c r="A409" s="1"/>
    </row>
    <row r="410" spans="1:1" x14ac:dyDescent="0.25">
      <c r="A410" s="1"/>
    </row>
    <row r="411" spans="1:1" x14ac:dyDescent="0.25">
      <c r="A411" s="1"/>
    </row>
    <row r="412" spans="1:1" x14ac:dyDescent="0.25">
      <c r="A412" s="1"/>
    </row>
    <row r="413" spans="1:1" x14ac:dyDescent="0.25">
      <c r="A413" s="1"/>
    </row>
    <row r="414" spans="1:1" x14ac:dyDescent="0.25">
      <c r="A414" s="1"/>
    </row>
    <row r="415" spans="1:1" x14ac:dyDescent="0.25">
      <c r="A415" s="1"/>
    </row>
    <row r="416" spans="1:1" x14ac:dyDescent="0.25">
      <c r="A416" s="1"/>
    </row>
    <row r="417" spans="1:1" x14ac:dyDescent="0.25">
      <c r="A417" s="1"/>
    </row>
    <row r="418" spans="1:1" x14ac:dyDescent="0.25">
      <c r="A418" s="1"/>
    </row>
    <row r="419" spans="1:1" x14ac:dyDescent="0.25">
      <c r="A419" s="1"/>
    </row>
    <row r="420" spans="1:1" x14ac:dyDescent="0.25">
      <c r="A420" s="1"/>
    </row>
    <row r="421" spans="1:1" x14ac:dyDescent="0.25">
      <c r="A421" s="1"/>
    </row>
    <row r="422" spans="1:1" x14ac:dyDescent="0.25">
      <c r="A422" s="1"/>
    </row>
    <row r="423" spans="1:1" x14ac:dyDescent="0.25">
      <c r="A423" s="1"/>
    </row>
    <row r="424" spans="1:1" x14ac:dyDescent="0.25">
      <c r="A424" s="1"/>
    </row>
    <row r="425" spans="1:1" x14ac:dyDescent="0.25">
      <c r="A425" s="1"/>
    </row>
    <row r="426" spans="1:1" x14ac:dyDescent="0.25">
      <c r="A426" s="1"/>
    </row>
    <row r="427" spans="1:1" x14ac:dyDescent="0.25">
      <c r="A427" s="1"/>
    </row>
    <row r="428" spans="1:1" x14ac:dyDescent="0.25">
      <c r="A428" s="1"/>
    </row>
    <row r="429" spans="1:1" x14ac:dyDescent="0.25">
      <c r="A429" s="1"/>
    </row>
    <row r="430" spans="1:1" x14ac:dyDescent="0.25">
      <c r="A430" s="1"/>
    </row>
    <row r="431" spans="1:1" x14ac:dyDescent="0.25">
      <c r="A431" s="1"/>
    </row>
    <row r="432" spans="1:1" x14ac:dyDescent="0.25">
      <c r="A432" s="1"/>
    </row>
    <row r="433" spans="1:1" x14ac:dyDescent="0.25">
      <c r="A433" s="1"/>
    </row>
    <row r="434" spans="1:1" x14ac:dyDescent="0.25">
      <c r="A434" s="1"/>
    </row>
    <row r="435" spans="1:1" x14ac:dyDescent="0.25">
      <c r="A435" s="1"/>
    </row>
    <row r="436" spans="1:1" x14ac:dyDescent="0.25">
      <c r="A436" s="1"/>
    </row>
    <row r="437" spans="1:1" x14ac:dyDescent="0.25">
      <c r="A437" s="1"/>
    </row>
    <row r="438" spans="1:1" x14ac:dyDescent="0.25">
      <c r="A438" s="1"/>
    </row>
    <row r="439" spans="1:1" x14ac:dyDescent="0.25">
      <c r="A439" s="1"/>
    </row>
    <row r="440" spans="1:1" x14ac:dyDescent="0.25">
      <c r="A440" s="1"/>
    </row>
    <row r="441" spans="1:1" x14ac:dyDescent="0.25">
      <c r="A441" s="1"/>
    </row>
    <row r="442" spans="1:1" x14ac:dyDescent="0.25">
      <c r="A442" s="1"/>
    </row>
    <row r="443" spans="1:1" x14ac:dyDescent="0.25">
      <c r="A443" s="1"/>
    </row>
    <row r="444" spans="1:1" x14ac:dyDescent="0.25">
      <c r="A444" s="1"/>
    </row>
    <row r="445" spans="1:1" x14ac:dyDescent="0.25">
      <c r="A445" s="1"/>
    </row>
    <row r="446" spans="1:1" x14ac:dyDescent="0.25">
      <c r="A446" s="1"/>
    </row>
    <row r="447" spans="1:1" x14ac:dyDescent="0.25">
      <c r="A447" s="1"/>
    </row>
    <row r="448" spans="1:1" x14ac:dyDescent="0.25">
      <c r="A448" s="1"/>
    </row>
    <row r="449" spans="1:1" x14ac:dyDescent="0.25">
      <c r="A449" s="1"/>
    </row>
    <row r="450" spans="1:1" x14ac:dyDescent="0.25">
      <c r="A450" s="1"/>
    </row>
    <row r="451" spans="1:1" x14ac:dyDescent="0.25">
      <c r="A451" s="1"/>
    </row>
    <row r="452" spans="1:1" x14ac:dyDescent="0.25">
      <c r="A452" s="1"/>
    </row>
    <row r="453" spans="1:1" x14ac:dyDescent="0.25">
      <c r="A453" s="1"/>
    </row>
    <row r="454" spans="1:1" x14ac:dyDescent="0.25">
      <c r="A454" s="1"/>
    </row>
    <row r="455" spans="1:1" x14ac:dyDescent="0.25">
      <c r="A455" s="1"/>
    </row>
    <row r="456" spans="1:1" x14ac:dyDescent="0.25">
      <c r="A456" s="1"/>
    </row>
    <row r="457" spans="1:1" x14ac:dyDescent="0.25">
      <c r="A457" s="1"/>
    </row>
    <row r="458" spans="1:1" x14ac:dyDescent="0.25">
      <c r="A458" s="1"/>
    </row>
    <row r="459" spans="1:1" x14ac:dyDescent="0.25">
      <c r="A459" s="1"/>
    </row>
    <row r="460" spans="1:1" x14ac:dyDescent="0.25">
      <c r="A460" s="1"/>
    </row>
    <row r="461" spans="1:1" x14ac:dyDescent="0.25">
      <c r="A461" s="1"/>
    </row>
    <row r="462" spans="1:1" x14ac:dyDescent="0.25">
      <c r="A462" s="1"/>
    </row>
    <row r="463" spans="1:1" x14ac:dyDescent="0.25">
      <c r="A463" s="1"/>
    </row>
    <row r="464" spans="1:1" x14ac:dyDescent="0.25">
      <c r="A464" s="1"/>
    </row>
    <row r="465" spans="1:1" x14ac:dyDescent="0.25">
      <c r="A465" s="1"/>
    </row>
    <row r="466" spans="1:1" x14ac:dyDescent="0.25">
      <c r="A466" s="1"/>
    </row>
    <row r="467" spans="1:1" x14ac:dyDescent="0.25">
      <c r="A467" s="1"/>
    </row>
    <row r="468" spans="1:1" x14ac:dyDescent="0.25">
      <c r="A468" s="1"/>
    </row>
    <row r="469" spans="1:1" x14ac:dyDescent="0.25">
      <c r="A469" s="1"/>
    </row>
    <row r="470" spans="1:1" x14ac:dyDescent="0.25">
      <c r="A470" s="1"/>
    </row>
    <row r="471" spans="1:1" x14ac:dyDescent="0.25">
      <c r="A471" s="1"/>
    </row>
    <row r="472" spans="1:1" x14ac:dyDescent="0.25">
      <c r="A472" s="1"/>
    </row>
    <row r="473" spans="1:1" x14ac:dyDescent="0.25">
      <c r="A473" s="1"/>
    </row>
    <row r="474" spans="1:1" x14ac:dyDescent="0.25">
      <c r="A474" s="1"/>
    </row>
    <row r="475" spans="1:1" x14ac:dyDescent="0.25">
      <c r="A475" s="1"/>
    </row>
    <row r="476" spans="1:1" x14ac:dyDescent="0.25">
      <c r="A476" s="1"/>
    </row>
    <row r="477" spans="1:1" x14ac:dyDescent="0.25">
      <c r="A477" s="1"/>
    </row>
    <row r="478" spans="1:1" x14ac:dyDescent="0.25">
      <c r="A478" s="1"/>
    </row>
    <row r="479" spans="1:1" x14ac:dyDescent="0.25">
      <c r="A479" s="1"/>
    </row>
    <row r="480" spans="1:1" x14ac:dyDescent="0.25">
      <c r="A480" s="1"/>
    </row>
    <row r="481" spans="1:1" x14ac:dyDescent="0.25">
      <c r="A481" s="1"/>
    </row>
    <row r="482" spans="1:1" x14ac:dyDescent="0.25">
      <c r="A482" s="1"/>
    </row>
    <row r="483" spans="1:1" x14ac:dyDescent="0.25">
      <c r="A483" s="1"/>
    </row>
    <row r="484" spans="1:1" x14ac:dyDescent="0.25">
      <c r="A484" s="1"/>
    </row>
    <row r="485" spans="1:1" x14ac:dyDescent="0.25">
      <c r="A485" s="1"/>
    </row>
    <row r="486" spans="1:1" x14ac:dyDescent="0.25">
      <c r="A486" s="1"/>
    </row>
    <row r="487" spans="1:1" x14ac:dyDescent="0.25">
      <c r="A487" s="1"/>
    </row>
    <row r="488" spans="1:1" x14ac:dyDescent="0.25">
      <c r="A488" s="1"/>
    </row>
    <row r="489" spans="1:1" x14ac:dyDescent="0.25">
      <c r="A489" s="1"/>
    </row>
    <row r="490" spans="1:1" x14ac:dyDescent="0.25">
      <c r="A490" s="1"/>
    </row>
    <row r="491" spans="1:1" x14ac:dyDescent="0.25">
      <c r="A491" s="1"/>
    </row>
    <row r="492" spans="1:1" x14ac:dyDescent="0.25">
      <c r="A492" s="1"/>
    </row>
    <row r="493" spans="1:1" x14ac:dyDescent="0.25">
      <c r="A493" s="1"/>
    </row>
    <row r="494" spans="1:1" x14ac:dyDescent="0.25">
      <c r="A494" s="1"/>
    </row>
    <row r="495" spans="1:1" x14ac:dyDescent="0.25">
      <c r="A495" s="1"/>
    </row>
    <row r="496" spans="1:1" x14ac:dyDescent="0.25">
      <c r="A496" s="1"/>
    </row>
    <row r="497" spans="1:1" x14ac:dyDescent="0.25">
      <c r="A497" s="1"/>
    </row>
    <row r="498" spans="1:1" x14ac:dyDescent="0.25">
      <c r="A498" s="1"/>
    </row>
    <row r="499" spans="1:1" x14ac:dyDescent="0.25">
      <c r="A499" s="1"/>
    </row>
    <row r="500" spans="1:1" x14ac:dyDescent="0.25">
      <c r="A500" s="1"/>
    </row>
    <row r="501" spans="1:1" x14ac:dyDescent="0.25">
      <c r="A501" s="1"/>
    </row>
    <row r="502" spans="1:1" x14ac:dyDescent="0.25">
      <c r="A502" s="1"/>
    </row>
    <row r="503" spans="1:1" x14ac:dyDescent="0.25">
      <c r="A503" s="1"/>
    </row>
    <row r="504" spans="1:1" x14ac:dyDescent="0.25">
      <c r="A504" s="1"/>
    </row>
    <row r="505" spans="1:1" x14ac:dyDescent="0.25">
      <c r="A505" s="1"/>
    </row>
    <row r="506" spans="1:1" x14ac:dyDescent="0.25">
      <c r="A506" s="1"/>
    </row>
    <row r="507" spans="1:1" x14ac:dyDescent="0.25">
      <c r="A507" s="1"/>
    </row>
    <row r="508" spans="1:1" x14ac:dyDescent="0.25">
      <c r="A508" s="1"/>
    </row>
    <row r="509" spans="1:1" x14ac:dyDescent="0.25">
      <c r="A509" s="1"/>
    </row>
    <row r="510" spans="1:1" x14ac:dyDescent="0.25">
      <c r="A510" s="1"/>
    </row>
    <row r="511" spans="1:1" x14ac:dyDescent="0.25">
      <c r="A511" s="1"/>
    </row>
    <row r="512" spans="1:1" x14ac:dyDescent="0.25">
      <c r="A512" s="1"/>
    </row>
    <row r="513" spans="1:1" x14ac:dyDescent="0.25">
      <c r="A513" s="1"/>
    </row>
    <row r="514" spans="1:1" x14ac:dyDescent="0.25">
      <c r="A514" s="1"/>
    </row>
    <row r="515" spans="1:1" x14ac:dyDescent="0.25">
      <c r="A515" s="1"/>
    </row>
    <row r="516" spans="1:1" x14ac:dyDescent="0.25">
      <c r="A516" s="1"/>
    </row>
    <row r="517" spans="1:1" x14ac:dyDescent="0.25">
      <c r="A517" s="1"/>
    </row>
    <row r="518" spans="1:1" x14ac:dyDescent="0.25">
      <c r="A518" s="1"/>
    </row>
    <row r="519" spans="1:1" x14ac:dyDescent="0.25">
      <c r="A519" s="1"/>
    </row>
    <row r="520" spans="1:1" x14ac:dyDescent="0.25">
      <c r="A520" s="1"/>
    </row>
    <row r="521" spans="1:1" x14ac:dyDescent="0.25">
      <c r="A521" s="1"/>
    </row>
    <row r="522" spans="1:1" x14ac:dyDescent="0.25">
      <c r="A522" s="1"/>
    </row>
    <row r="523" spans="1:1" x14ac:dyDescent="0.25">
      <c r="A523" s="1"/>
    </row>
    <row r="524" spans="1:1" x14ac:dyDescent="0.25">
      <c r="A524" s="1"/>
    </row>
    <row r="525" spans="1:1" x14ac:dyDescent="0.25">
      <c r="A525" s="1"/>
    </row>
    <row r="526" spans="1:1" x14ac:dyDescent="0.25">
      <c r="A526" s="1"/>
    </row>
    <row r="527" spans="1:1" x14ac:dyDescent="0.25">
      <c r="A527" s="1"/>
    </row>
    <row r="528" spans="1:1" x14ac:dyDescent="0.25">
      <c r="A528" s="1"/>
    </row>
    <row r="529" spans="1:1" x14ac:dyDescent="0.25">
      <c r="A529" s="1"/>
    </row>
    <row r="530" spans="1:1" x14ac:dyDescent="0.25">
      <c r="A530" s="1"/>
    </row>
    <row r="531" spans="1:1" x14ac:dyDescent="0.25">
      <c r="A531" s="1"/>
    </row>
    <row r="532" spans="1:1" x14ac:dyDescent="0.25">
      <c r="A532" s="1"/>
    </row>
    <row r="533" spans="1:1" x14ac:dyDescent="0.25">
      <c r="A533" s="1"/>
    </row>
    <row r="534" spans="1:1" x14ac:dyDescent="0.25">
      <c r="A534" s="1"/>
    </row>
    <row r="535" spans="1:1" x14ac:dyDescent="0.25">
      <c r="A535" s="1"/>
    </row>
    <row r="536" spans="1:1" x14ac:dyDescent="0.25">
      <c r="A536" s="1"/>
    </row>
    <row r="537" spans="1:1" x14ac:dyDescent="0.25">
      <c r="A537" s="1"/>
    </row>
    <row r="538" spans="1:1" x14ac:dyDescent="0.25">
      <c r="A538" s="1"/>
    </row>
    <row r="539" spans="1:1" x14ac:dyDescent="0.25">
      <c r="A539" s="1"/>
    </row>
    <row r="540" spans="1:1" x14ac:dyDescent="0.25">
      <c r="A540" s="1"/>
    </row>
    <row r="541" spans="1:1" x14ac:dyDescent="0.25">
      <c r="A541" s="1"/>
    </row>
    <row r="542" spans="1:1" x14ac:dyDescent="0.25">
      <c r="A542" s="1"/>
    </row>
    <row r="543" spans="1:1" x14ac:dyDescent="0.25">
      <c r="A543" s="1"/>
    </row>
    <row r="544" spans="1:1" x14ac:dyDescent="0.25">
      <c r="A544" s="1"/>
    </row>
    <row r="545" spans="1:1" x14ac:dyDescent="0.25">
      <c r="A545" s="1"/>
    </row>
    <row r="546" spans="1:1" x14ac:dyDescent="0.25">
      <c r="A546" s="1"/>
    </row>
    <row r="547" spans="1:1" x14ac:dyDescent="0.25">
      <c r="A547" s="1"/>
    </row>
    <row r="548" spans="1:1" x14ac:dyDescent="0.25">
      <c r="A548" s="1"/>
    </row>
    <row r="549" spans="1:1" x14ac:dyDescent="0.25">
      <c r="A549" s="1"/>
    </row>
    <row r="550" spans="1:1" x14ac:dyDescent="0.25">
      <c r="A550" s="1"/>
    </row>
    <row r="551" spans="1:1" x14ac:dyDescent="0.25">
      <c r="A551" s="1"/>
    </row>
    <row r="552" spans="1:1" x14ac:dyDescent="0.25">
      <c r="A552" s="1"/>
    </row>
    <row r="553" spans="1:1" x14ac:dyDescent="0.25">
      <c r="A553" s="1"/>
    </row>
    <row r="554" spans="1:1" x14ac:dyDescent="0.25">
      <c r="A554" s="1"/>
    </row>
    <row r="555" spans="1:1" x14ac:dyDescent="0.25">
      <c r="A555" s="1"/>
    </row>
    <row r="556" spans="1:1" x14ac:dyDescent="0.25">
      <c r="A556" s="1"/>
    </row>
    <row r="557" spans="1:1" x14ac:dyDescent="0.25">
      <c r="A557" s="1"/>
    </row>
    <row r="558" spans="1:1" x14ac:dyDescent="0.25">
      <c r="A558" s="1"/>
    </row>
    <row r="559" spans="1:1" x14ac:dyDescent="0.25">
      <c r="A559" s="1"/>
    </row>
    <row r="560" spans="1:1" x14ac:dyDescent="0.25">
      <c r="A560" s="1"/>
    </row>
    <row r="561" spans="1:1" x14ac:dyDescent="0.25">
      <c r="A561" s="1"/>
    </row>
    <row r="562" spans="1:1" x14ac:dyDescent="0.25">
      <c r="A562" s="1"/>
    </row>
    <row r="563" spans="1:1" x14ac:dyDescent="0.25">
      <c r="A563" s="1"/>
    </row>
    <row r="564" spans="1:1" x14ac:dyDescent="0.25">
      <c r="A564" s="1"/>
    </row>
    <row r="565" spans="1:1" x14ac:dyDescent="0.25">
      <c r="A565" s="1"/>
    </row>
    <row r="566" spans="1:1" x14ac:dyDescent="0.25">
      <c r="A566" s="1"/>
    </row>
    <row r="567" spans="1:1" x14ac:dyDescent="0.25">
      <c r="A567" s="1"/>
    </row>
    <row r="568" spans="1:1" x14ac:dyDescent="0.25">
      <c r="A568" s="1"/>
    </row>
    <row r="569" spans="1:1" x14ac:dyDescent="0.25">
      <c r="A569" s="1"/>
    </row>
    <row r="570" spans="1:1" x14ac:dyDescent="0.25">
      <c r="A570" s="1"/>
    </row>
    <row r="571" spans="1:1" x14ac:dyDescent="0.25">
      <c r="A571" s="1"/>
    </row>
    <row r="572" spans="1:1" x14ac:dyDescent="0.25">
      <c r="A572" s="1"/>
    </row>
    <row r="573" spans="1:1" x14ac:dyDescent="0.25">
      <c r="A573" s="1"/>
    </row>
    <row r="574" spans="1:1" x14ac:dyDescent="0.25">
      <c r="A574" s="1"/>
    </row>
    <row r="575" spans="1:1" x14ac:dyDescent="0.25">
      <c r="A575" s="1"/>
    </row>
    <row r="576" spans="1:1" x14ac:dyDescent="0.25">
      <c r="A576" s="1"/>
    </row>
    <row r="577" spans="1:1" x14ac:dyDescent="0.25">
      <c r="A577" s="1"/>
    </row>
    <row r="578" spans="1:1" x14ac:dyDescent="0.25">
      <c r="A578" s="1"/>
    </row>
    <row r="579" spans="1:1" x14ac:dyDescent="0.25">
      <c r="A579" s="1"/>
    </row>
    <row r="580" spans="1:1" x14ac:dyDescent="0.25">
      <c r="A580" s="1"/>
    </row>
    <row r="581" spans="1:1" x14ac:dyDescent="0.25">
      <c r="A581" s="1"/>
    </row>
    <row r="582" spans="1:1" x14ac:dyDescent="0.25">
      <c r="A582" s="1"/>
    </row>
    <row r="583" spans="1:1" x14ac:dyDescent="0.25">
      <c r="A583" s="1"/>
    </row>
    <row r="584" spans="1:1" x14ac:dyDescent="0.25">
      <c r="A584" s="1"/>
    </row>
    <row r="585" spans="1:1" x14ac:dyDescent="0.25">
      <c r="A585" s="1"/>
    </row>
    <row r="586" spans="1:1" x14ac:dyDescent="0.25">
      <c r="A586" s="1"/>
    </row>
    <row r="587" spans="1:1" x14ac:dyDescent="0.25">
      <c r="A587" s="1"/>
    </row>
    <row r="588" spans="1:1" x14ac:dyDescent="0.25">
      <c r="A588" s="1"/>
    </row>
    <row r="589" spans="1:1" x14ac:dyDescent="0.25">
      <c r="A589" s="1"/>
    </row>
    <row r="590" spans="1:1" x14ac:dyDescent="0.25">
      <c r="A590" s="1"/>
    </row>
    <row r="591" spans="1:1" x14ac:dyDescent="0.25">
      <c r="A591" s="1"/>
    </row>
    <row r="592" spans="1:1" x14ac:dyDescent="0.25">
      <c r="A592" s="1"/>
    </row>
    <row r="593" spans="1:1" x14ac:dyDescent="0.25">
      <c r="A593" s="1"/>
    </row>
    <row r="594" spans="1:1" x14ac:dyDescent="0.25">
      <c r="A594" s="1"/>
    </row>
    <row r="595" spans="1:1" x14ac:dyDescent="0.25">
      <c r="A595" s="1"/>
    </row>
    <row r="596" spans="1:1" x14ac:dyDescent="0.25">
      <c r="A596" s="1"/>
    </row>
    <row r="597" spans="1:1" x14ac:dyDescent="0.25">
      <c r="A597" s="1"/>
    </row>
    <row r="598" spans="1:1" x14ac:dyDescent="0.25">
      <c r="A598" s="1"/>
    </row>
    <row r="599" spans="1:1" x14ac:dyDescent="0.25">
      <c r="A599" s="1"/>
    </row>
    <row r="600" spans="1:1" x14ac:dyDescent="0.25">
      <c r="A600" s="1"/>
    </row>
    <row r="601" spans="1:1" x14ac:dyDescent="0.25">
      <c r="A601" s="1"/>
    </row>
    <row r="602" spans="1:1" x14ac:dyDescent="0.25">
      <c r="A602" s="1"/>
    </row>
    <row r="603" spans="1:1" x14ac:dyDescent="0.25">
      <c r="A603" s="1"/>
    </row>
    <row r="604" spans="1:1" x14ac:dyDescent="0.25">
      <c r="A604" s="1"/>
    </row>
    <row r="605" spans="1:1" x14ac:dyDescent="0.25">
      <c r="A605" s="1"/>
    </row>
    <row r="606" spans="1:1" x14ac:dyDescent="0.25">
      <c r="A606" s="1"/>
    </row>
    <row r="607" spans="1:1" x14ac:dyDescent="0.25">
      <c r="A607" s="1"/>
    </row>
    <row r="608" spans="1:1" x14ac:dyDescent="0.25">
      <c r="A608" s="1"/>
    </row>
    <row r="609" spans="1:1" x14ac:dyDescent="0.25">
      <c r="A609" s="1"/>
    </row>
    <row r="610" spans="1:1" x14ac:dyDescent="0.25">
      <c r="A610" s="1"/>
    </row>
    <row r="611" spans="1:1" x14ac:dyDescent="0.25">
      <c r="A611" s="1"/>
    </row>
    <row r="612" spans="1:1" x14ac:dyDescent="0.25">
      <c r="A612" s="1"/>
    </row>
    <row r="613" spans="1:1" x14ac:dyDescent="0.25">
      <c r="A613" s="1"/>
    </row>
    <row r="614" spans="1:1" x14ac:dyDescent="0.25">
      <c r="A614" s="1"/>
    </row>
    <row r="615" spans="1:1" x14ac:dyDescent="0.25">
      <c r="A615" s="1"/>
    </row>
    <row r="616" spans="1:1" x14ac:dyDescent="0.25">
      <c r="A616" s="1"/>
    </row>
    <row r="617" spans="1:1" x14ac:dyDescent="0.25">
      <c r="A617" s="1"/>
    </row>
    <row r="618" spans="1:1" x14ac:dyDescent="0.25">
      <c r="A618" s="1"/>
    </row>
    <row r="619" spans="1:1" x14ac:dyDescent="0.25">
      <c r="A619" s="1"/>
    </row>
    <row r="620" spans="1:1" x14ac:dyDescent="0.25">
      <c r="A620" s="1"/>
    </row>
    <row r="621" spans="1:1" x14ac:dyDescent="0.25">
      <c r="A621" s="1"/>
    </row>
    <row r="622" spans="1:1" x14ac:dyDescent="0.25">
      <c r="A622" s="1"/>
    </row>
    <row r="623" spans="1:1" x14ac:dyDescent="0.25">
      <c r="A623" s="1"/>
    </row>
    <row r="624" spans="1:1" x14ac:dyDescent="0.25">
      <c r="A624" s="1"/>
    </row>
    <row r="625" spans="1:1" x14ac:dyDescent="0.25">
      <c r="A625" s="1"/>
    </row>
    <row r="626" spans="1:1" x14ac:dyDescent="0.25">
      <c r="A626" s="1"/>
    </row>
    <row r="627" spans="1:1" x14ac:dyDescent="0.25">
      <c r="A627" s="1"/>
    </row>
    <row r="628" spans="1:1" x14ac:dyDescent="0.25">
      <c r="A628" s="1"/>
    </row>
    <row r="629" spans="1:1" x14ac:dyDescent="0.25">
      <c r="A629" s="1"/>
    </row>
    <row r="630" spans="1:1" x14ac:dyDescent="0.25">
      <c r="A630" s="1"/>
    </row>
    <row r="631" spans="1:1" x14ac:dyDescent="0.25">
      <c r="A631" s="1"/>
    </row>
    <row r="632" spans="1:1" x14ac:dyDescent="0.25">
      <c r="A632" s="1"/>
    </row>
    <row r="633" spans="1:1" x14ac:dyDescent="0.25">
      <c r="A633" s="1"/>
    </row>
    <row r="634" spans="1:1" x14ac:dyDescent="0.25">
      <c r="A634" s="1"/>
    </row>
    <row r="635" spans="1:1" x14ac:dyDescent="0.25">
      <c r="A635" s="1"/>
    </row>
    <row r="636" spans="1:1" x14ac:dyDescent="0.25">
      <c r="A636" s="1"/>
    </row>
    <row r="637" spans="1:1" x14ac:dyDescent="0.25">
      <c r="A637" s="1"/>
    </row>
    <row r="638" spans="1:1" x14ac:dyDescent="0.25">
      <c r="A638" s="1"/>
    </row>
    <row r="639" spans="1:1" x14ac:dyDescent="0.25">
      <c r="A639" s="1"/>
    </row>
    <row r="640" spans="1:1" x14ac:dyDescent="0.25">
      <c r="A640" s="1"/>
    </row>
    <row r="641" spans="1:1" x14ac:dyDescent="0.25">
      <c r="A641" s="1"/>
    </row>
    <row r="642" spans="1:1" x14ac:dyDescent="0.25">
      <c r="A642" s="1"/>
    </row>
    <row r="643" spans="1:1" x14ac:dyDescent="0.25">
      <c r="A643" s="1"/>
    </row>
    <row r="644" spans="1:1" x14ac:dyDescent="0.25">
      <c r="A644" s="1"/>
    </row>
    <row r="645" spans="1:1" x14ac:dyDescent="0.25">
      <c r="A645" s="1"/>
    </row>
    <row r="646" spans="1:1" x14ac:dyDescent="0.25">
      <c r="A646" s="1"/>
    </row>
    <row r="647" spans="1:1" x14ac:dyDescent="0.25">
      <c r="A647" s="1"/>
    </row>
    <row r="648" spans="1:1" x14ac:dyDescent="0.25">
      <c r="A648" s="1"/>
    </row>
    <row r="649" spans="1:1" x14ac:dyDescent="0.25">
      <c r="A649" s="1"/>
    </row>
    <row r="650" spans="1:1" x14ac:dyDescent="0.25">
      <c r="A650" s="1"/>
    </row>
    <row r="651" spans="1:1" x14ac:dyDescent="0.25">
      <c r="A651" s="1"/>
    </row>
    <row r="652" spans="1:1" x14ac:dyDescent="0.25">
      <c r="A652" s="1"/>
    </row>
    <row r="653" spans="1:1" x14ac:dyDescent="0.25">
      <c r="A653" s="1"/>
    </row>
    <row r="654" spans="1:1" x14ac:dyDescent="0.25">
      <c r="A654" s="1"/>
    </row>
    <row r="655" spans="1:1" x14ac:dyDescent="0.25">
      <c r="A655" s="1"/>
    </row>
    <row r="656" spans="1:1" x14ac:dyDescent="0.25">
      <c r="A656" s="1"/>
    </row>
    <row r="657" spans="1:1" x14ac:dyDescent="0.25">
      <c r="A657" s="1"/>
    </row>
    <row r="658" spans="1:1" x14ac:dyDescent="0.25">
      <c r="A658" s="1"/>
    </row>
    <row r="659" spans="1:1" x14ac:dyDescent="0.25">
      <c r="A659" s="1"/>
    </row>
    <row r="660" spans="1:1" x14ac:dyDescent="0.25">
      <c r="A660" s="1"/>
    </row>
    <row r="661" spans="1:1" x14ac:dyDescent="0.25">
      <c r="A661" s="1"/>
    </row>
    <row r="662" spans="1:1" x14ac:dyDescent="0.25">
      <c r="A662" s="1"/>
    </row>
    <row r="663" spans="1:1" x14ac:dyDescent="0.25">
      <c r="A663" s="1"/>
    </row>
    <row r="664" spans="1:1" x14ac:dyDescent="0.25">
      <c r="A664" s="1"/>
    </row>
    <row r="665" spans="1:1" x14ac:dyDescent="0.25">
      <c r="A665" s="1"/>
    </row>
    <row r="666" spans="1:1" x14ac:dyDescent="0.25">
      <c r="A666" s="1"/>
    </row>
    <row r="667" spans="1:1" x14ac:dyDescent="0.25">
      <c r="A667" s="1"/>
    </row>
    <row r="668" spans="1:1" x14ac:dyDescent="0.25">
      <c r="A668" s="1"/>
    </row>
    <row r="669" spans="1:1" x14ac:dyDescent="0.25">
      <c r="A669" s="1"/>
    </row>
    <row r="670" spans="1:1" x14ac:dyDescent="0.25">
      <c r="A670" s="1"/>
    </row>
    <row r="671" spans="1:1" x14ac:dyDescent="0.25">
      <c r="A671" s="1"/>
    </row>
    <row r="672" spans="1:1" x14ac:dyDescent="0.25">
      <c r="A672" s="1"/>
    </row>
    <row r="673" spans="1:1" x14ac:dyDescent="0.25">
      <c r="A673" s="1"/>
    </row>
    <row r="674" spans="1:1" x14ac:dyDescent="0.25">
      <c r="A674" s="1"/>
    </row>
    <row r="675" spans="1:1" x14ac:dyDescent="0.25">
      <c r="A675" s="1"/>
    </row>
    <row r="676" spans="1:1" x14ac:dyDescent="0.25">
      <c r="A676" s="1"/>
    </row>
    <row r="677" spans="1:1" x14ac:dyDescent="0.25">
      <c r="A677" s="1"/>
    </row>
    <row r="678" spans="1:1" x14ac:dyDescent="0.25">
      <c r="A678" s="1"/>
    </row>
    <row r="679" spans="1:1" x14ac:dyDescent="0.25">
      <c r="A679" s="1"/>
    </row>
    <row r="680" spans="1:1" x14ac:dyDescent="0.25">
      <c r="A680" s="1"/>
    </row>
    <row r="681" spans="1:1" x14ac:dyDescent="0.25">
      <c r="A681" s="1"/>
    </row>
    <row r="682" spans="1:1" x14ac:dyDescent="0.25">
      <c r="A682" s="1"/>
    </row>
    <row r="683" spans="1:1" x14ac:dyDescent="0.25">
      <c r="A683" s="1"/>
    </row>
    <row r="684" spans="1:1" x14ac:dyDescent="0.25">
      <c r="A684" s="1"/>
    </row>
    <row r="685" spans="1:1" x14ac:dyDescent="0.25">
      <c r="A685" s="1"/>
    </row>
    <row r="686" spans="1:1" x14ac:dyDescent="0.25">
      <c r="A686" s="1"/>
    </row>
    <row r="687" spans="1:1" x14ac:dyDescent="0.25">
      <c r="A687" s="1"/>
    </row>
    <row r="688" spans="1:1" x14ac:dyDescent="0.25">
      <c r="A688" s="1"/>
    </row>
    <row r="689" spans="1:1" x14ac:dyDescent="0.25">
      <c r="A689" s="1"/>
    </row>
    <row r="690" spans="1:1" x14ac:dyDescent="0.25">
      <c r="A690" s="1"/>
    </row>
    <row r="691" spans="1:1" x14ac:dyDescent="0.25">
      <c r="A691" s="1"/>
    </row>
    <row r="692" spans="1:1" x14ac:dyDescent="0.25">
      <c r="A692" s="1"/>
    </row>
    <row r="693" spans="1:1" x14ac:dyDescent="0.25">
      <c r="A693" s="1"/>
    </row>
    <row r="694" spans="1:1" x14ac:dyDescent="0.25">
      <c r="A694" s="1"/>
    </row>
    <row r="695" spans="1:1" x14ac:dyDescent="0.25">
      <c r="A695" s="1"/>
    </row>
    <row r="696" spans="1:1" x14ac:dyDescent="0.25">
      <c r="A696" s="1"/>
    </row>
    <row r="697" spans="1:1" x14ac:dyDescent="0.25">
      <c r="A697" s="1"/>
    </row>
    <row r="698" spans="1:1" x14ac:dyDescent="0.25">
      <c r="A698" s="1"/>
    </row>
    <row r="699" spans="1:1" x14ac:dyDescent="0.25">
      <c r="A699" s="1"/>
    </row>
    <row r="700" spans="1:1" x14ac:dyDescent="0.25">
      <c r="A700" s="1"/>
    </row>
    <row r="701" spans="1:1" x14ac:dyDescent="0.25">
      <c r="A701" s="1"/>
    </row>
    <row r="702" spans="1:1" x14ac:dyDescent="0.25">
      <c r="A702" s="1"/>
    </row>
    <row r="703" spans="1:1" x14ac:dyDescent="0.25">
      <c r="A703" s="1"/>
    </row>
    <row r="704" spans="1:1" x14ac:dyDescent="0.25">
      <c r="A704" s="1"/>
    </row>
    <row r="705" spans="1:1" x14ac:dyDescent="0.25">
      <c r="A705" s="1"/>
    </row>
    <row r="706" spans="1:1" x14ac:dyDescent="0.25">
      <c r="A706" s="1"/>
    </row>
    <row r="707" spans="1:1" x14ac:dyDescent="0.25">
      <c r="A707" s="1"/>
    </row>
    <row r="708" spans="1:1" x14ac:dyDescent="0.25">
      <c r="A708" s="1"/>
    </row>
    <row r="709" spans="1:1" x14ac:dyDescent="0.25">
      <c r="A709" s="1"/>
    </row>
    <row r="710" spans="1:1" x14ac:dyDescent="0.25">
      <c r="A710" s="1"/>
    </row>
    <row r="711" spans="1:1" x14ac:dyDescent="0.25">
      <c r="A711" s="1"/>
    </row>
    <row r="712" spans="1:1" x14ac:dyDescent="0.25">
      <c r="A712" s="1"/>
    </row>
    <row r="713" spans="1:1" x14ac:dyDescent="0.25">
      <c r="A713" s="1"/>
    </row>
    <row r="714" spans="1:1" x14ac:dyDescent="0.25">
      <c r="A714" s="1"/>
    </row>
    <row r="715" spans="1:1" x14ac:dyDescent="0.25">
      <c r="A715" s="1"/>
    </row>
    <row r="716" spans="1:1" x14ac:dyDescent="0.25">
      <c r="A716" s="1"/>
    </row>
    <row r="717" spans="1:1" x14ac:dyDescent="0.25">
      <c r="A717" s="1"/>
    </row>
    <row r="718" spans="1:1" x14ac:dyDescent="0.25">
      <c r="A718" s="1"/>
    </row>
    <row r="719" spans="1:1" x14ac:dyDescent="0.25">
      <c r="A719" s="1"/>
    </row>
    <row r="720" spans="1:1" x14ac:dyDescent="0.25">
      <c r="A720" s="1"/>
    </row>
    <row r="721" spans="1:1" x14ac:dyDescent="0.25">
      <c r="A721" s="1"/>
    </row>
    <row r="722" spans="1:1" x14ac:dyDescent="0.25">
      <c r="A722" s="1"/>
    </row>
    <row r="723" spans="1:1" x14ac:dyDescent="0.25">
      <c r="A723" s="1"/>
    </row>
    <row r="724" spans="1:1" x14ac:dyDescent="0.25">
      <c r="A724" s="1"/>
    </row>
    <row r="725" spans="1:1" x14ac:dyDescent="0.25">
      <c r="A725" s="1"/>
    </row>
    <row r="726" spans="1:1" x14ac:dyDescent="0.25">
      <c r="A726" s="1"/>
    </row>
    <row r="727" spans="1:1" x14ac:dyDescent="0.25">
      <c r="A727" s="1"/>
    </row>
    <row r="728" spans="1:1" x14ac:dyDescent="0.25">
      <c r="A728" s="1"/>
    </row>
    <row r="729" spans="1:1" x14ac:dyDescent="0.25">
      <c r="A729" s="1"/>
    </row>
    <row r="730" spans="1:1" x14ac:dyDescent="0.25">
      <c r="A730" s="1"/>
    </row>
    <row r="731" spans="1:1" x14ac:dyDescent="0.25">
      <c r="A731" s="1"/>
    </row>
    <row r="732" spans="1:1" x14ac:dyDescent="0.25">
      <c r="A732" s="1"/>
    </row>
    <row r="733" spans="1:1" x14ac:dyDescent="0.25">
      <c r="A733" s="1"/>
    </row>
    <row r="734" spans="1:1" x14ac:dyDescent="0.25">
      <c r="A734" s="1"/>
    </row>
    <row r="735" spans="1:1" x14ac:dyDescent="0.25">
      <c r="A735" s="1"/>
    </row>
    <row r="736" spans="1:1" x14ac:dyDescent="0.25">
      <c r="A736" s="1"/>
    </row>
    <row r="737" spans="1:1" x14ac:dyDescent="0.25">
      <c r="A737" s="1"/>
    </row>
    <row r="738" spans="1:1" x14ac:dyDescent="0.25">
      <c r="A738" s="1"/>
    </row>
    <row r="739" spans="1:1" x14ac:dyDescent="0.25">
      <c r="A739" s="1"/>
    </row>
    <row r="740" spans="1:1" x14ac:dyDescent="0.25">
      <c r="A740" s="1"/>
    </row>
    <row r="741" spans="1:1" x14ac:dyDescent="0.25">
      <c r="A741" s="1"/>
    </row>
    <row r="742" spans="1:1" x14ac:dyDescent="0.25">
      <c r="A742" s="1"/>
    </row>
    <row r="743" spans="1:1" x14ac:dyDescent="0.25">
      <c r="A743" s="1"/>
    </row>
    <row r="744" spans="1:1" x14ac:dyDescent="0.25">
      <c r="A744" s="1"/>
    </row>
    <row r="745" spans="1:1" x14ac:dyDescent="0.25">
      <c r="A745" s="1"/>
    </row>
    <row r="746" spans="1:1" x14ac:dyDescent="0.25">
      <c r="A746" s="1"/>
    </row>
    <row r="747" spans="1:1" x14ac:dyDescent="0.25">
      <c r="A747" s="1"/>
    </row>
    <row r="748" spans="1:1" x14ac:dyDescent="0.25">
      <c r="A748" s="1"/>
    </row>
    <row r="749" spans="1:1" x14ac:dyDescent="0.25">
      <c r="A749" s="1"/>
    </row>
    <row r="750" spans="1:1" x14ac:dyDescent="0.25">
      <c r="A750" s="1"/>
    </row>
    <row r="751" spans="1:1" x14ac:dyDescent="0.25">
      <c r="A751" s="1"/>
    </row>
    <row r="752" spans="1:1" x14ac:dyDescent="0.25">
      <c r="A752" s="1"/>
    </row>
    <row r="753" spans="1:1" x14ac:dyDescent="0.25">
      <c r="A753" s="1"/>
    </row>
    <row r="754" spans="1:1" x14ac:dyDescent="0.25">
      <c r="A754" s="1"/>
    </row>
    <row r="755" spans="1:1" x14ac:dyDescent="0.25">
      <c r="A755" s="1"/>
    </row>
    <row r="756" spans="1:1" x14ac:dyDescent="0.25">
      <c r="A756" s="1"/>
    </row>
    <row r="757" spans="1:1" x14ac:dyDescent="0.25">
      <c r="A757" s="1"/>
    </row>
    <row r="758" spans="1:1" x14ac:dyDescent="0.25">
      <c r="A758" s="1"/>
    </row>
    <row r="759" spans="1:1" x14ac:dyDescent="0.25">
      <c r="A759" s="1"/>
    </row>
    <row r="760" spans="1:1" x14ac:dyDescent="0.25">
      <c r="A760" s="1"/>
    </row>
    <row r="761" spans="1:1" x14ac:dyDescent="0.25">
      <c r="A761" s="1"/>
    </row>
    <row r="762" spans="1:1" x14ac:dyDescent="0.25">
      <c r="A762" s="1"/>
    </row>
    <row r="763" spans="1:1" x14ac:dyDescent="0.25">
      <c r="A763" s="1"/>
    </row>
    <row r="764" spans="1:1" x14ac:dyDescent="0.25">
      <c r="A764" s="1"/>
    </row>
    <row r="765" spans="1:1" x14ac:dyDescent="0.25">
      <c r="A765" s="1"/>
    </row>
    <row r="766" spans="1:1" x14ac:dyDescent="0.25">
      <c r="A766" s="1"/>
    </row>
    <row r="767" spans="1:1" x14ac:dyDescent="0.25">
      <c r="A767" s="1"/>
    </row>
    <row r="768" spans="1:1" x14ac:dyDescent="0.25">
      <c r="A768" s="1"/>
    </row>
    <row r="769" spans="1:1" x14ac:dyDescent="0.25">
      <c r="A769" s="1"/>
    </row>
    <row r="770" spans="1:1" x14ac:dyDescent="0.25">
      <c r="A770" s="1"/>
    </row>
    <row r="771" spans="1:1" x14ac:dyDescent="0.25">
      <c r="A771" s="1"/>
    </row>
    <row r="772" spans="1:1" x14ac:dyDescent="0.25">
      <c r="A772" s="1"/>
    </row>
    <row r="773" spans="1:1" x14ac:dyDescent="0.25">
      <c r="A773" s="1"/>
    </row>
    <row r="774" spans="1:1" x14ac:dyDescent="0.25">
      <c r="A774" s="1"/>
    </row>
    <row r="775" spans="1:1" x14ac:dyDescent="0.25">
      <c r="A775" s="1"/>
    </row>
    <row r="776" spans="1:1" x14ac:dyDescent="0.25">
      <c r="A776" s="1"/>
    </row>
    <row r="777" spans="1:1" x14ac:dyDescent="0.25">
      <c r="A777" s="1"/>
    </row>
    <row r="778" spans="1:1" x14ac:dyDescent="0.25">
      <c r="A778" s="1"/>
    </row>
    <row r="779" spans="1:1" x14ac:dyDescent="0.25">
      <c r="A779" s="1"/>
    </row>
    <row r="780" spans="1:1" x14ac:dyDescent="0.25">
      <c r="A780" s="1"/>
    </row>
    <row r="781" spans="1:1" x14ac:dyDescent="0.25">
      <c r="A781" s="1"/>
    </row>
    <row r="782" spans="1:1" x14ac:dyDescent="0.25">
      <c r="A782" s="1"/>
    </row>
    <row r="783" spans="1:1" x14ac:dyDescent="0.25">
      <c r="A783" s="1"/>
    </row>
    <row r="784" spans="1:1" x14ac:dyDescent="0.25">
      <c r="A784" s="1"/>
    </row>
    <row r="785" spans="1:1" x14ac:dyDescent="0.25">
      <c r="A785" s="1"/>
    </row>
    <row r="786" spans="1:1" x14ac:dyDescent="0.25">
      <c r="A786" s="1"/>
    </row>
    <row r="787" spans="1:1" x14ac:dyDescent="0.25">
      <c r="A787" s="1"/>
    </row>
    <row r="788" spans="1:1" x14ac:dyDescent="0.25">
      <c r="A788" s="1"/>
    </row>
    <row r="789" spans="1:1" x14ac:dyDescent="0.25">
      <c r="A789" s="1"/>
    </row>
    <row r="790" spans="1:1" x14ac:dyDescent="0.25">
      <c r="A790" s="1"/>
    </row>
    <row r="791" spans="1:1" x14ac:dyDescent="0.25">
      <c r="A791" s="1"/>
    </row>
    <row r="792" spans="1:1" x14ac:dyDescent="0.25">
      <c r="A792" s="1"/>
    </row>
    <row r="793" spans="1:1" x14ac:dyDescent="0.25">
      <c r="A793" s="1"/>
    </row>
    <row r="794" spans="1:1" x14ac:dyDescent="0.25">
      <c r="A794" s="1"/>
    </row>
    <row r="795" spans="1:1" x14ac:dyDescent="0.25">
      <c r="A795" s="1"/>
    </row>
    <row r="796" spans="1:1" x14ac:dyDescent="0.25">
      <c r="A796" s="1"/>
    </row>
    <row r="797" spans="1:1" x14ac:dyDescent="0.25">
      <c r="A797" s="1"/>
    </row>
    <row r="798" spans="1:1" x14ac:dyDescent="0.25">
      <c r="A798" s="1"/>
    </row>
    <row r="799" spans="1:1" x14ac:dyDescent="0.25">
      <c r="A799" s="1"/>
    </row>
    <row r="800" spans="1:1" x14ac:dyDescent="0.25">
      <c r="A800" s="1"/>
    </row>
    <row r="801" spans="1:1" x14ac:dyDescent="0.25">
      <c r="A801" s="1"/>
    </row>
    <row r="802" spans="1:1" x14ac:dyDescent="0.25">
      <c r="A802" s="1"/>
    </row>
    <row r="803" spans="1:1" x14ac:dyDescent="0.25">
      <c r="A803" s="1"/>
    </row>
    <row r="804" spans="1:1" x14ac:dyDescent="0.25">
      <c r="A804" s="1"/>
    </row>
    <row r="805" spans="1:1" x14ac:dyDescent="0.25">
      <c r="A805" s="1"/>
    </row>
    <row r="806" spans="1:1" x14ac:dyDescent="0.25">
      <c r="A806" s="1"/>
    </row>
    <row r="807" spans="1:1" x14ac:dyDescent="0.25">
      <c r="A807" s="1"/>
    </row>
    <row r="808" spans="1:1" x14ac:dyDescent="0.25">
      <c r="A808" s="1"/>
    </row>
    <row r="809" spans="1:1" x14ac:dyDescent="0.25">
      <c r="A809" s="1"/>
    </row>
    <row r="810" spans="1:1" x14ac:dyDescent="0.25">
      <c r="A810" s="1"/>
    </row>
    <row r="811" spans="1:1" x14ac:dyDescent="0.25">
      <c r="A811" s="1"/>
    </row>
    <row r="812" spans="1:1" x14ac:dyDescent="0.25">
      <c r="A812" s="1"/>
    </row>
    <row r="813" spans="1:1" x14ac:dyDescent="0.25">
      <c r="A813" s="1"/>
    </row>
    <row r="814" spans="1:1" x14ac:dyDescent="0.25">
      <c r="A814" s="1"/>
    </row>
    <row r="815" spans="1:1" x14ac:dyDescent="0.25">
      <c r="A815" s="1"/>
    </row>
    <row r="816" spans="1:1" x14ac:dyDescent="0.25">
      <c r="A816" s="1"/>
    </row>
    <row r="817" spans="1:1" x14ac:dyDescent="0.25">
      <c r="A817" s="1"/>
    </row>
    <row r="818" spans="1:1" x14ac:dyDescent="0.25">
      <c r="A818" s="1"/>
    </row>
    <row r="819" spans="1:1" x14ac:dyDescent="0.25">
      <c r="A819" s="1"/>
    </row>
    <row r="820" spans="1:1" x14ac:dyDescent="0.25">
      <c r="A820" s="1"/>
    </row>
    <row r="821" spans="1:1" x14ac:dyDescent="0.25">
      <c r="A821" s="1"/>
    </row>
    <row r="822" spans="1:1" x14ac:dyDescent="0.25">
      <c r="A822" s="1"/>
    </row>
    <row r="823" spans="1:1" x14ac:dyDescent="0.25">
      <c r="A823" s="1"/>
    </row>
    <row r="824" spans="1:1" x14ac:dyDescent="0.25">
      <c r="A824" s="1"/>
    </row>
    <row r="825" spans="1:1" x14ac:dyDescent="0.25">
      <c r="A825" s="1"/>
    </row>
    <row r="826" spans="1:1" x14ac:dyDescent="0.25">
      <c r="A826" s="1"/>
    </row>
    <row r="827" spans="1:1" x14ac:dyDescent="0.25">
      <c r="A827" s="1"/>
    </row>
    <row r="828" spans="1:1" x14ac:dyDescent="0.25">
      <c r="A828" s="1"/>
    </row>
    <row r="829" spans="1:1" x14ac:dyDescent="0.25">
      <c r="A829" s="1"/>
    </row>
    <row r="830" spans="1:1" x14ac:dyDescent="0.25">
      <c r="A830" s="1"/>
    </row>
    <row r="831" spans="1:1" x14ac:dyDescent="0.25">
      <c r="A831" s="1"/>
    </row>
    <row r="832" spans="1:1" x14ac:dyDescent="0.25">
      <c r="A832" s="1"/>
    </row>
    <row r="833" spans="1:1" x14ac:dyDescent="0.25">
      <c r="A833" s="1"/>
    </row>
    <row r="834" spans="1:1" x14ac:dyDescent="0.25">
      <c r="A834" s="1"/>
    </row>
    <row r="835" spans="1:1" x14ac:dyDescent="0.25">
      <c r="A835" s="1"/>
    </row>
    <row r="836" spans="1:1" x14ac:dyDescent="0.25">
      <c r="A836" s="1"/>
    </row>
    <row r="837" spans="1:1" x14ac:dyDescent="0.25">
      <c r="A837" s="1"/>
    </row>
    <row r="838" spans="1:1" x14ac:dyDescent="0.25">
      <c r="A838" s="1"/>
    </row>
    <row r="839" spans="1:1" x14ac:dyDescent="0.25">
      <c r="A839" s="1"/>
    </row>
    <row r="840" spans="1:1" x14ac:dyDescent="0.25">
      <c r="A840" s="1"/>
    </row>
    <row r="841" spans="1:1" x14ac:dyDescent="0.25">
      <c r="A841" s="1"/>
    </row>
    <row r="842" spans="1:1" x14ac:dyDescent="0.25">
      <c r="A842" s="1"/>
    </row>
    <row r="843" spans="1:1" x14ac:dyDescent="0.25">
      <c r="A843" s="1"/>
    </row>
    <row r="844" spans="1:1" x14ac:dyDescent="0.25">
      <c r="A844" s="1"/>
    </row>
    <row r="845" spans="1:1" x14ac:dyDescent="0.25">
      <c r="A845" s="1"/>
    </row>
    <row r="846" spans="1:1" x14ac:dyDescent="0.25">
      <c r="A846" s="1"/>
    </row>
    <row r="847" spans="1:1" x14ac:dyDescent="0.25">
      <c r="A847" s="1"/>
    </row>
    <row r="848" spans="1:1" x14ac:dyDescent="0.25">
      <c r="A848" s="1"/>
    </row>
    <row r="849" spans="1:1" x14ac:dyDescent="0.25">
      <c r="A849" s="1"/>
    </row>
    <row r="850" spans="1:1" x14ac:dyDescent="0.25">
      <c r="A850" s="1"/>
    </row>
    <row r="851" spans="1:1" x14ac:dyDescent="0.25">
      <c r="A851" s="1"/>
    </row>
    <row r="852" spans="1:1" x14ac:dyDescent="0.25">
      <c r="A852" s="1"/>
    </row>
    <row r="853" spans="1:1" x14ac:dyDescent="0.25">
      <c r="A853" s="1"/>
    </row>
    <row r="854" spans="1:1" x14ac:dyDescent="0.25">
      <c r="A854" s="1"/>
    </row>
    <row r="855" spans="1:1" x14ac:dyDescent="0.25">
      <c r="A855" s="1"/>
    </row>
    <row r="856" spans="1:1" x14ac:dyDescent="0.25">
      <c r="A856" s="1"/>
    </row>
    <row r="857" spans="1:1" x14ac:dyDescent="0.25">
      <c r="A857" s="1"/>
    </row>
    <row r="858" spans="1:1" x14ac:dyDescent="0.25">
      <c r="A858" s="1"/>
    </row>
    <row r="859" spans="1:1" x14ac:dyDescent="0.25">
      <c r="A859" s="1"/>
    </row>
    <row r="860" spans="1:1" x14ac:dyDescent="0.25">
      <c r="A860" s="1"/>
    </row>
    <row r="861" spans="1:1" x14ac:dyDescent="0.25">
      <c r="A861" s="1"/>
    </row>
    <row r="862" spans="1:1" x14ac:dyDescent="0.25">
      <c r="A862" s="1"/>
    </row>
    <row r="863" spans="1:1" x14ac:dyDescent="0.25">
      <c r="A863" s="1"/>
    </row>
    <row r="864" spans="1:1" x14ac:dyDescent="0.25">
      <c r="A864" s="1"/>
    </row>
    <row r="865" spans="1:1" x14ac:dyDescent="0.25">
      <c r="A865" s="1"/>
    </row>
    <row r="866" spans="1:1" x14ac:dyDescent="0.25">
      <c r="A866" s="1"/>
    </row>
    <row r="867" spans="1:1" x14ac:dyDescent="0.25">
      <c r="A867" s="1"/>
    </row>
    <row r="868" spans="1:1" x14ac:dyDescent="0.25">
      <c r="A868" s="1"/>
    </row>
    <row r="869" spans="1:1" x14ac:dyDescent="0.25">
      <c r="A869" s="1"/>
    </row>
    <row r="870" spans="1:1" x14ac:dyDescent="0.25">
      <c r="A870" s="1"/>
    </row>
    <row r="871" spans="1:1" x14ac:dyDescent="0.25">
      <c r="A871" s="1"/>
    </row>
    <row r="872" spans="1:1" x14ac:dyDescent="0.25">
      <c r="A872" s="1"/>
    </row>
    <row r="873" spans="1:1" x14ac:dyDescent="0.25">
      <c r="A873" s="1"/>
    </row>
    <row r="874" spans="1:1" x14ac:dyDescent="0.25">
      <c r="A874" s="1"/>
    </row>
    <row r="875" spans="1:1" x14ac:dyDescent="0.25">
      <c r="A875" s="1"/>
    </row>
    <row r="876" spans="1:1" x14ac:dyDescent="0.25">
      <c r="A876" s="1"/>
    </row>
    <row r="877" spans="1:1" x14ac:dyDescent="0.25">
      <c r="A877" s="1"/>
    </row>
    <row r="878" spans="1:1" x14ac:dyDescent="0.25">
      <c r="A878" s="1"/>
    </row>
    <row r="879" spans="1:1" x14ac:dyDescent="0.25">
      <c r="A879" s="1"/>
    </row>
    <row r="880" spans="1:1" x14ac:dyDescent="0.25">
      <c r="A880" s="1"/>
    </row>
    <row r="881" spans="1:1" x14ac:dyDescent="0.25">
      <c r="A881" s="1"/>
    </row>
    <row r="882" spans="1:1" x14ac:dyDescent="0.25">
      <c r="A882" s="1"/>
    </row>
    <row r="883" spans="1:1" x14ac:dyDescent="0.25">
      <c r="A883" s="1"/>
    </row>
    <row r="884" spans="1:1" x14ac:dyDescent="0.25">
      <c r="A884" s="1"/>
    </row>
    <row r="885" spans="1:1" x14ac:dyDescent="0.25">
      <c r="A885" s="1"/>
    </row>
    <row r="886" spans="1:1" x14ac:dyDescent="0.25">
      <c r="A886" s="1"/>
    </row>
    <row r="887" spans="1:1" x14ac:dyDescent="0.25">
      <c r="A887" s="1"/>
    </row>
    <row r="888" spans="1:1" x14ac:dyDescent="0.25">
      <c r="A888" s="1"/>
    </row>
    <row r="889" spans="1:1" x14ac:dyDescent="0.25">
      <c r="A889" s="1"/>
    </row>
    <row r="890" spans="1:1" x14ac:dyDescent="0.25">
      <c r="A890" s="1"/>
    </row>
    <row r="891" spans="1:1" x14ac:dyDescent="0.25">
      <c r="A891" s="1"/>
    </row>
    <row r="892" spans="1:1" x14ac:dyDescent="0.25">
      <c r="A892" s="1"/>
    </row>
    <row r="893" spans="1:1" x14ac:dyDescent="0.25">
      <c r="A893" s="1"/>
    </row>
    <row r="894" spans="1:1" x14ac:dyDescent="0.25">
      <c r="A894" s="1"/>
    </row>
    <row r="895" spans="1:1" x14ac:dyDescent="0.25">
      <c r="A895" s="1"/>
    </row>
    <row r="896" spans="1:1" x14ac:dyDescent="0.25">
      <c r="A896" s="1"/>
    </row>
    <row r="897" spans="1:1" x14ac:dyDescent="0.25">
      <c r="A897" s="1"/>
    </row>
    <row r="898" spans="1:1" x14ac:dyDescent="0.25">
      <c r="A898" s="1"/>
    </row>
    <row r="899" spans="1:1" x14ac:dyDescent="0.25">
      <c r="A899" s="1"/>
    </row>
    <row r="900" spans="1:1" x14ac:dyDescent="0.25">
      <c r="A900" s="1"/>
    </row>
    <row r="901" spans="1:1" x14ac:dyDescent="0.25">
      <c r="A901" s="1"/>
    </row>
    <row r="902" spans="1:1" x14ac:dyDescent="0.25">
      <c r="A902" s="1"/>
    </row>
    <row r="903" spans="1:1" x14ac:dyDescent="0.25">
      <c r="A903" s="1"/>
    </row>
    <row r="904" spans="1:1" x14ac:dyDescent="0.25">
      <c r="A904" s="1"/>
    </row>
    <row r="905" spans="1:1" x14ac:dyDescent="0.25">
      <c r="A905" s="1"/>
    </row>
    <row r="906" spans="1:1" x14ac:dyDescent="0.25">
      <c r="A906" s="1"/>
    </row>
    <row r="907" spans="1:1" x14ac:dyDescent="0.25">
      <c r="A907" s="1"/>
    </row>
    <row r="908" spans="1:1" x14ac:dyDescent="0.25">
      <c r="A908" s="1"/>
    </row>
    <row r="909" spans="1:1" x14ac:dyDescent="0.25">
      <c r="A909" s="1"/>
    </row>
    <row r="910" spans="1:1" x14ac:dyDescent="0.25">
      <c r="A910" s="1"/>
    </row>
    <row r="911" spans="1:1" x14ac:dyDescent="0.25">
      <c r="A911" s="1"/>
    </row>
    <row r="912" spans="1:1" x14ac:dyDescent="0.25">
      <c r="A912" s="1"/>
    </row>
    <row r="913" spans="1:1" x14ac:dyDescent="0.25">
      <c r="A913" s="1"/>
    </row>
    <row r="914" spans="1:1" x14ac:dyDescent="0.25">
      <c r="A914" s="1"/>
    </row>
    <row r="915" spans="1:1" x14ac:dyDescent="0.25">
      <c r="A915" s="1"/>
    </row>
    <row r="916" spans="1:1" x14ac:dyDescent="0.25">
      <c r="A916" s="1"/>
    </row>
    <row r="917" spans="1:1" x14ac:dyDescent="0.25">
      <c r="A917" s="1"/>
    </row>
    <row r="918" spans="1:1" x14ac:dyDescent="0.25">
      <c r="A918" s="1"/>
    </row>
    <row r="919" spans="1:1" x14ac:dyDescent="0.25">
      <c r="A919" s="1"/>
    </row>
    <row r="920" spans="1:1" x14ac:dyDescent="0.25">
      <c r="A920" s="1"/>
    </row>
    <row r="921" spans="1:1" x14ac:dyDescent="0.25">
      <c r="A921" s="1"/>
    </row>
    <row r="922" spans="1:1" x14ac:dyDescent="0.25">
      <c r="A922" s="1"/>
    </row>
    <row r="923" spans="1:1" x14ac:dyDescent="0.25">
      <c r="A923" s="1"/>
    </row>
    <row r="924" spans="1:1" x14ac:dyDescent="0.25">
      <c r="A924" s="1"/>
    </row>
    <row r="925" spans="1:1" x14ac:dyDescent="0.25">
      <c r="A925" s="1"/>
    </row>
    <row r="926" spans="1:1" x14ac:dyDescent="0.25">
      <c r="A926" s="1"/>
    </row>
    <row r="927" spans="1:1" x14ac:dyDescent="0.25">
      <c r="A927" s="1"/>
    </row>
    <row r="928" spans="1:1" x14ac:dyDescent="0.25">
      <c r="A928" s="1"/>
    </row>
    <row r="929" spans="1:1" x14ac:dyDescent="0.25">
      <c r="A929" s="1"/>
    </row>
    <row r="930" spans="1:1" x14ac:dyDescent="0.25">
      <c r="A930" s="1"/>
    </row>
    <row r="931" spans="1:1" x14ac:dyDescent="0.25">
      <c r="A931" s="1"/>
    </row>
    <row r="932" spans="1:1" x14ac:dyDescent="0.25">
      <c r="A932" s="1"/>
    </row>
    <row r="933" spans="1:1" x14ac:dyDescent="0.25">
      <c r="A933" s="1"/>
    </row>
    <row r="934" spans="1:1" x14ac:dyDescent="0.25">
      <c r="A934" s="1"/>
    </row>
    <row r="935" spans="1:1" x14ac:dyDescent="0.25">
      <c r="A935" s="1"/>
    </row>
    <row r="936" spans="1:1" x14ac:dyDescent="0.25">
      <c r="A936" s="1"/>
    </row>
    <row r="937" spans="1:1" x14ac:dyDescent="0.25">
      <c r="A937" s="1"/>
    </row>
    <row r="938" spans="1:1" x14ac:dyDescent="0.25">
      <c r="A938" s="1"/>
    </row>
    <row r="939" spans="1:1" x14ac:dyDescent="0.25">
      <c r="A939" s="1"/>
    </row>
    <row r="940" spans="1:1" x14ac:dyDescent="0.25">
      <c r="A940" s="1"/>
    </row>
    <row r="941" spans="1:1" x14ac:dyDescent="0.25">
      <c r="A941" s="1"/>
    </row>
    <row r="942" spans="1:1" x14ac:dyDescent="0.25">
      <c r="A942" s="1"/>
    </row>
    <row r="943" spans="1:1" x14ac:dyDescent="0.25">
      <c r="A943" s="1"/>
    </row>
    <row r="944" spans="1:1" x14ac:dyDescent="0.25">
      <c r="A944" s="1"/>
    </row>
    <row r="945" spans="1:1" x14ac:dyDescent="0.25">
      <c r="A945" s="1"/>
    </row>
    <row r="946" spans="1:1" x14ac:dyDescent="0.25">
      <c r="A946" s="1"/>
    </row>
    <row r="947" spans="1:1" x14ac:dyDescent="0.25">
      <c r="A947" s="1"/>
    </row>
    <row r="948" spans="1:1" x14ac:dyDescent="0.25">
      <c r="A948" s="1"/>
    </row>
    <row r="949" spans="1:1" x14ac:dyDescent="0.25">
      <c r="A949" s="1"/>
    </row>
    <row r="950" spans="1:1" x14ac:dyDescent="0.25">
      <c r="A950" s="1"/>
    </row>
    <row r="951" spans="1:1" x14ac:dyDescent="0.25">
      <c r="A951" s="1"/>
    </row>
    <row r="952" spans="1:1" x14ac:dyDescent="0.25">
      <c r="A952" s="1"/>
    </row>
    <row r="953" spans="1:1" x14ac:dyDescent="0.25">
      <c r="A953" s="1"/>
    </row>
    <row r="954" spans="1:1" x14ac:dyDescent="0.25">
      <c r="A954" s="1"/>
    </row>
    <row r="955" spans="1:1" x14ac:dyDescent="0.25">
      <c r="A955" s="1"/>
    </row>
    <row r="956" spans="1:1" x14ac:dyDescent="0.25">
      <c r="A956" s="1"/>
    </row>
    <row r="957" spans="1:1" x14ac:dyDescent="0.25">
      <c r="A957" s="1"/>
    </row>
    <row r="958" spans="1:1" x14ac:dyDescent="0.25">
      <c r="A958" s="1"/>
    </row>
    <row r="959" spans="1:1" x14ac:dyDescent="0.25">
      <c r="A959" s="1"/>
    </row>
    <row r="960" spans="1:1" x14ac:dyDescent="0.25">
      <c r="A960" s="1"/>
    </row>
    <row r="961" spans="1:1" x14ac:dyDescent="0.25">
      <c r="A961" s="1"/>
    </row>
    <row r="962" spans="1:1" x14ac:dyDescent="0.25">
      <c r="A962" s="1"/>
    </row>
    <row r="963" spans="1:1" x14ac:dyDescent="0.25">
      <c r="A963" s="1"/>
    </row>
    <row r="964" spans="1:1" x14ac:dyDescent="0.25">
      <c r="A964" s="1"/>
    </row>
    <row r="965" spans="1:1" x14ac:dyDescent="0.25">
      <c r="A965" s="1"/>
    </row>
    <row r="966" spans="1:1" x14ac:dyDescent="0.25">
      <c r="A966" s="1"/>
    </row>
    <row r="967" spans="1:1" x14ac:dyDescent="0.25">
      <c r="A967" s="1"/>
    </row>
    <row r="968" spans="1:1" x14ac:dyDescent="0.25">
      <c r="A968" s="1"/>
    </row>
    <row r="969" spans="1:1" x14ac:dyDescent="0.25">
      <c r="A969" s="1"/>
    </row>
    <row r="970" spans="1:1" x14ac:dyDescent="0.25">
      <c r="A970" s="1"/>
    </row>
    <row r="971" spans="1:1" x14ac:dyDescent="0.25">
      <c r="A971" s="1"/>
    </row>
    <row r="972" spans="1:1" x14ac:dyDescent="0.25">
      <c r="A972" s="1"/>
    </row>
    <row r="973" spans="1:1" x14ac:dyDescent="0.25">
      <c r="A973" s="1"/>
    </row>
    <row r="974" spans="1:1" x14ac:dyDescent="0.25">
      <c r="A974" s="1"/>
    </row>
    <row r="975" spans="1:1" x14ac:dyDescent="0.25">
      <c r="A975" s="1"/>
    </row>
    <row r="976" spans="1:1" x14ac:dyDescent="0.25">
      <c r="A976" s="1"/>
    </row>
    <row r="977" spans="1:1" x14ac:dyDescent="0.25">
      <c r="A977" s="1"/>
    </row>
    <row r="978" spans="1:1" x14ac:dyDescent="0.25">
      <c r="A978" s="1"/>
    </row>
    <row r="979" spans="1:1" x14ac:dyDescent="0.25">
      <c r="A979" s="1"/>
    </row>
    <row r="980" spans="1:1" x14ac:dyDescent="0.25">
      <c r="A980" s="1"/>
    </row>
    <row r="981" spans="1:1" x14ac:dyDescent="0.25">
      <c r="A981" s="1"/>
    </row>
    <row r="982" spans="1:1" x14ac:dyDescent="0.25">
      <c r="A982" s="1"/>
    </row>
    <row r="983" spans="1:1" x14ac:dyDescent="0.25">
      <c r="A983" s="1"/>
    </row>
    <row r="984" spans="1:1" x14ac:dyDescent="0.25">
      <c r="A984" s="1"/>
    </row>
    <row r="985" spans="1:1" x14ac:dyDescent="0.25">
      <c r="A985" s="1"/>
    </row>
    <row r="986" spans="1:1" x14ac:dyDescent="0.25">
      <c r="A986" s="1"/>
    </row>
    <row r="987" spans="1:1" x14ac:dyDescent="0.25">
      <c r="A987" s="1"/>
    </row>
    <row r="988" spans="1:1" x14ac:dyDescent="0.25">
      <c r="A988" s="1"/>
    </row>
    <row r="989" spans="1:1" x14ac:dyDescent="0.25">
      <c r="A989" s="1"/>
    </row>
    <row r="990" spans="1:1" x14ac:dyDescent="0.25">
      <c r="A990" s="1"/>
    </row>
    <row r="991" spans="1:1" x14ac:dyDescent="0.25">
      <c r="A991" s="1"/>
    </row>
    <row r="992" spans="1:1" x14ac:dyDescent="0.25">
      <c r="A992" s="1"/>
    </row>
    <row r="993" spans="1:1" x14ac:dyDescent="0.25">
      <c r="A993" s="1"/>
    </row>
    <row r="994" spans="1:1" x14ac:dyDescent="0.25">
      <c r="A994" s="1"/>
    </row>
    <row r="995" spans="1:1" x14ac:dyDescent="0.25">
      <c r="A995" s="1"/>
    </row>
    <row r="996" spans="1:1" x14ac:dyDescent="0.25">
      <c r="A996" s="1"/>
    </row>
    <row r="997" spans="1:1" x14ac:dyDescent="0.25">
      <c r="A997" s="1"/>
    </row>
    <row r="998" spans="1:1" x14ac:dyDescent="0.25">
      <c r="A998" s="1"/>
    </row>
    <row r="999" spans="1:1" x14ac:dyDescent="0.25">
      <c r="A999" s="1"/>
    </row>
    <row r="1000" spans="1:1" x14ac:dyDescent="0.25">
      <c r="A1000" s="1"/>
    </row>
  </sheetData>
  <sheetProtection algorithmName="SHA-512" hashValue="Ww3U6Oi/aFABK7JfyM0ZFM61vCdCNJzKRJhV1oA0XEYentghcFReTJRCvYGv0SxMYYqtb+2TRBNKcDnEz617+A==" saltValue="3hOU9Nh1as5SpSrwNmSLZQ==" spinCount="100000" sheet="1" objects="1" scenarios="1"/>
  <mergeCells count="1">
    <mergeCell ref="Z1:AB3"/>
  </mergeCells>
  <conditionalFormatting sqref="B2:X43">
    <cfRule type="colorScale" priority="1">
      <colorScale>
        <cfvo type="min"/>
        <cfvo type="percentile" val="50"/>
        <cfvo type="max"/>
        <color rgb="FF5A8AC6"/>
        <color rgb="FFFCFCFF"/>
        <color rgb="FFF8696B"/>
      </colorScale>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outlinePr summaryBelow="0" summaryRight="0"/>
  </sheetPr>
  <dimension ref="A1:Z1000"/>
  <sheetViews>
    <sheetView zoomScale="70" zoomScaleNormal="70" workbookViewId="0">
      <selection activeCell="B2" sqref="B2"/>
    </sheetView>
  </sheetViews>
  <sheetFormatPr defaultColWidth="12.5546875" defaultRowHeight="13.2" x14ac:dyDescent="0.25"/>
  <cols>
    <col min="1" max="1" width="6.6640625" style="2" bestFit="1" customWidth="1"/>
    <col min="2" max="22" width="4.6640625" style="2" customWidth="1"/>
    <col min="23" max="16384" width="12.5546875" style="2"/>
  </cols>
  <sheetData>
    <row r="1" spans="1:26" x14ac:dyDescent="0.25">
      <c r="A1" s="3"/>
      <c r="B1" s="4">
        <v>120</v>
      </c>
      <c r="C1" s="4">
        <v>104</v>
      </c>
      <c r="D1" s="4">
        <v>88</v>
      </c>
      <c r="E1" s="4">
        <v>72</v>
      </c>
      <c r="F1" s="4">
        <v>68</v>
      </c>
      <c r="G1" s="4">
        <v>64</v>
      </c>
      <c r="H1" s="4">
        <v>60</v>
      </c>
      <c r="I1" s="4">
        <v>56</v>
      </c>
      <c r="J1" s="4">
        <v>52</v>
      </c>
      <c r="K1" s="4">
        <v>48</v>
      </c>
      <c r="L1" s="4">
        <v>44</v>
      </c>
      <c r="M1" s="4">
        <v>40</v>
      </c>
      <c r="N1" s="4">
        <v>36</v>
      </c>
      <c r="O1" s="4">
        <v>32</v>
      </c>
      <c r="P1" s="4">
        <v>24</v>
      </c>
      <c r="Q1" s="4">
        <v>20</v>
      </c>
      <c r="R1" s="4">
        <v>16</v>
      </c>
      <c r="S1" s="4">
        <v>12</v>
      </c>
      <c r="T1" s="4">
        <v>8</v>
      </c>
      <c r="U1" s="4">
        <v>4</v>
      </c>
      <c r="V1" s="5">
        <v>0</v>
      </c>
      <c r="W1" s="1"/>
      <c r="X1" s="69" t="s">
        <v>20</v>
      </c>
      <c r="Y1" s="70"/>
      <c r="Z1" s="71"/>
    </row>
    <row r="2" spans="1:26" x14ac:dyDescent="0.25">
      <c r="A2" s="6">
        <v>800</v>
      </c>
      <c r="B2" s="8">
        <v>28</v>
      </c>
      <c r="C2" s="8">
        <v>30</v>
      </c>
      <c r="D2" s="8">
        <v>31</v>
      </c>
      <c r="E2" s="8">
        <v>34</v>
      </c>
      <c r="F2" s="8">
        <v>39</v>
      </c>
      <c r="G2" s="8">
        <v>44</v>
      </c>
      <c r="H2" s="8">
        <v>50</v>
      </c>
      <c r="I2" s="8">
        <v>55</v>
      </c>
      <c r="J2" s="8">
        <v>67</v>
      </c>
      <c r="K2" s="8">
        <v>69</v>
      </c>
      <c r="L2" s="8">
        <v>74</v>
      </c>
      <c r="M2" s="8">
        <v>74</v>
      </c>
      <c r="N2" s="8">
        <v>76</v>
      </c>
      <c r="O2" s="8">
        <v>82</v>
      </c>
      <c r="P2" s="8">
        <v>89</v>
      </c>
      <c r="Q2" s="8">
        <v>97</v>
      </c>
      <c r="R2" s="8">
        <v>103</v>
      </c>
      <c r="S2" s="8">
        <v>111</v>
      </c>
      <c r="T2" s="8">
        <v>122</v>
      </c>
      <c r="U2" s="8">
        <v>148</v>
      </c>
      <c r="V2" s="9">
        <v>158</v>
      </c>
      <c r="X2" s="72"/>
      <c r="Y2" s="73"/>
      <c r="Z2" s="74"/>
    </row>
    <row r="3" spans="1:26" ht="13.8" thickBot="1" x14ac:dyDescent="0.3">
      <c r="A3" s="6">
        <v>1000</v>
      </c>
      <c r="B3" s="8">
        <v>28</v>
      </c>
      <c r="C3" s="8">
        <v>30</v>
      </c>
      <c r="D3" s="8">
        <v>31</v>
      </c>
      <c r="E3" s="8">
        <v>34</v>
      </c>
      <c r="F3" s="8">
        <v>39</v>
      </c>
      <c r="G3" s="8">
        <v>44</v>
      </c>
      <c r="H3" s="8">
        <v>50</v>
      </c>
      <c r="I3" s="8">
        <v>55</v>
      </c>
      <c r="J3" s="8">
        <v>67</v>
      </c>
      <c r="K3" s="8">
        <v>69</v>
      </c>
      <c r="L3" s="8">
        <v>74</v>
      </c>
      <c r="M3" s="8">
        <v>74</v>
      </c>
      <c r="N3" s="8">
        <v>76</v>
      </c>
      <c r="O3" s="8">
        <v>82</v>
      </c>
      <c r="P3" s="8">
        <v>89</v>
      </c>
      <c r="Q3" s="8">
        <v>97</v>
      </c>
      <c r="R3" s="8">
        <v>103</v>
      </c>
      <c r="S3" s="8">
        <v>111</v>
      </c>
      <c r="T3" s="8">
        <v>122</v>
      </c>
      <c r="U3" s="8">
        <v>148</v>
      </c>
      <c r="V3" s="9">
        <v>158</v>
      </c>
      <c r="X3" s="75"/>
      <c r="Y3" s="76"/>
      <c r="Z3" s="77"/>
    </row>
    <row r="4" spans="1:26" x14ac:dyDescent="0.25">
      <c r="A4" s="6">
        <v>1200</v>
      </c>
      <c r="B4" s="8">
        <v>28</v>
      </c>
      <c r="C4" s="8">
        <v>30</v>
      </c>
      <c r="D4" s="8">
        <v>31</v>
      </c>
      <c r="E4" s="8">
        <v>34</v>
      </c>
      <c r="F4" s="8">
        <v>39</v>
      </c>
      <c r="G4" s="8">
        <v>44</v>
      </c>
      <c r="H4" s="8">
        <v>48</v>
      </c>
      <c r="I4" s="8">
        <v>50</v>
      </c>
      <c r="J4" s="8">
        <v>60</v>
      </c>
      <c r="K4" s="8">
        <v>64</v>
      </c>
      <c r="L4" s="8">
        <v>69</v>
      </c>
      <c r="M4" s="8">
        <v>70</v>
      </c>
      <c r="N4" s="8">
        <v>78</v>
      </c>
      <c r="O4" s="8">
        <v>80</v>
      </c>
      <c r="P4" s="8">
        <v>85</v>
      </c>
      <c r="Q4" s="8">
        <v>91</v>
      </c>
      <c r="R4" s="8">
        <v>96</v>
      </c>
      <c r="S4" s="8">
        <v>108</v>
      </c>
      <c r="T4" s="8">
        <v>119</v>
      </c>
      <c r="U4" s="8">
        <v>143</v>
      </c>
      <c r="V4" s="9">
        <v>149</v>
      </c>
    </row>
    <row r="5" spans="1:26" x14ac:dyDescent="0.25">
      <c r="A5" s="6">
        <v>1400</v>
      </c>
      <c r="B5" s="8">
        <v>28</v>
      </c>
      <c r="C5" s="8">
        <v>30</v>
      </c>
      <c r="D5" s="8">
        <v>31</v>
      </c>
      <c r="E5" s="8">
        <v>32</v>
      </c>
      <c r="F5" s="8">
        <v>39</v>
      </c>
      <c r="G5" s="8">
        <v>45</v>
      </c>
      <c r="H5" s="8">
        <v>48</v>
      </c>
      <c r="I5" s="8">
        <v>52</v>
      </c>
      <c r="J5" s="8">
        <v>61</v>
      </c>
      <c r="K5" s="8">
        <v>65</v>
      </c>
      <c r="L5" s="8">
        <v>68</v>
      </c>
      <c r="M5" s="8">
        <v>71</v>
      </c>
      <c r="N5" s="8">
        <v>72</v>
      </c>
      <c r="O5" s="8">
        <v>76</v>
      </c>
      <c r="P5" s="8">
        <v>82</v>
      </c>
      <c r="Q5" s="8">
        <v>86</v>
      </c>
      <c r="R5" s="8">
        <v>89</v>
      </c>
      <c r="S5" s="8">
        <v>94</v>
      </c>
      <c r="T5" s="8">
        <v>109</v>
      </c>
      <c r="U5" s="8">
        <v>136</v>
      </c>
      <c r="V5" s="9">
        <v>146</v>
      </c>
    </row>
    <row r="6" spans="1:26" x14ac:dyDescent="0.25">
      <c r="A6" s="6">
        <v>1600</v>
      </c>
      <c r="B6" s="8">
        <v>28</v>
      </c>
      <c r="C6" s="8">
        <v>30</v>
      </c>
      <c r="D6" s="8">
        <v>31</v>
      </c>
      <c r="E6" s="8">
        <v>32</v>
      </c>
      <c r="F6" s="8">
        <v>39</v>
      </c>
      <c r="G6" s="8">
        <v>43</v>
      </c>
      <c r="H6" s="8">
        <v>48</v>
      </c>
      <c r="I6" s="8">
        <v>50</v>
      </c>
      <c r="J6" s="8">
        <v>54</v>
      </c>
      <c r="K6" s="8">
        <v>58</v>
      </c>
      <c r="L6" s="8">
        <v>64</v>
      </c>
      <c r="M6" s="8">
        <v>69</v>
      </c>
      <c r="N6" s="8">
        <v>71</v>
      </c>
      <c r="O6" s="8">
        <v>75</v>
      </c>
      <c r="P6" s="8">
        <v>82</v>
      </c>
      <c r="Q6" s="8">
        <v>85</v>
      </c>
      <c r="R6" s="8">
        <v>88</v>
      </c>
      <c r="S6" s="8">
        <v>93</v>
      </c>
      <c r="T6" s="8">
        <v>107</v>
      </c>
      <c r="U6" s="8">
        <v>138</v>
      </c>
      <c r="V6" s="9">
        <v>148</v>
      </c>
    </row>
    <row r="7" spans="1:26" x14ac:dyDescent="0.25">
      <c r="A7" s="6">
        <v>1800</v>
      </c>
      <c r="B7" s="8">
        <v>28</v>
      </c>
      <c r="C7" s="8">
        <v>30</v>
      </c>
      <c r="D7" s="8">
        <v>31</v>
      </c>
      <c r="E7" s="8">
        <v>32</v>
      </c>
      <c r="F7" s="8">
        <v>38</v>
      </c>
      <c r="G7" s="8">
        <v>43</v>
      </c>
      <c r="H7" s="8">
        <v>47</v>
      </c>
      <c r="I7" s="8">
        <v>51</v>
      </c>
      <c r="J7" s="8">
        <v>55</v>
      </c>
      <c r="K7" s="8">
        <v>55</v>
      </c>
      <c r="L7" s="8">
        <v>61</v>
      </c>
      <c r="M7" s="8">
        <v>66</v>
      </c>
      <c r="N7" s="8">
        <v>72</v>
      </c>
      <c r="O7" s="8">
        <v>76</v>
      </c>
      <c r="P7" s="8">
        <v>83</v>
      </c>
      <c r="Q7" s="8">
        <v>86</v>
      </c>
      <c r="R7" s="8">
        <v>90</v>
      </c>
      <c r="S7" s="8">
        <v>97</v>
      </c>
      <c r="T7" s="8">
        <v>108</v>
      </c>
      <c r="U7" s="8">
        <v>142</v>
      </c>
      <c r="V7" s="9">
        <v>156</v>
      </c>
    </row>
    <row r="8" spans="1:26" x14ac:dyDescent="0.25">
      <c r="A8" s="6">
        <v>2000</v>
      </c>
      <c r="B8" s="8">
        <v>28</v>
      </c>
      <c r="C8" s="8">
        <v>30</v>
      </c>
      <c r="D8" s="8">
        <v>31</v>
      </c>
      <c r="E8" s="8">
        <v>32</v>
      </c>
      <c r="F8" s="8">
        <v>39</v>
      </c>
      <c r="G8" s="8">
        <v>46</v>
      </c>
      <c r="H8" s="8">
        <v>46</v>
      </c>
      <c r="I8" s="8">
        <v>50</v>
      </c>
      <c r="J8" s="8">
        <v>57</v>
      </c>
      <c r="K8" s="8">
        <v>61</v>
      </c>
      <c r="L8" s="8">
        <v>64</v>
      </c>
      <c r="M8" s="8">
        <v>68</v>
      </c>
      <c r="N8" s="8">
        <v>74</v>
      </c>
      <c r="O8" s="8">
        <v>76</v>
      </c>
      <c r="P8" s="8">
        <v>83</v>
      </c>
      <c r="Q8" s="8">
        <v>88</v>
      </c>
      <c r="R8" s="8">
        <v>92</v>
      </c>
      <c r="S8" s="8">
        <v>102</v>
      </c>
      <c r="T8" s="8">
        <v>116</v>
      </c>
      <c r="U8" s="8">
        <v>145</v>
      </c>
      <c r="V8" s="9">
        <v>155</v>
      </c>
    </row>
    <row r="9" spans="1:26" x14ac:dyDescent="0.25">
      <c r="A9" s="6">
        <v>2200</v>
      </c>
      <c r="B9" s="8">
        <v>34</v>
      </c>
      <c r="C9" s="8">
        <v>38</v>
      </c>
      <c r="D9" s="8">
        <v>39</v>
      </c>
      <c r="E9" s="8">
        <v>40</v>
      </c>
      <c r="F9" s="8">
        <v>43</v>
      </c>
      <c r="G9" s="8">
        <v>47</v>
      </c>
      <c r="H9" s="8">
        <v>47</v>
      </c>
      <c r="I9" s="8">
        <v>48</v>
      </c>
      <c r="J9" s="8">
        <v>54</v>
      </c>
      <c r="K9" s="8">
        <v>62</v>
      </c>
      <c r="L9" s="8">
        <v>67</v>
      </c>
      <c r="M9" s="8">
        <v>71</v>
      </c>
      <c r="N9" s="8">
        <v>74</v>
      </c>
      <c r="O9" s="8">
        <v>80</v>
      </c>
      <c r="P9" s="8">
        <v>84</v>
      </c>
      <c r="Q9" s="8">
        <v>88</v>
      </c>
      <c r="R9" s="8">
        <v>92</v>
      </c>
      <c r="S9" s="8">
        <v>98</v>
      </c>
      <c r="T9" s="8">
        <v>111</v>
      </c>
      <c r="U9" s="8">
        <v>136</v>
      </c>
      <c r="V9" s="9">
        <v>158</v>
      </c>
    </row>
    <row r="10" spans="1:26" x14ac:dyDescent="0.25">
      <c r="A10" s="6">
        <v>2400</v>
      </c>
      <c r="B10" s="8">
        <v>34</v>
      </c>
      <c r="C10" s="8">
        <v>36</v>
      </c>
      <c r="D10" s="8">
        <v>39</v>
      </c>
      <c r="E10" s="8">
        <v>43</v>
      </c>
      <c r="F10" s="8">
        <v>43</v>
      </c>
      <c r="G10" s="8">
        <v>47</v>
      </c>
      <c r="H10" s="8">
        <v>47</v>
      </c>
      <c r="I10" s="8">
        <v>47</v>
      </c>
      <c r="J10" s="8">
        <v>49</v>
      </c>
      <c r="K10" s="8">
        <v>60</v>
      </c>
      <c r="L10" s="8">
        <v>65</v>
      </c>
      <c r="M10" s="8">
        <v>67</v>
      </c>
      <c r="N10" s="8">
        <v>72</v>
      </c>
      <c r="O10" s="8">
        <v>76</v>
      </c>
      <c r="P10" s="8">
        <v>79</v>
      </c>
      <c r="Q10" s="8">
        <v>85</v>
      </c>
      <c r="R10" s="8">
        <v>90</v>
      </c>
      <c r="S10" s="8">
        <v>91</v>
      </c>
      <c r="T10" s="8">
        <v>103</v>
      </c>
      <c r="U10" s="8">
        <v>126</v>
      </c>
      <c r="V10" s="9">
        <v>163</v>
      </c>
    </row>
    <row r="11" spans="1:26" x14ac:dyDescent="0.25">
      <c r="A11" s="6">
        <v>2600</v>
      </c>
      <c r="B11" s="8">
        <v>34</v>
      </c>
      <c r="C11" s="8">
        <v>36</v>
      </c>
      <c r="D11" s="8">
        <v>39</v>
      </c>
      <c r="E11" s="8">
        <v>43</v>
      </c>
      <c r="F11" s="8">
        <v>43</v>
      </c>
      <c r="G11" s="8">
        <v>47</v>
      </c>
      <c r="H11" s="8">
        <v>46</v>
      </c>
      <c r="I11" s="8">
        <v>47</v>
      </c>
      <c r="J11" s="8">
        <v>49</v>
      </c>
      <c r="K11" s="8">
        <v>55</v>
      </c>
      <c r="L11" s="8">
        <v>61</v>
      </c>
      <c r="M11" s="8">
        <v>64</v>
      </c>
      <c r="N11" s="8">
        <v>68</v>
      </c>
      <c r="O11" s="8">
        <v>71</v>
      </c>
      <c r="P11" s="8">
        <v>76</v>
      </c>
      <c r="Q11" s="8">
        <v>82</v>
      </c>
      <c r="R11" s="8">
        <v>88</v>
      </c>
      <c r="S11" s="8">
        <v>90</v>
      </c>
      <c r="T11" s="8">
        <v>101</v>
      </c>
      <c r="U11" s="8">
        <v>124</v>
      </c>
      <c r="V11" s="9">
        <v>168</v>
      </c>
    </row>
    <row r="12" spans="1:26" x14ac:dyDescent="0.25">
      <c r="A12" s="6">
        <v>2800</v>
      </c>
      <c r="B12" s="8">
        <v>34</v>
      </c>
      <c r="C12" s="8">
        <v>36</v>
      </c>
      <c r="D12" s="8">
        <v>39</v>
      </c>
      <c r="E12" s="8">
        <v>42</v>
      </c>
      <c r="F12" s="8">
        <v>43</v>
      </c>
      <c r="G12" s="8">
        <v>46</v>
      </c>
      <c r="H12" s="8">
        <v>46</v>
      </c>
      <c r="I12" s="8">
        <v>48</v>
      </c>
      <c r="J12" s="8">
        <v>50</v>
      </c>
      <c r="K12" s="8">
        <v>57</v>
      </c>
      <c r="L12" s="8">
        <v>61</v>
      </c>
      <c r="M12" s="8">
        <v>63</v>
      </c>
      <c r="N12" s="8">
        <v>66</v>
      </c>
      <c r="O12" s="8">
        <v>69</v>
      </c>
      <c r="P12" s="8">
        <v>75</v>
      </c>
      <c r="Q12" s="8">
        <v>80</v>
      </c>
      <c r="R12" s="8">
        <v>88</v>
      </c>
      <c r="S12" s="8">
        <v>91</v>
      </c>
      <c r="T12" s="8">
        <v>101</v>
      </c>
      <c r="U12" s="8">
        <v>126</v>
      </c>
      <c r="V12" s="9">
        <v>174</v>
      </c>
    </row>
    <row r="13" spans="1:26" x14ac:dyDescent="0.25">
      <c r="A13" s="6">
        <v>3000</v>
      </c>
      <c r="B13" s="8">
        <v>34</v>
      </c>
      <c r="C13" s="8">
        <v>36</v>
      </c>
      <c r="D13" s="8">
        <v>38</v>
      </c>
      <c r="E13" s="8">
        <v>42</v>
      </c>
      <c r="F13" s="8">
        <v>43</v>
      </c>
      <c r="G13" s="8">
        <v>47</v>
      </c>
      <c r="H13" s="8">
        <v>48</v>
      </c>
      <c r="I13" s="8">
        <v>50</v>
      </c>
      <c r="J13" s="8">
        <v>50</v>
      </c>
      <c r="K13" s="8">
        <v>57</v>
      </c>
      <c r="L13" s="8">
        <v>62</v>
      </c>
      <c r="M13" s="8">
        <v>65</v>
      </c>
      <c r="N13" s="8">
        <v>68</v>
      </c>
      <c r="O13" s="8">
        <v>71</v>
      </c>
      <c r="P13" s="8">
        <v>78</v>
      </c>
      <c r="Q13" s="8">
        <v>83</v>
      </c>
      <c r="R13" s="8">
        <v>90</v>
      </c>
      <c r="S13" s="8">
        <v>96</v>
      </c>
      <c r="T13" s="8">
        <v>107</v>
      </c>
      <c r="U13" s="8">
        <v>133</v>
      </c>
      <c r="V13" s="9">
        <v>180</v>
      </c>
    </row>
    <row r="14" spans="1:26" x14ac:dyDescent="0.25">
      <c r="A14" s="6">
        <v>3200</v>
      </c>
      <c r="B14" s="8">
        <v>34</v>
      </c>
      <c r="C14" s="8">
        <v>36</v>
      </c>
      <c r="D14" s="8">
        <v>38</v>
      </c>
      <c r="E14" s="8">
        <v>42</v>
      </c>
      <c r="F14" s="8">
        <v>45</v>
      </c>
      <c r="G14" s="8">
        <v>48</v>
      </c>
      <c r="H14" s="8">
        <v>49</v>
      </c>
      <c r="I14" s="8">
        <v>50</v>
      </c>
      <c r="J14" s="8">
        <v>52</v>
      </c>
      <c r="K14" s="8">
        <v>58</v>
      </c>
      <c r="L14" s="8">
        <v>64</v>
      </c>
      <c r="M14" s="8">
        <v>67</v>
      </c>
      <c r="N14" s="8">
        <v>70</v>
      </c>
      <c r="O14" s="8">
        <v>74</v>
      </c>
      <c r="P14" s="8">
        <v>80</v>
      </c>
      <c r="Q14" s="8">
        <v>86</v>
      </c>
      <c r="R14" s="8">
        <v>92</v>
      </c>
      <c r="S14" s="8">
        <v>102</v>
      </c>
      <c r="T14" s="8">
        <v>114</v>
      </c>
      <c r="U14" s="8">
        <v>154</v>
      </c>
      <c r="V14" s="9">
        <v>185</v>
      </c>
    </row>
    <row r="15" spans="1:26" x14ac:dyDescent="0.25">
      <c r="A15" s="6">
        <v>3400</v>
      </c>
      <c r="B15" s="8">
        <v>34</v>
      </c>
      <c r="C15" s="8">
        <v>36</v>
      </c>
      <c r="D15" s="8">
        <v>38</v>
      </c>
      <c r="E15" s="8">
        <v>42</v>
      </c>
      <c r="F15" s="8">
        <v>46</v>
      </c>
      <c r="G15" s="8">
        <v>49</v>
      </c>
      <c r="H15" s="8">
        <v>50</v>
      </c>
      <c r="I15" s="8">
        <v>51</v>
      </c>
      <c r="J15" s="8">
        <v>52</v>
      </c>
      <c r="K15" s="8">
        <v>62</v>
      </c>
      <c r="L15" s="8">
        <v>66</v>
      </c>
      <c r="M15" s="8">
        <v>70</v>
      </c>
      <c r="N15" s="8">
        <v>75</v>
      </c>
      <c r="O15" s="8">
        <v>79</v>
      </c>
      <c r="P15" s="8">
        <v>85</v>
      </c>
      <c r="Q15" s="8">
        <v>92</v>
      </c>
      <c r="R15" s="8">
        <v>99</v>
      </c>
      <c r="S15" s="8">
        <v>108</v>
      </c>
      <c r="T15" s="8">
        <v>120</v>
      </c>
      <c r="U15" s="8">
        <v>164</v>
      </c>
      <c r="V15" s="9">
        <v>187</v>
      </c>
    </row>
    <row r="16" spans="1:26" x14ac:dyDescent="0.25">
      <c r="A16" s="6">
        <v>3600</v>
      </c>
      <c r="B16" s="8">
        <v>34</v>
      </c>
      <c r="C16" s="8">
        <v>36</v>
      </c>
      <c r="D16" s="8">
        <v>39</v>
      </c>
      <c r="E16" s="8">
        <v>45</v>
      </c>
      <c r="F16" s="8">
        <v>50</v>
      </c>
      <c r="G16" s="8">
        <v>51</v>
      </c>
      <c r="H16" s="8">
        <v>52</v>
      </c>
      <c r="I16" s="8">
        <v>57</v>
      </c>
      <c r="J16" s="8">
        <v>58</v>
      </c>
      <c r="K16" s="8">
        <v>66</v>
      </c>
      <c r="L16" s="8">
        <v>70</v>
      </c>
      <c r="M16" s="8">
        <v>75</v>
      </c>
      <c r="N16" s="8">
        <v>80</v>
      </c>
      <c r="O16" s="8">
        <v>84</v>
      </c>
      <c r="P16" s="8">
        <v>90</v>
      </c>
      <c r="Q16" s="8">
        <v>97</v>
      </c>
      <c r="R16" s="8">
        <v>104</v>
      </c>
      <c r="S16" s="8">
        <v>113</v>
      </c>
      <c r="T16" s="8">
        <v>128</v>
      </c>
      <c r="U16" s="8">
        <v>170</v>
      </c>
      <c r="V16" s="9">
        <v>189</v>
      </c>
    </row>
    <row r="17" spans="1:22" x14ac:dyDescent="0.25">
      <c r="A17" s="6">
        <v>3800</v>
      </c>
      <c r="B17" s="8">
        <v>34</v>
      </c>
      <c r="C17" s="8">
        <v>38</v>
      </c>
      <c r="D17" s="8">
        <v>39</v>
      </c>
      <c r="E17" s="8">
        <v>46</v>
      </c>
      <c r="F17" s="8">
        <v>50</v>
      </c>
      <c r="G17" s="8">
        <v>52</v>
      </c>
      <c r="H17" s="8">
        <v>55</v>
      </c>
      <c r="I17" s="8">
        <v>61</v>
      </c>
      <c r="J17" s="8">
        <v>66</v>
      </c>
      <c r="K17" s="8">
        <v>70</v>
      </c>
      <c r="L17" s="8">
        <v>75</v>
      </c>
      <c r="M17" s="8">
        <v>80</v>
      </c>
      <c r="N17" s="8">
        <v>84</v>
      </c>
      <c r="O17" s="8">
        <v>88</v>
      </c>
      <c r="P17" s="8">
        <v>94</v>
      </c>
      <c r="Q17" s="8">
        <v>101</v>
      </c>
      <c r="R17" s="8">
        <v>108</v>
      </c>
      <c r="S17" s="8">
        <v>118</v>
      </c>
      <c r="T17" s="8">
        <v>132</v>
      </c>
      <c r="U17" s="8">
        <v>170</v>
      </c>
      <c r="V17" s="9">
        <v>194</v>
      </c>
    </row>
    <row r="18" spans="1:22" x14ac:dyDescent="0.25">
      <c r="A18" s="6">
        <v>4000</v>
      </c>
      <c r="B18" s="8">
        <v>34</v>
      </c>
      <c r="C18" s="8">
        <v>38</v>
      </c>
      <c r="D18" s="8">
        <v>39</v>
      </c>
      <c r="E18" s="8">
        <v>48</v>
      </c>
      <c r="F18" s="8">
        <v>52</v>
      </c>
      <c r="G18" s="8">
        <v>55</v>
      </c>
      <c r="H18" s="8">
        <v>62</v>
      </c>
      <c r="I18" s="8">
        <v>65</v>
      </c>
      <c r="J18" s="8">
        <v>70</v>
      </c>
      <c r="K18" s="8">
        <v>75</v>
      </c>
      <c r="L18" s="8">
        <v>80</v>
      </c>
      <c r="M18" s="8">
        <v>85</v>
      </c>
      <c r="N18" s="8">
        <v>88</v>
      </c>
      <c r="O18" s="8">
        <v>92</v>
      </c>
      <c r="P18" s="8">
        <v>98</v>
      </c>
      <c r="Q18" s="8">
        <v>104</v>
      </c>
      <c r="R18" s="8">
        <v>111</v>
      </c>
      <c r="S18" s="8">
        <v>123</v>
      </c>
      <c r="T18" s="8">
        <v>136</v>
      </c>
      <c r="U18" s="8">
        <v>168</v>
      </c>
      <c r="V18" s="9">
        <v>198</v>
      </c>
    </row>
    <row r="19" spans="1:22" x14ac:dyDescent="0.25">
      <c r="A19" s="6">
        <v>4200</v>
      </c>
      <c r="B19" s="8">
        <v>34</v>
      </c>
      <c r="C19" s="8">
        <v>38</v>
      </c>
      <c r="D19" s="8">
        <v>39</v>
      </c>
      <c r="E19" s="8">
        <v>50</v>
      </c>
      <c r="F19" s="8">
        <v>55</v>
      </c>
      <c r="G19" s="8">
        <v>61</v>
      </c>
      <c r="H19" s="8">
        <v>65</v>
      </c>
      <c r="I19" s="8">
        <v>69</v>
      </c>
      <c r="J19" s="8">
        <v>72</v>
      </c>
      <c r="K19" s="8">
        <v>79</v>
      </c>
      <c r="L19" s="8">
        <v>83</v>
      </c>
      <c r="M19" s="8">
        <v>87</v>
      </c>
      <c r="N19" s="8">
        <v>91</v>
      </c>
      <c r="O19" s="8">
        <v>94</v>
      </c>
      <c r="P19" s="8">
        <v>99</v>
      </c>
      <c r="Q19" s="8">
        <v>107</v>
      </c>
      <c r="R19" s="8">
        <v>112</v>
      </c>
      <c r="S19" s="8">
        <v>123</v>
      </c>
      <c r="T19" s="8">
        <v>136</v>
      </c>
      <c r="U19" s="8">
        <v>164</v>
      </c>
      <c r="V19" s="9">
        <v>198</v>
      </c>
    </row>
    <row r="20" spans="1:22" x14ac:dyDescent="0.25">
      <c r="A20" s="6">
        <v>4400</v>
      </c>
      <c r="B20" s="8">
        <v>34</v>
      </c>
      <c r="C20" s="8">
        <v>36</v>
      </c>
      <c r="D20" s="8">
        <v>39</v>
      </c>
      <c r="E20" s="8">
        <v>55</v>
      </c>
      <c r="F20" s="8">
        <v>61</v>
      </c>
      <c r="G20" s="8">
        <v>64</v>
      </c>
      <c r="H20" s="8">
        <v>67</v>
      </c>
      <c r="I20" s="8">
        <v>71</v>
      </c>
      <c r="J20" s="8">
        <v>75</v>
      </c>
      <c r="K20" s="8">
        <v>80</v>
      </c>
      <c r="L20" s="8">
        <v>84</v>
      </c>
      <c r="M20" s="8">
        <v>88</v>
      </c>
      <c r="N20" s="8">
        <v>92</v>
      </c>
      <c r="O20" s="8">
        <v>94</v>
      </c>
      <c r="P20" s="8">
        <v>102</v>
      </c>
      <c r="Q20" s="8">
        <v>107</v>
      </c>
      <c r="R20" s="8">
        <v>112</v>
      </c>
      <c r="S20" s="8">
        <v>122</v>
      </c>
      <c r="T20" s="8">
        <v>135</v>
      </c>
      <c r="U20" s="8">
        <v>162</v>
      </c>
      <c r="V20" s="9">
        <v>198</v>
      </c>
    </row>
    <row r="21" spans="1:22" x14ac:dyDescent="0.25">
      <c r="A21" s="6">
        <v>4600</v>
      </c>
      <c r="B21" s="8">
        <v>34</v>
      </c>
      <c r="C21" s="8">
        <v>36</v>
      </c>
      <c r="D21" s="8">
        <v>39</v>
      </c>
      <c r="E21" s="8">
        <v>55</v>
      </c>
      <c r="F21" s="8">
        <v>61</v>
      </c>
      <c r="G21" s="8">
        <v>63</v>
      </c>
      <c r="H21" s="8">
        <v>66</v>
      </c>
      <c r="I21" s="8">
        <v>70</v>
      </c>
      <c r="J21" s="8">
        <v>72</v>
      </c>
      <c r="K21" s="8">
        <v>78</v>
      </c>
      <c r="L21" s="8">
        <v>80</v>
      </c>
      <c r="M21" s="8">
        <v>85</v>
      </c>
      <c r="N21" s="8">
        <v>88</v>
      </c>
      <c r="O21" s="8">
        <v>92</v>
      </c>
      <c r="P21" s="8">
        <v>97</v>
      </c>
      <c r="Q21" s="8">
        <v>102</v>
      </c>
      <c r="R21" s="8">
        <v>109</v>
      </c>
      <c r="S21" s="8">
        <v>117</v>
      </c>
      <c r="T21" s="8">
        <v>133</v>
      </c>
      <c r="U21" s="8">
        <v>162</v>
      </c>
      <c r="V21" s="9">
        <v>194</v>
      </c>
    </row>
    <row r="22" spans="1:22" x14ac:dyDescent="0.25">
      <c r="A22" s="6">
        <v>4800</v>
      </c>
      <c r="B22" s="8">
        <v>34</v>
      </c>
      <c r="C22" s="8">
        <v>39</v>
      </c>
      <c r="D22" s="8">
        <v>39</v>
      </c>
      <c r="E22" s="8">
        <v>54</v>
      </c>
      <c r="F22" s="8">
        <v>57</v>
      </c>
      <c r="G22" s="8">
        <v>62</v>
      </c>
      <c r="H22" s="8">
        <v>64</v>
      </c>
      <c r="I22" s="8">
        <v>67</v>
      </c>
      <c r="J22" s="8">
        <v>69</v>
      </c>
      <c r="K22" s="8">
        <v>72</v>
      </c>
      <c r="L22" s="8">
        <v>76</v>
      </c>
      <c r="M22" s="8">
        <v>80</v>
      </c>
      <c r="N22" s="8">
        <v>83</v>
      </c>
      <c r="O22" s="8">
        <v>88</v>
      </c>
      <c r="P22" s="8">
        <v>93</v>
      </c>
      <c r="Q22" s="8">
        <v>97</v>
      </c>
      <c r="R22" s="8">
        <v>104</v>
      </c>
      <c r="S22" s="8">
        <v>113</v>
      </c>
      <c r="T22" s="8">
        <v>131</v>
      </c>
      <c r="U22" s="8">
        <v>164</v>
      </c>
      <c r="V22" s="9">
        <v>192</v>
      </c>
    </row>
    <row r="23" spans="1:22" x14ac:dyDescent="0.25">
      <c r="A23" s="6">
        <v>5000</v>
      </c>
      <c r="B23" s="8">
        <v>32</v>
      </c>
      <c r="C23" s="8">
        <v>34</v>
      </c>
      <c r="D23" s="8">
        <v>39</v>
      </c>
      <c r="E23" s="8">
        <v>50</v>
      </c>
      <c r="F23" s="8">
        <v>54</v>
      </c>
      <c r="G23" s="8">
        <v>60</v>
      </c>
      <c r="H23" s="8">
        <v>62</v>
      </c>
      <c r="I23" s="8">
        <v>65</v>
      </c>
      <c r="J23" s="8">
        <v>67</v>
      </c>
      <c r="K23" s="8">
        <v>70</v>
      </c>
      <c r="L23" s="8">
        <v>74</v>
      </c>
      <c r="M23" s="8">
        <v>78</v>
      </c>
      <c r="N23" s="8">
        <v>82</v>
      </c>
      <c r="O23" s="8">
        <v>85</v>
      </c>
      <c r="P23" s="8">
        <v>91</v>
      </c>
      <c r="Q23" s="8">
        <v>94</v>
      </c>
      <c r="R23" s="8">
        <v>102</v>
      </c>
      <c r="S23" s="8">
        <v>110</v>
      </c>
      <c r="T23" s="8">
        <v>130</v>
      </c>
      <c r="U23" s="8">
        <v>167</v>
      </c>
      <c r="V23" s="9">
        <v>192</v>
      </c>
    </row>
    <row r="24" spans="1:22" x14ac:dyDescent="0.25">
      <c r="A24" s="6">
        <v>5200</v>
      </c>
      <c r="B24" s="8">
        <v>32</v>
      </c>
      <c r="C24" s="8">
        <v>34</v>
      </c>
      <c r="D24" s="8">
        <v>39</v>
      </c>
      <c r="E24" s="8">
        <v>48</v>
      </c>
      <c r="F24" s="8">
        <v>52</v>
      </c>
      <c r="G24" s="8">
        <v>58</v>
      </c>
      <c r="H24" s="8">
        <v>61</v>
      </c>
      <c r="I24" s="8">
        <v>64</v>
      </c>
      <c r="J24" s="8">
        <v>67</v>
      </c>
      <c r="K24" s="8">
        <v>70</v>
      </c>
      <c r="L24" s="8">
        <v>72</v>
      </c>
      <c r="M24" s="8">
        <v>76</v>
      </c>
      <c r="N24" s="8">
        <v>82</v>
      </c>
      <c r="O24" s="8">
        <v>84</v>
      </c>
      <c r="P24" s="8">
        <v>88</v>
      </c>
      <c r="Q24" s="8">
        <v>94</v>
      </c>
      <c r="R24" s="8">
        <v>101</v>
      </c>
      <c r="S24" s="8">
        <v>108</v>
      </c>
      <c r="T24" s="8">
        <v>130</v>
      </c>
      <c r="U24" s="8">
        <v>169</v>
      </c>
      <c r="V24" s="9">
        <v>192</v>
      </c>
    </row>
    <row r="25" spans="1:22" x14ac:dyDescent="0.25">
      <c r="A25" s="6">
        <v>5600</v>
      </c>
      <c r="B25" s="8">
        <v>32</v>
      </c>
      <c r="C25" s="8">
        <v>34</v>
      </c>
      <c r="D25" s="8">
        <v>39</v>
      </c>
      <c r="E25" s="8">
        <v>49</v>
      </c>
      <c r="F25" s="8">
        <v>51</v>
      </c>
      <c r="G25" s="8">
        <v>58</v>
      </c>
      <c r="H25" s="8">
        <v>62</v>
      </c>
      <c r="I25" s="8">
        <v>64</v>
      </c>
      <c r="J25" s="8">
        <v>67</v>
      </c>
      <c r="K25" s="8">
        <v>70</v>
      </c>
      <c r="L25" s="8">
        <v>72</v>
      </c>
      <c r="M25" s="8">
        <v>75</v>
      </c>
      <c r="N25" s="8">
        <v>80</v>
      </c>
      <c r="O25" s="8">
        <v>83</v>
      </c>
      <c r="P25" s="8">
        <v>89</v>
      </c>
      <c r="Q25" s="8">
        <v>94</v>
      </c>
      <c r="R25" s="8">
        <v>103</v>
      </c>
      <c r="S25" s="8">
        <v>111</v>
      </c>
      <c r="T25" s="8">
        <v>130</v>
      </c>
      <c r="U25" s="8">
        <v>174</v>
      </c>
      <c r="V25" s="9">
        <v>196</v>
      </c>
    </row>
    <row r="26" spans="1:22" x14ac:dyDescent="0.25">
      <c r="A26" s="6">
        <v>6000</v>
      </c>
      <c r="B26" s="8">
        <v>32</v>
      </c>
      <c r="C26" s="8">
        <v>36</v>
      </c>
      <c r="D26" s="8">
        <v>40</v>
      </c>
      <c r="E26" s="8">
        <v>50</v>
      </c>
      <c r="F26" s="8">
        <v>51</v>
      </c>
      <c r="G26" s="8">
        <v>58</v>
      </c>
      <c r="H26" s="8">
        <v>63</v>
      </c>
      <c r="I26" s="8">
        <v>65</v>
      </c>
      <c r="J26" s="8">
        <v>68</v>
      </c>
      <c r="K26" s="8">
        <v>70</v>
      </c>
      <c r="L26" s="8">
        <v>74</v>
      </c>
      <c r="M26" s="8">
        <v>75</v>
      </c>
      <c r="N26" s="8">
        <v>79</v>
      </c>
      <c r="O26" s="8">
        <v>83</v>
      </c>
      <c r="P26" s="8">
        <v>91</v>
      </c>
      <c r="Q26" s="8">
        <v>96</v>
      </c>
      <c r="R26" s="8">
        <v>107</v>
      </c>
      <c r="S26" s="8">
        <v>116</v>
      </c>
      <c r="T26" s="8">
        <v>132</v>
      </c>
      <c r="U26" s="8">
        <v>181</v>
      </c>
      <c r="V26" s="9">
        <v>204</v>
      </c>
    </row>
    <row r="27" spans="1:22" x14ac:dyDescent="0.25">
      <c r="A27" s="6">
        <v>6400</v>
      </c>
      <c r="B27" s="8">
        <v>32</v>
      </c>
      <c r="C27" s="8">
        <v>36</v>
      </c>
      <c r="D27" s="8">
        <v>40</v>
      </c>
      <c r="E27" s="8">
        <v>49</v>
      </c>
      <c r="F27" s="8">
        <v>51</v>
      </c>
      <c r="G27" s="8">
        <v>58</v>
      </c>
      <c r="H27" s="8">
        <v>63</v>
      </c>
      <c r="I27" s="8">
        <v>67</v>
      </c>
      <c r="J27" s="8">
        <v>70</v>
      </c>
      <c r="K27" s="8">
        <v>72</v>
      </c>
      <c r="L27" s="8">
        <v>75</v>
      </c>
      <c r="M27" s="8">
        <v>79</v>
      </c>
      <c r="N27" s="8">
        <v>83</v>
      </c>
      <c r="O27" s="8">
        <v>87</v>
      </c>
      <c r="P27" s="8">
        <v>93</v>
      </c>
      <c r="Q27" s="8">
        <v>97</v>
      </c>
      <c r="R27" s="8">
        <v>107</v>
      </c>
      <c r="S27" s="8">
        <v>117</v>
      </c>
      <c r="T27" s="8">
        <v>135</v>
      </c>
      <c r="U27" s="8">
        <v>187</v>
      </c>
      <c r="V27" s="9">
        <v>208</v>
      </c>
    </row>
    <row r="28" spans="1:22" x14ac:dyDescent="0.25">
      <c r="A28" s="6">
        <v>6800</v>
      </c>
      <c r="B28" s="8">
        <v>32</v>
      </c>
      <c r="C28" s="8">
        <v>36</v>
      </c>
      <c r="D28" s="8">
        <v>40</v>
      </c>
      <c r="E28" s="8">
        <v>48</v>
      </c>
      <c r="F28" s="8">
        <v>51</v>
      </c>
      <c r="G28" s="8">
        <v>58</v>
      </c>
      <c r="H28" s="8">
        <v>63</v>
      </c>
      <c r="I28" s="8">
        <v>68</v>
      </c>
      <c r="J28" s="8">
        <v>72</v>
      </c>
      <c r="K28" s="8">
        <v>75</v>
      </c>
      <c r="L28" s="8">
        <v>78</v>
      </c>
      <c r="M28" s="8">
        <v>82</v>
      </c>
      <c r="N28" s="8">
        <v>85</v>
      </c>
      <c r="O28" s="8">
        <v>90</v>
      </c>
      <c r="P28" s="8">
        <v>94</v>
      </c>
      <c r="Q28" s="8">
        <v>98</v>
      </c>
      <c r="R28" s="8">
        <v>108</v>
      </c>
      <c r="S28" s="8">
        <v>118</v>
      </c>
      <c r="T28" s="8">
        <v>139</v>
      </c>
      <c r="U28" s="8">
        <v>195</v>
      </c>
      <c r="V28" s="9">
        <v>215</v>
      </c>
    </row>
    <row r="29" spans="1:22" x14ac:dyDescent="0.25">
      <c r="A29" s="6">
        <v>7200</v>
      </c>
      <c r="B29" s="8">
        <v>32</v>
      </c>
      <c r="C29" s="8">
        <v>36</v>
      </c>
      <c r="D29" s="8">
        <v>40</v>
      </c>
      <c r="E29" s="8">
        <v>48</v>
      </c>
      <c r="F29" s="8">
        <v>51</v>
      </c>
      <c r="G29" s="8">
        <v>58</v>
      </c>
      <c r="H29" s="8">
        <v>63</v>
      </c>
      <c r="I29" s="8">
        <v>69</v>
      </c>
      <c r="J29" s="8">
        <v>74</v>
      </c>
      <c r="K29" s="8">
        <v>75</v>
      </c>
      <c r="L29" s="8">
        <v>79</v>
      </c>
      <c r="M29" s="8">
        <v>82</v>
      </c>
      <c r="N29" s="8">
        <v>86</v>
      </c>
      <c r="O29" s="8">
        <v>90</v>
      </c>
      <c r="P29" s="8">
        <v>94</v>
      </c>
      <c r="Q29" s="8">
        <v>98</v>
      </c>
      <c r="R29" s="8">
        <v>108</v>
      </c>
      <c r="S29" s="8">
        <v>118</v>
      </c>
      <c r="T29" s="8">
        <v>141</v>
      </c>
      <c r="U29" s="8">
        <v>204</v>
      </c>
      <c r="V29" s="9">
        <v>225</v>
      </c>
    </row>
    <row r="30" spans="1:22" x14ac:dyDescent="0.25">
      <c r="A30" s="6">
        <v>7600</v>
      </c>
      <c r="B30" s="8">
        <v>32</v>
      </c>
      <c r="C30" s="8">
        <v>36</v>
      </c>
      <c r="D30" s="8">
        <v>40</v>
      </c>
      <c r="E30" s="8">
        <v>48</v>
      </c>
      <c r="F30" s="8">
        <v>51</v>
      </c>
      <c r="G30" s="8">
        <v>58</v>
      </c>
      <c r="H30" s="8">
        <v>63</v>
      </c>
      <c r="I30" s="8">
        <v>69</v>
      </c>
      <c r="J30" s="8">
        <v>71</v>
      </c>
      <c r="K30" s="8">
        <v>75</v>
      </c>
      <c r="L30" s="8">
        <v>79</v>
      </c>
      <c r="M30" s="8">
        <v>82</v>
      </c>
      <c r="N30" s="8">
        <v>86</v>
      </c>
      <c r="O30" s="8">
        <v>89</v>
      </c>
      <c r="P30" s="8">
        <v>93</v>
      </c>
      <c r="Q30" s="8">
        <v>99</v>
      </c>
      <c r="R30" s="8">
        <v>108</v>
      </c>
      <c r="S30" s="8">
        <v>118</v>
      </c>
      <c r="T30" s="8">
        <v>139</v>
      </c>
      <c r="U30" s="8">
        <v>205</v>
      </c>
      <c r="V30" s="9">
        <v>228</v>
      </c>
    </row>
    <row r="31" spans="1:22" x14ac:dyDescent="0.25">
      <c r="A31" s="6">
        <v>8000</v>
      </c>
      <c r="B31" s="8">
        <v>32</v>
      </c>
      <c r="C31" s="8">
        <v>36</v>
      </c>
      <c r="D31" s="8">
        <v>40</v>
      </c>
      <c r="E31" s="8">
        <v>48</v>
      </c>
      <c r="F31" s="8">
        <v>52</v>
      </c>
      <c r="G31" s="8">
        <v>58</v>
      </c>
      <c r="H31" s="8">
        <v>62</v>
      </c>
      <c r="I31" s="8">
        <v>67</v>
      </c>
      <c r="J31" s="8">
        <v>71</v>
      </c>
      <c r="K31" s="8">
        <v>75</v>
      </c>
      <c r="L31" s="8">
        <v>79</v>
      </c>
      <c r="M31" s="8">
        <v>82</v>
      </c>
      <c r="N31" s="8">
        <v>85</v>
      </c>
      <c r="O31" s="8">
        <v>89</v>
      </c>
      <c r="P31" s="8">
        <v>92</v>
      </c>
      <c r="Q31" s="8">
        <v>99</v>
      </c>
      <c r="R31" s="8">
        <v>109</v>
      </c>
      <c r="S31" s="8">
        <v>120</v>
      </c>
      <c r="T31" s="8">
        <v>140</v>
      </c>
      <c r="U31" s="8">
        <v>206</v>
      </c>
      <c r="V31" s="9">
        <v>231</v>
      </c>
    </row>
    <row r="32" spans="1:22" x14ac:dyDescent="0.25">
      <c r="A32" s="6">
        <v>8400</v>
      </c>
      <c r="B32" s="8">
        <v>32</v>
      </c>
      <c r="C32" s="8">
        <v>36</v>
      </c>
      <c r="D32" s="8">
        <v>39</v>
      </c>
      <c r="E32" s="8">
        <v>48</v>
      </c>
      <c r="F32" s="8">
        <v>52</v>
      </c>
      <c r="G32" s="8">
        <v>61</v>
      </c>
      <c r="H32" s="8">
        <v>63</v>
      </c>
      <c r="I32" s="8">
        <v>67</v>
      </c>
      <c r="J32" s="8">
        <v>71</v>
      </c>
      <c r="K32" s="8">
        <v>75</v>
      </c>
      <c r="L32" s="8">
        <v>79</v>
      </c>
      <c r="M32" s="8">
        <v>82</v>
      </c>
      <c r="N32" s="8">
        <v>85</v>
      </c>
      <c r="O32" s="8">
        <v>89</v>
      </c>
      <c r="P32" s="8">
        <v>93</v>
      </c>
      <c r="Q32" s="8">
        <v>102</v>
      </c>
      <c r="R32" s="8">
        <v>109</v>
      </c>
      <c r="S32" s="8">
        <v>122</v>
      </c>
      <c r="T32" s="8">
        <v>149</v>
      </c>
      <c r="U32" s="8">
        <v>206</v>
      </c>
      <c r="V32" s="9">
        <v>231</v>
      </c>
    </row>
    <row r="33" spans="1:22" x14ac:dyDescent="0.25">
      <c r="A33" s="6">
        <v>8800</v>
      </c>
      <c r="B33" s="8">
        <v>32</v>
      </c>
      <c r="C33" s="8">
        <v>36</v>
      </c>
      <c r="D33" s="8">
        <v>39</v>
      </c>
      <c r="E33" s="8">
        <v>50</v>
      </c>
      <c r="F33" s="8">
        <v>57</v>
      </c>
      <c r="G33" s="8">
        <v>61</v>
      </c>
      <c r="H33" s="8">
        <v>63</v>
      </c>
      <c r="I33" s="8">
        <v>67</v>
      </c>
      <c r="J33" s="8">
        <v>71</v>
      </c>
      <c r="K33" s="8">
        <v>75</v>
      </c>
      <c r="L33" s="8">
        <v>79</v>
      </c>
      <c r="M33" s="8">
        <v>82</v>
      </c>
      <c r="N33" s="8">
        <v>85</v>
      </c>
      <c r="O33" s="8">
        <v>88</v>
      </c>
      <c r="P33" s="8">
        <v>93</v>
      </c>
      <c r="Q33" s="8">
        <v>102</v>
      </c>
      <c r="R33" s="8">
        <v>109</v>
      </c>
      <c r="S33" s="8">
        <v>122</v>
      </c>
      <c r="T33" s="8">
        <v>150</v>
      </c>
      <c r="U33" s="8">
        <v>205</v>
      </c>
      <c r="V33" s="9">
        <v>233</v>
      </c>
    </row>
    <row r="34" spans="1:22" x14ac:dyDescent="0.25">
      <c r="A34" s="6">
        <v>9200</v>
      </c>
      <c r="B34" s="8">
        <v>32</v>
      </c>
      <c r="C34" s="8">
        <v>36</v>
      </c>
      <c r="D34" s="8">
        <v>39</v>
      </c>
      <c r="E34" s="8">
        <v>51</v>
      </c>
      <c r="F34" s="8">
        <v>58</v>
      </c>
      <c r="G34" s="8">
        <v>62</v>
      </c>
      <c r="H34" s="8">
        <v>65</v>
      </c>
      <c r="I34" s="8">
        <v>69</v>
      </c>
      <c r="J34" s="8">
        <v>71</v>
      </c>
      <c r="K34" s="8">
        <v>76</v>
      </c>
      <c r="L34" s="8">
        <v>80</v>
      </c>
      <c r="M34" s="8">
        <v>84</v>
      </c>
      <c r="N34" s="8">
        <v>86</v>
      </c>
      <c r="O34" s="8">
        <v>89</v>
      </c>
      <c r="P34" s="8">
        <v>93</v>
      </c>
      <c r="Q34" s="8">
        <v>102</v>
      </c>
      <c r="R34" s="8">
        <v>109</v>
      </c>
      <c r="S34" s="8">
        <v>122</v>
      </c>
      <c r="T34" s="8">
        <v>145</v>
      </c>
      <c r="U34" s="8">
        <v>202</v>
      </c>
      <c r="V34" s="9">
        <v>231</v>
      </c>
    </row>
    <row r="35" spans="1:22" x14ac:dyDescent="0.25">
      <c r="A35" s="6">
        <v>9600</v>
      </c>
      <c r="B35" s="8">
        <v>32</v>
      </c>
      <c r="C35" s="8">
        <v>36</v>
      </c>
      <c r="D35" s="8">
        <v>39</v>
      </c>
      <c r="E35" s="8">
        <v>52</v>
      </c>
      <c r="F35" s="8">
        <v>61</v>
      </c>
      <c r="G35" s="8">
        <v>65</v>
      </c>
      <c r="H35" s="8">
        <v>67</v>
      </c>
      <c r="I35" s="8">
        <v>70</v>
      </c>
      <c r="J35" s="8">
        <v>74</v>
      </c>
      <c r="K35" s="8">
        <v>79</v>
      </c>
      <c r="L35" s="8">
        <v>82</v>
      </c>
      <c r="M35" s="8">
        <v>84</v>
      </c>
      <c r="N35" s="8">
        <v>86</v>
      </c>
      <c r="O35" s="8">
        <v>89</v>
      </c>
      <c r="P35" s="8">
        <v>94</v>
      </c>
      <c r="Q35" s="8">
        <v>99</v>
      </c>
      <c r="R35" s="8">
        <v>108</v>
      </c>
      <c r="S35" s="8">
        <v>118</v>
      </c>
      <c r="T35" s="8">
        <v>143</v>
      </c>
      <c r="U35" s="8">
        <v>201</v>
      </c>
      <c r="V35" s="9">
        <v>229</v>
      </c>
    </row>
    <row r="36" spans="1:22" x14ac:dyDescent="0.25">
      <c r="A36" s="6">
        <v>10000</v>
      </c>
      <c r="B36" s="8">
        <v>32</v>
      </c>
      <c r="C36" s="8">
        <v>36</v>
      </c>
      <c r="D36" s="8">
        <v>39</v>
      </c>
      <c r="E36" s="8">
        <v>52</v>
      </c>
      <c r="F36" s="8">
        <v>61</v>
      </c>
      <c r="G36" s="8">
        <v>65</v>
      </c>
      <c r="H36" s="8">
        <v>67</v>
      </c>
      <c r="I36" s="8">
        <v>70</v>
      </c>
      <c r="J36" s="8">
        <v>74</v>
      </c>
      <c r="K36" s="8">
        <v>79</v>
      </c>
      <c r="L36" s="8">
        <v>82</v>
      </c>
      <c r="M36" s="8">
        <v>84</v>
      </c>
      <c r="N36" s="8">
        <v>86</v>
      </c>
      <c r="O36" s="8">
        <v>89</v>
      </c>
      <c r="P36" s="8">
        <v>94</v>
      </c>
      <c r="Q36" s="8">
        <v>99</v>
      </c>
      <c r="R36" s="8">
        <v>104</v>
      </c>
      <c r="S36" s="8">
        <v>113</v>
      </c>
      <c r="T36" s="8">
        <v>141</v>
      </c>
      <c r="U36" s="8">
        <v>202</v>
      </c>
      <c r="V36" s="9">
        <v>231</v>
      </c>
    </row>
    <row r="37" spans="1:22" x14ac:dyDescent="0.25">
      <c r="A37" s="6">
        <v>10400</v>
      </c>
      <c r="B37" s="8">
        <v>32</v>
      </c>
      <c r="C37" s="8">
        <v>36</v>
      </c>
      <c r="D37" s="8">
        <v>39</v>
      </c>
      <c r="E37" s="8">
        <v>52</v>
      </c>
      <c r="F37" s="8">
        <v>61</v>
      </c>
      <c r="G37" s="8">
        <v>63</v>
      </c>
      <c r="H37" s="8">
        <v>66</v>
      </c>
      <c r="I37" s="8">
        <v>69</v>
      </c>
      <c r="J37" s="8">
        <v>71</v>
      </c>
      <c r="K37" s="8">
        <v>76</v>
      </c>
      <c r="L37" s="8">
        <v>82</v>
      </c>
      <c r="M37" s="8">
        <v>84</v>
      </c>
      <c r="N37" s="8">
        <v>86</v>
      </c>
      <c r="O37" s="8">
        <v>90</v>
      </c>
      <c r="P37" s="8">
        <v>97</v>
      </c>
      <c r="Q37" s="8">
        <v>99</v>
      </c>
      <c r="R37" s="8">
        <v>104</v>
      </c>
      <c r="S37" s="8">
        <v>113</v>
      </c>
      <c r="T37" s="8">
        <v>140</v>
      </c>
      <c r="U37" s="8">
        <v>196</v>
      </c>
      <c r="V37" s="9">
        <v>228</v>
      </c>
    </row>
    <row r="38" spans="1:22" x14ac:dyDescent="0.25">
      <c r="A38" s="6">
        <v>10800</v>
      </c>
      <c r="B38" s="8">
        <v>32</v>
      </c>
      <c r="C38" s="8">
        <v>36</v>
      </c>
      <c r="D38" s="8">
        <v>39</v>
      </c>
      <c r="E38" s="8">
        <v>52</v>
      </c>
      <c r="F38" s="8">
        <v>61</v>
      </c>
      <c r="G38" s="8">
        <v>63</v>
      </c>
      <c r="H38" s="8">
        <v>66</v>
      </c>
      <c r="I38" s="8">
        <v>69</v>
      </c>
      <c r="J38" s="8">
        <v>71</v>
      </c>
      <c r="K38" s="8">
        <v>76</v>
      </c>
      <c r="L38" s="8">
        <v>82</v>
      </c>
      <c r="M38" s="8">
        <v>84</v>
      </c>
      <c r="N38" s="8">
        <v>86</v>
      </c>
      <c r="O38" s="8">
        <v>90</v>
      </c>
      <c r="P38" s="8">
        <v>97</v>
      </c>
      <c r="Q38" s="8">
        <v>102</v>
      </c>
      <c r="R38" s="8">
        <v>104</v>
      </c>
      <c r="S38" s="8">
        <v>116</v>
      </c>
      <c r="T38" s="8">
        <v>140</v>
      </c>
      <c r="U38" s="8">
        <v>192</v>
      </c>
      <c r="V38" s="9">
        <v>225</v>
      </c>
    </row>
    <row r="39" spans="1:22" x14ac:dyDescent="0.25">
      <c r="A39" s="6">
        <v>11200</v>
      </c>
      <c r="B39" s="8">
        <v>32</v>
      </c>
      <c r="C39" s="8">
        <v>36</v>
      </c>
      <c r="D39" s="8">
        <v>39</v>
      </c>
      <c r="E39" s="8">
        <v>52</v>
      </c>
      <c r="F39" s="8">
        <v>61</v>
      </c>
      <c r="G39" s="8">
        <v>63</v>
      </c>
      <c r="H39" s="8">
        <v>66</v>
      </c>
      <c r="I39" s="8">
        <v>69</v>
      </c>
      <c r="J39" s="8">
        <v>71</v>
      </c>
      <c r="K39" s="8">
        <v>76</v>
      </c>
      <c r="L39" s="8">
        <v>82</v>
      </c>
      <c r="M39" s="8">
        <v>84</v>
      </c>
      <c r="N39" s="8">
        <v>86</v>
      </c>
      <c r="O39" s="8">
        <v>90</v>
      </c>
      <c r="P39" s="8">
        <v>97</v>
      </c>
      <c r="Q39" s="8">
        <v>102</v>
      </c>
      <c r="R39" s="8">
        <v>104</v>
      </c>
      <c r="S39" s="8">
        <v>116</v>
      </c>
      <c r="T39" s="8">
        <v>140</v>
      </c>
      <c r="U39" s="8">
        <v>190</v>
      </c>
      <c r="V39" s="9">
        <v>220</v>
      </c>
    </row>
    <row r="40" spans="1:22" x14ac:dyDescent="0.25">
      <c r="A40" s="6">
        <v>11600</v>
      </c>
      <c r="B40" s="8">
        <v>32</v>
      </c>
      <c r="C40" s="8">
        <v>36</v>
      </c>
      <c r="D40" s="8">
        <v>39</v>
      </c>
      <c r="E40" s="8">
        <v>52</v>
      </c>
      <c r="F40" s="8">
        <v>61</v>
      </c>
      <c r="G40" s="8">
        <v>63</v>
      </c>
      <c r="H40" s="8">
        <v>66</v>
      </c>
      <c r="I40" s="8">
        <v>69</v>
      </c>
      <c r="J40" s="8">
        <v>71</v>
      </c>
      <c r="K40" s="8">
        <v>76</v>
      </c>
      <c r="L40" s="8">
        <v>82</v>
      </c>
      <c r="M40" s="8">
        <v>84</v>
      </c>
      <c r="N40" s="8">
        <v>86</v>
      </c>
      <c r="O40" s="8">
        <v>90</v>
      </c>
      <c r="P40" s="8">
        <v>97</v>
      </c>
      <c r="Q40" s="8">
        <v>102</v>
      </c>
      <c r="R40" s="8">
        <v>104</v>
      </c>
      <c r="S40" s="8">
        <v>116</v>
      </c>
      <c r="T40" s="8">
        <v>140</v>
      </c>
      <c r="U40" s="8">
        <v>187</v>
      </c>
      <c r="V40" s="9">
        <v>217</v>
      </c>
    </row>
    <row r="41" spans="1:22" x14ac:dyDescent="0.25">
      <c r="A41" s="6">
        <v>12000</v>
      </c>
      <c r="B41" s="8">
        <v>32</v>
      </c>
      <c r="C41" s="8">
        <v>36</v>
      </c>
      <c r="D41" s="8">
        <v>39</v>
      </c>
      <c r="E41" s="8">
        <v>52</v>
      </c>
      <c r="F41" s="8">
        <v>61</v>
      </c>
      <c r="G41" s="8">
        <v>63</v>
      </c>
      <c r="H41" s="8">
        <v>66</v>
      </c>
      <c r="I41" s="8">
        <v>69</v>
      </c>
      <c r="J41" s="8">
        <v>71</v>
      </c>
      <c r="K41" s="8">
        <v>76</v>
      </c>
      <c r="L41" s="8">
        <v>82</v>
      </c>
      <c r="M41" s="8">
        <v>84</v>
      </c>
      <c r="N41" s="8">
        <v>86</v>
      </c>
      <c r="O41" s="8">
        <v>90</v>
      </c>
      <c r="P41" s="8">
        <v>97</v>
      </c>
      <c r="Q41" s="8">
        <v>102</v>
      </c>
      <c r="R41" s="8">
        <v>104</v>
      </c>
      <c r="S41" s="8">
        <v>116</v>
      </c>
      <c r="T41" s="8">
        <v>140</v>
      </c>
      <c r="U41" s="8">
        <v>187</v>
      </c>
      <c r="V41" s="9">
        <v>211</v>
      </c>
    </row>
    <row r="42" spans="1:22" x14ac:dyDescent="0.25">
      <c r="A42" s="6">
        <v>12400</v>
      </c>
      <c r="B42" s="8">
        <v>32</v>
      </c>
      <c r="C42" s="8">
        <v>36</v>
      </c>
      <c r="D42" s="8">
        <v>39</v>
      </c>
      <c r="E42" s="8">
        <v>52</v>
      </c>
      <c r="F42" s="8">
        <v>61</v>
      </c>
      <c r="G42" s="8">
        <v>63</v>
      </c>
      <c r="H42" s="8">
        <v>66</v>
      </c>
      <c r="I42" s="8">
        <v>69</v>
      </c>
      <c r="J42" s="8">
        <v>71</v>
      </c>
      <c r="K42" s="8">
        <v>76</v>
      </c>
      <c r="L42" s="8">
        <v>82</v>
      </c>
      <c r="M42" s="8">
        <v>84</v>
      </c>
      <c r="N42" s="8">
        <v>86</v>
      </c>
      <c r="O42" s="8">
        <v>90</v>
      </c>
      <c r="P42" s="8">
        <v>97</v>
      </c>
      <c r="Q42" s="8">
        <v>102</v>
      </c>
      <c r="R42" s="8">
        <v>104</v>
      </c>
      <c r="S42" s="8">
        <v>116</v>
      </c>
      <c r="T42" s="8">
        <v>140</v>
      </c>
      <c r="U42" s="8">
        <v>187</v>
      </c>
      <c r="V42" s="9">
        <v>211</v>
      </c>
    </row>
    <row r="43" spans="1:22" ht="13.8" thickBot="1" x14ac:dyDescent="0.3">
      <c r="A43" s="7">
        <v>12800</v>
      </c>
      <c r="B43" s="10">
        <v>32</v>
      </c>
      <c r="C43" s="10">
        <v>36</v>
      </c>
      <c r="D43" s="10">
        <v>39</v>
      </c>
      <c r="E43" s="10">
        <v>52</v>
      </c>
      <c r="F43" s="10">
        <v>61</v>
      </c>
      <c r="G43" s="10">
        <v>63</v>
      </c>
      <c r="H43" s="10">
        <v>66</v>
      </c>
      <c r="I43" s="10">
        <v>69</v>
      </c>
      <c r="J43" s="10">
        <v>71</v>
      </c>
      <c r="K43" s="10">
        <v>76</v>
      </c>
      <c r="L43" s="10">
        <v>82</v>
      </c>
      <c r="M43" s="10">
        <v>84</v>
      </c>
      <c r="N43" s="10">
        <v>86</v>
      </c>
      <c r="O43" s="10">
        <v>90</v>
      </c>
      <c r="P43" s="10">
        <v>97</v>
      </c>
      <c r="Q43" s="10">
        <v>102</v>
      </c>
      <c r="R43" s="10">
        <v>104</v>
      </c>
      <c r="S43" s="10">
        <v>116</v>
      </c>
      <c r="T43" s="10">
        <v>140</v>
      </c>
      <c r="U43" s="10">
        <v>187</v>
      </c>
      <c r="V43" s="11">
        <v>211</v>
      </c>
    </row>
    <row r="44" spans="1:22" x14ac:dyDescent="0.25">
      <c r="A44" s="1"/>
    </row>
    <row r="45" spans="1:22" x14ac:dyDescent="0.25">
      <c r="A45" s="1"/>
    </row>
    <row r="46" spans="1:22" x14ac:dyDescent="0.25">
      <c r="A46" s="1"/>
    </row>
    <row r="47" spans="1:22" x14ac:dyDescent="0.25">
      <c r="A47" s="1"/>
    </row>
    <row r="48" spans="1:22" x14ac:dyDescent="0.25">
      <c r="A48" s="1"/>
    </row>
    <row r="49" spans="1:1" x14ac:dyDescent="0.25">
      <c r="A49" s="1"/>
    </row>
    <row r="50" spans="1:1" x14ac:dyDescent="0.25">
      <c r="A50" s="1"/>
    </row>
    <row r="51" spans="1:1" x14ac:dyDescent="0.25">
      <c r="A51" s="1"/>
    </row>
    <row r="52" spans="1:1" x14ac:dyDescent="0.25">
      <c r="A52" s="1"/>
    </row>
    <row r="53" spans="1:1" x14ac:dyDescent="0.25">
      <c r="A53" s="1"/>
    </row>
    <row r="54" spans="1:1" x14ac:dyDescent="0.25">
      <c r="A54" s="1"/>
    </row>
    <row r="55" spans="1:1" x14ac:dyDescent="0.25">
      <c r="A55" s="1"/>
    </row>
    <row r="56" spans="1:1" x14ac:dyDescent="0.25">
      <c r="A56" s="1"/>
    </row>
    <row r="57" spans="1:1" x14ac:dyDescent="0.25">
      <c r="A57" s="1"/>
    </row>
    <row r="58" spans="1:1" x14ac:dyDescent="0.25">
      <c r="A58" s="1"/>
    </row>
    <row r="59" spans="1:1" x14ac:dyDescent="0.25">
      <c r="A59" s="1"/>
    </row>
    <row r="60" spans="1:1" x14ac:dyDescent="0.25">
      <c r="A60" s="1"/>
    </row>
    <row r="61" spans="1:1" x14ac:dyDescent="0.25">
      <c r="A61" s="1"/>
    </row>
    <row r="62" spans="1:1" x14ac:dyDescent="0.25">
      <c r="A62" s="1"/>
    </row>
    <row r="63" spans="1:1" x14ac:dyDescent="0.25">
      <c r="A63" s="1"/>
    </row>
    <row r="64" spans="1:1" x14ac:dyDescent="0.25">
      <c r="A64" s="1"/>
    </row>
    <row r="65" spans="1:1" x14ac:dyDescent="0.25">
      <c r="A65" s="1"/>
    </row>
    <row r="66" spans="1:1" x14ac:dyDescent="0.25">
      <c r="A66" s="1"/>
    </row>
    <row r="67" spans="1:1" x14ac:dyDescent="0.25">
      <c r="A67" s="1"/>
    </row>
    <row r="68" spans="1:1" x14ac:dyDescent="0.25">
      <c r="A68" s="1"/>
    </row>
    <row r="69" spans="1:1" x14ac:dyDescent="0.25">
      <c r="A69" s="1"/>
    </row>
    <row r="70" spans="1:1" x14ac:dyDescent="0.25">
      <c r="A70" s="1"/>
    </row>
    <row r="71" spans="1:1" x14ac:dyDescent="0.25">
      <c r="A71" s="1"/>
    </row>
    <row r="72" spans="1:1" x14ac:dyDescent="0.25">
      <c r="A72" s="1"/>
    </row>
    <row r="73" spans="1:1" x14ac:dyDescent="0.25">
      <c r="A73" s="1"/>
    </row>
    <row r="74" spans="1:1" x14ac:dyDescent="0.25">
      <c r="A74" s="1"/>
    </row>
    <row r="75" spans="1:1" x14ac:dyDescent="0.25">
      <c r="A75" s="1"/>
    </row>
    <row r="76" spans="1:1" x14ac:dyDescent="0.25">
      <c r="A76" s="1"/>
    </row>
    <row r="77" spans="1:1" x14ac:dyDescent="0.25">
      <c r="A77" s="1"/>
    </row>
    <row r="78" spans="1:1" x14ac:dyDescent="0.25">
      <c r="A78" s="1"/>
    </row>
    <row r="79" spans="1:1" x14ac:dyDescent="0.25">
      <c r="A79" s="1"/>
    </row>
    <row r="80" spans="1:1" x14ac:dyDescent="0.25">
      <c r="A80" s="1"/>
    </row>
    <row r="81" spans="1:1" x14ac:dyDescent="0.25">
      <c r="A81" s="1"/>
    </row>
    <row r="82" spans="1:1" x14ac:dyDescent="0.25">
      <c r="A82" s="1"/>
    </row>
    <row r="83" spans="1:1" x14ac:dyDescent="0.25">
      <c r="A83" s="1"/>
    </row>
    <row r="84" spans="1:1" x14ac:dyDescent="0.25">
      <c r="A84" s="1"/>
    </row>
    <row r="85" spans="1:1" x14ac:dyDescent="0.25">
      <c r="A85" s="1"/>
    </row>
    <row r="86" spans="1:1" x14ac:dyDescent="0.25">
      <c r="A86" s="1"/>
    </row>
    <row r="87" spans="1:1" x14ac:dyDescent="0.25">
      <c r="A87" s="1"/>
    </row>
    <row r="88" spans="1:1" x14ac:dyDescent="0.25">
      <c r="A88" s="1"/>
    </row>
    <row r="89" spans="1:1" x14ac:dyDescent="0.25">
      <c r="A89" s="1"/>
    </row>
    <row r="90" spans="1:1" x14ac:dyDescent="0.25">
      <c r="A90" s="1"/>
    </row>
    <row r="91" spans="1:1" x14ac:dyDescent="0.25">
      <c r="A91" s="1"/>
    </row>
    <row r="92" spans="1:1" x14ac:dyDescent="0.25">
      <c r="A92" s="1"/>
    </row>
    <row r="93" spans="1:1" x14ac:dyDescent="0.25">
      <c r="A93" s="1"/>
    </row>
    <row r="94" spans="1:1" x14ac:dyDescent="0.25">
      <c r="A94" s="1"/>
    </row>
    <row r="95" spans="1:1" x14ac:dyDescent="0.25">
      <c r="A95" s="1"/>
    </row>
    <row r="96" spans="1:1" x14ac:dyDescent="0.25">
      <c r="A96" s="1"/>
    </row>
    <row r="97" spans="1:1" x14ac:dyDescent="0.25">
      <c r="A97" s="1"/>
    </row>
    <row r="98" spans="1:1" x14ac:dyDescent="0.25">
      <c r="A98" s="1"/>
    </row>
    <row r="99" spans="1:1" x14ac:dyDescent="0.25">
      <c r="A99" s="1"/>
    </row>
    <row r="100" spans="1:1" x14ac:dyDescent="0.25">
      <c r="A100" s="1"/>
    </row>
    <row r="101" spans="1:1" x14ac:dyDescent="0.25">
      <c r="A101" s="1"/>
    </row>
    <row r="102" spans="1:1" x14ac:dyDescent="0.25">
      <c r="A102" s="1"/>
    </row>
    <row r="103" spans="1:1" x14ac:dyDescent="0.25">
      <c r="A103" s="1"/>
    </row>
    <row r="104" spans="1:1" x14ac:dyDescent="0.25">
      <c r="A104" s="1"/>
    </row>
    <row r="105" spans="1:1" x14ac:dyDescent="0.25">
      <c r="A105" s="1"/>
    </row>
    <row r="106" spans="1:1" x14ac:dyDescent="0.25">
      <c r="A106" s="1"/>
    </row>
    <row r="107" spans="1:1" x14ac:dyDescent="0.25">
      <c r="A107" s="1"/>
    </row>
    <row r="108" spans="1:1" x14ac:dyDescent="0.25">
      <c r="A108" s="1"/>
    </row>
    <row r="109" spans="1:1" x14ac:dyDescent="0.25">
      <c r="A109" s="1"/>
    </row>
    <row r="110" spans="1:1" x14ac:dyDescent="0.25">
      <c r="A110" s="1"/>
    </row>
    <row r="111" spans="1:1" x14ac:dyDescent="0.25">
      <c r="A111" s="1"/>
    </row>
    <row r="112" spans="1:1"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row r="248" spans="1:1" x14ac:dyDescent="0.25">
      <c r="A248" s="1"/>
    </row>
    <row r="249" spans="1:1" x14ac:dyDescent="0.25">
      <c r="A249" s="1"/>
    </row>
    <row r="250" spans="1:1" x14ac:dyDescent="0.25">
      <c r="A250" s="1"/>
    </row>
    <row r="251" spans="1:1" x14ac:dyDescent="0.25">
      <c r="A251" s="1"/>
    </row>
    <row r="252" spans="1:1" x14ac:dyDescent="0.25">
      <c r="A252" s="1"/>
    </row>
    <row r="253" spans="1:1" x14ac:dyDescent="0.25">
      <c r="A253" s="1"/>
    </row>
    <row r="254" spans="1:1" x14ac:dyDescent="0.25">
      <c r="A254" s="1"/>
    </row>
    <row r="255" spans="1:1" x14ac:dyDescent="0.25">
      <c r="A255" s="1"/>
    </row>
    <row r="256" spans="1:1" x14ac:dyDescent="0.25">
      <c r="A256" s="1"/>
    </row>
    <row r="257" spans="1:1" x14ac:dyDescent="0.25">
      <c r="A257" s="1"/>
    </row>
    <row r="258" spans="1:1" x14ac:dyDescent="0.25">
      <c r="A258" s="1"/>
    </row>
    <row r="259" spans="1:1" x14ac:dyDescent="0.25">
      <c r="A259" s="1"/>
    </row>
    <row r="260" spans="1:1" x14ac:dyDescent="0.25">
      <c r="A260" s="1"/>
    </row>
    <row r="261" spans="1:1" x14ac:dyDescent="0.25">
      <c r="A261" s="1"/>
    </row>
    <row r="262" spans="1:1" x14ac:dyDescent="0.25">
      <c r="A262" s="1"/>
    </row>
    <row r="263" spans="1:1" x14ac:dyDescent="0.25">
      <c r="A263" s="1"/>
    </row>
    <row r="264" spans="1:1" x14ac:dyDescent="0.25">
      <c r="A264" s="1"/>
    </row>
    <row r="265" spans="1:1" x14ac:dyDescent="0.25">
      <c r="A265" s="1"/>
    </row>
    <row r="266" spans="1:1" x14ac:dyDescent="0.25">
      <c r="A266" s="1"/>
    </row>
    <row r="267" spans="1:1" x14ac:dyDescent="0.25">
      <c r="A267" s="1"/>
    </row>
    <row r="268" spans="1:1" x14ac:dyDescent="0.25">
      <c r="A268" s="1"/>
    </row>
    <row r="269" spans="1:1" x14ac:dyDescent="0.25">
      <c r="A269" s="1"/>
    </row>
    <row r="270" spans="1:1" x14ac:dyDescent="0.25">
      <c r="A270" s="1"/>
    </row>
    <row r="271" spans="1:1" x14ac:dyDescent="0.25">
      <c r="A271" s="1"/>
    </row>
    <row r="272" spans="1:1" x14ac:dyDescent="0.25">
      <c r="A272" s="1"/>
    </row>
    <row r="273" spans="1:1" x14ac:dyDescent="0.25">
      <c r="A273" s="1"/>
    </row>
    <row r="274" spans="1:1" x14ac:dyDescent="0.25">
      <c r="A274" s="1"/>
    </row>
    <row r="275" spans="1:1" x14ac:dyDescent="0.25">
      <c r="A275" s="1"/>
    </row>
    <row r="276" spans="1:1" x14ac:dyDescent="0.25">
      <c r="A276" s="1"/>
    </row>
    <row r="277" spans="1:1" x14ac:dyDescent="0.25">
      <c r="A277" s="1"/>
    </row>
    <row r="278" spans="1:1" x14ac:dyDescent="0.25">
      <c r="A278" s="1"/>
    </row>
    <row r="279" spans="1:1" x14ac:dyDescent="0.25">
      <c r="A279" s="1"/>
    </row>
    <row r="280" spans="1:1" x14ac:dyDescent="0.25">
      <c r="A280" s="1"/>
    </row>
    <row r="281" spans="1:1" x14ac:dyDescent="0.25">
      <c r="A281" s="1"/>
    </row>
    <row r="282" spans="1:1" x14ac:dyDescent="0.25">
      <c r="A282" s="1"/>
    </row>
    <row r="283" spans="1:1" x14ac:dyDescent="0.25">
      <c r="A283" s="1"/>
    </row>
    <row r="284" spans="1:1" x14ac:dyDescent="0.25">
      <c r="A284" s="1"/>
    </row>
    <row r="285" spans="1:1" x14ac:dyDescent="0.25">
      <c r="A285" s="1"/>
    </row>
    <row r="286" spans="1:1" x14ac:dyDescent="0.25">
      <c r="A286" s="1"/>
    </row>
    <row r="287" spans="1:1" x14ac:dyDescent="0.25">
      <c r="A287" s="1"/>
    </row>
    <row r="288" spans="1:1" x14ac:dyDescent="0.25">
      <c r="A288" s="1"/>
    </row>
    <row r="289" spans="1:1" x14ac:dyDescent="0.25">
      <c r="A289" s="1"/>
    </row>
    <row r="290" spans="1:1" x14ac:dyDescent="0.25">
      <c r="A290" s="1"/>
    </row>
    <row r="291" spans="1:1" x14ac:dyDescent="0.25">
      <c r="A291" s="1"/>
    </row>
    <row r="292" spans="1:1" x14ac:dyDescent="0.25">
      <c r="A292" s="1"/>
    </row>
    <row r="293" spans="1:1" x14ac:dyDescent="0.25">
      <c r="A293" s="1"/>
    </row>
    <row r="294" spans="1:1" x14ac:dyDescent="0.25">
      <c r="A294" s="1"/>
    </row>
    <row r="295" spans="1:1" x14ac:dyDescent="0.25">
      <c r="A295" s="1"/>
    </row>
    <row r="296" spans="1:1" x14ac:dyDescent="0.25">
      <c r="A296" s="1"/>
    </row>
    <row r="297" spans="1:1" x14ac:dyDescent="0.25">
      <c r="A297" s="1"/>
    </row>
    <row r="298" spans="1:1" x14ac:dyDescent="0.25">
      <c r="A298" s="1"/>
    </row>
    <row r="299" spans="1:1" x14ac:dyDescent="0.25">
      <c r="A299" s="1"/>
    </row>
    <row r="300" spans="1:1" x14ac:dyDescent="0.25">
      <c r="A300" s="1"/>
    </row>
    <row r="301" spans="1:1" x14ac:dyDescent="0.25">
      <c r="A301" s="1"/>
    </row>
    <row r="302" spans="1:1" x14ac:dyDescent="0.25">
      <c r="A302" s="1"/>
    </row>
    <row r="303" spans="1:1" x14ac:dyDescent="0.25">
      <c r="A303" s="1"/>
    </row>
    <row r="304" spans="1:1" x14ac:dyDescent="0.25">
      <c r="A304" s="1"/>
    </row>
    <row r="305" spans="1:1" x14ac:dyDescent="0.25">
      <c r="A305" s="1"/>
    </row>
    <row r="306" spans="1:1" x14ac:dyDescent="0.25">
      <c r="A306" s="1"/>
    </row>
    <row r="307" spans="1:1" x14ac:dyDescent="0.25">
      <c r="A307" s="1"/>
    </row>
    <row r="308" spans="1:1" x14ac:dyDescent="0.25">
      <c r="A308" s="1"/>
    </row>
    <row r="309" spans="1:1" x14ac:dyDescent="0.25">
      <c r="A309" s="1"/>
    </row>
    <row r="310" spans="1:1" x14ac:dyDescent="0.25">
      <c r="A310" s="1"/>
    </row>
    <row r="311" spans="1:1" x14ac:dyDescent="0.25">
      <c r="A311" s="1"/>
    </row>
    <row r="312" spans="1:1" x14ac:dyDescent="0.25">
      <c r="A312" s="1"/>
    </row>
    <row r="313" spans="1:1" x14ac:dyDescent="0.25">
      <c r="A313" s="1"/>
    </row>
    <row r="314" spans="1:1" x14ac:dyDescent="0.25">
      <c r="A314" s="1"/>
    </row>
    <row r="315" spans="1:1" x14ac:dyDescent="0.25">
      <c r="A315" s="1"/>
    </row>
    <row r="316" spans="1:1" x14ac:dyDescent="0.25">
      <c r="A316" s="1"/>
    </row>
    <row r="317" spans="1:1" x14ac:dyDescent="0.25">
      <c r="A317" s="1"/>
    </row>
    <row r="318" spans="1:1" x14ac:dyDescent="0.25">
      <c r="A318" s="1"/>
    </row>
    <row r="319" spans="1:1" x14ac:dyDescent="0.25">
      <c r="A319" s="1"/>
    </row>
    <row r="320" spans="1:1" x14ac:dyDescent="0.25">
      <c r="A320" s="1"/>
    </row>
    <row r="321" spans="1:1" x14ac:dyDescent="0.25">
      <c r="A321" s="1"/>
    </row>
    <row r="322" spans="1:1" x14ac:dyDescent="0.25">
      <c r="A322" s="1"/>
    </row>
    <row r="323" spans="1:1" x14ac:dyDescent="0.25">
      <c r="A323" s="1"/>
    </row>
    <row r="324" spans="1:1" x14ac:dyDescent="0.25">
      <c r="A324" s="1"/>
    </row>
    <row r="325" spans="1:1" x14ac:dyDescent="0.25">
      <c r="A325" s="1"/>
    </row>
    <row r="326" spans="1:1" x14ac:dyDescent="0.25">
      <c r="A326" s="1"/>
    </row>
    <row r="327" spans="1:1" x14ac:dyDescent="0.25">
      <c r="A327" s="1"/>
    </row>
    <row r="328" spans="1:1" x14ac:dyDescent="0.25">
      <c r="A328" s="1"/>
    </row>
    <row r="329" spans="1:1" x14ac:dyDescent="0.25">
      <c r="A329" s="1"/>
    </row>
    <row r="330" spans="1:1" x14ac:dyDescent="0.25">
      <c r="A330" s="1"/>
    </row>
    <row r="331" spans="1:1" x14ac:dyDescent="0.25">
      <c r="A331" s="1"/>
    </row>
    <row r="332" spans="1:1" x14ac:dyDescent="0.25">
      <c r="A332" s="1"/>
    </row>
    <row r="333" spans="1:1" x14ac:dyDescent="0.25">
      <c r="A333" s="1"/>
    </row>
    <row r="334" spans="1:1" x14ac:dyDescent="0.25">
      <c r="A334" s="1"/>
    </row>
    <row r="335" spans="1:1" x14ac:dyDescent="0.25">
      <c r="A335" s="1"/>
    </row>
    <row r="336" spans="1:1" x14ac:dyDescent="0.25">
      <c r="A336" s="1"/>
    </row>
    <row r="337" spans="1:1" x14ac:dyDescent="0.25">
      <c r="A337" s="1"/>
    </row>
    <row r="338" spans="1:1" x14ac:dyDescent="0.25">
      <c r="A338" s="1"/>
    </row>
    <row r="339" spans="1:1" x14ac:dyDescent="0.25">
      <c r="A339" s="1"/>
    </row>
    <row r="340" spans="1:1" x14ac:dyDescent="0.25">
      <c r="A340" s="1"/>
    </row>
    <row r="341" spans="1:1" x14ac:dyDescent="0.25">
      <c r="A341" s="1"/>
    </row>
    <row r="342" spans="1:1" x14ac:dyDescent="0.25">
      <c r="A342" s="1"/>
    </row>
    <row r="343" spans="1:1" x14ac:dyDescent="0.25">
      <c r="A343" s="1"/>
    </row>
    <row r="344" spans="1:1" x14ac:dyDescent="0.25">
      <c r="A344" s="1"/>
    </row>
    <row r="345" spans="1:1" x14ac:dyDescent="0.25">
      <c r="A345" s="1"/>
    </row>
    <row r="346" spans="1:1" x14ac:dyDescent="0.25">
      <c r="A346" s="1"/>
    </row>
    <row r="347" spans="1:1" x14ac:dyDescent="0.25">
      <c r="A347" s="1"/>
    </row>
    <row r="348" spans="1:1" x14ac:dyDescent="0.25">
      <c r="A348" s="1"/>
    </row>
    <row r="349" spans="1:1" x14ac:dyDescent="0.25">
      <c r="A349" s="1"/>
    </row>
    <row r="350" spans="1:1" x14ac:dyDescent="0.25">
      <c r="A350" s="1"/>
    </row>
    <row r="351" spans="1:1" x14ac:dyDescent="0.25">
      <c r="A351" s="1"/>
    </row>
    <row r="352" spans="1:1" x14ac:dyDescent="0.25">
      <c r="A352" s="1"/>
    </row>
    <row r="353" spans="1:1" x14ac:dyDescent="0.25">
      <c r="A353" s="1"/>
    </row>
    <row r="354" spans="1:1" x14ac:dyDescent="0.25">
      <c r="A354" s="1"/>
    </row>
    <row r="355" spans="1:1" x14ac:dyDescent="0.25">
      <c r="A355" s="1"/>
    </row>
    <row r="356" spans="1:1" x14ac:dyDescent="0.25">
      <c r="A356" s="1"/>
    </row>
    <row r="357" spans="1:1" x14ac:dyDescent="0.25">
      <c r="A357" s="1"/>
    </row>
    <row r="358" spans="1:1" x14ac:dyDescent="0.25">
      <c r="A358" s="1"/>
    </row>
    <row r="359" spans="1:1" x14ac:dyDescent="0.25">
      <c r="A359" s="1"/>
    </row>
    <row r="360" spans="1:1" x14ac:dyDescent="0.25">
      <c r="A360" s="1"/>
    </row>
    <row r="361" spans="1:1" x14ac:dyDescent="0.25">
      <c r="A361" s="1"/>
    </row>
    <row r="362" spans="1:1" x14ac:dyDescent="0.25">
      <c r="A362" s="1"/>
    </row>
    <row r="363" spans="1:1" x14ac:dyDescent="0.25">
      <c r="A363" s="1"/>
    </row>
    <row r="364" spans="1:1" x14ac:dyDescent="0.25">
      <c r="A364" s="1"/>
    </row>
    <row r="365" spans="1:1" x14ac:dyDescent="0.25">
      <c r="A365" s="1"/>
    </row>
    <row r="366" spans="1:1" x14ac:dyDescent="0.25">
      <c r="A366" s="1"/>
    </row>
    <row r="367" spans="1:1" x14ac:dyDescent="0.25">
      <c r="A367" s="1"/>
    </row>
    <row r="368" spans="1:1" x14ac:dyDescent="0.25">
      <c r="A368" s="1"/>
    </row>
    <row r="369" spans="1:1" x14ac:dyDescent="0.25">
      <c r="A369" s="1"/>
    </row>
    <row r="370" spans="1:1" x14ac:dyDescent="0.25">
      <c r="A370" s="1"/>
    </row>
    <row r="371" spans="1:1" x14ac:dyDescent="0.25">
      <c r="A371" s="1"/>
    </row>
    <row r="372" spans="1:1" x14ac:dyDescent="0.25">
      <c r="A372" s="1"/>
    </row>
    <row r="373" spans="1:1" x14ac:dyDescent="0.25">
      <c r="A373" s="1"/>
    </row>
    <row r="374" spans="1:1" x14ac:dyDescent="0.25">
      <c r="A374" s="1"/>
    </row>
    <row r="375" spans="1:1" x14ac:dyDescent="0.25">
      <c r="A375" s="1"/>
    </row>
    <row r="376" spans="1:1" x14ac:dyDescent="0.25">
      <c r="A376" s="1"/>
    </row>
    <row r="377" spans="1:1" x14ac:dyDescent="0.25">
      <c r="A377" s="1"/>
    </row>
    <row r="378" spans="1:1" x14ac:dyDescent="0.25">
      <c r="A378" s="1"/>
    </row>
    <row r="379" spans="1:1" x14ac:dyDescent="0.25">
      <c r="A379" s="1"/>
    </row>
    <row r="380" spans="1:1" x14ac:dyDescent="0.25">
      <c r="A380" s="1"/>
    </row>
    <row r="381" spans="1:1" x14ac:dyDescent="0.25">
      <c r="A381" s="1"/>
    </row>
    <row r="382" spans="1:1" x14ac:dyDescent="0.25">
      <c r="A382" s="1"/>
    </row>
    <row r="383" spans="1:1" x14ac:dyDescent="0.25">
      <c r="A383" s="1"/>
    </row>
    <row r="384" spans="1:1" x14ac:dyDescent="0.25">
      <c r="A384" s="1"/>
    </row>
    <row r="385" spans="1:1" x14ac:dyDescent="0.25">
      <c r="A385" s="1"/>
    </row>
    <row r="386" spans="1:1" x14ac:dyDescent="0.25">
      <c r="A386" s="1"/>
    </row>
    <row r="387" spans="1:1" x14ac:dyDescent="0.25">
      <c r="A387" s="1"/>
    </row>
    <row r="388" spans="1:1" x14ac:dyDescent="0.25">
      <c r="A388" s="1"/>
    </row>
    <row r="389" spans="1:1" x14ac:dyDescent="0.25">
      <c r="A389" s="1"/>
    </row>
    <row r="390" spans="1:1" x14ac:dyDescent="0.25">
      <c r="A390" s="1"/>
    </row>
    <row r="391" spans="1:1" x14ac:dyDescent="0.25">
      <c r="A391" s="1"/>
    </row>
    <row r="392" spans="1:1" x14ac:dyDescent="0.25">
      <c r="A392" s="1"/>
    </row>
    <row r="393" spans="1:1" x14ac:dyDescent="0.25">
      <c r="A393" s="1"/>
    </row>
    <row r="394" spans="1:1" x14ac:dyDescent="0.25">
      <c r="A394" s="1"/>
    </row>
    <row r="395" spans="1:1" x14ac:dyDescent="0.25">
      <c r="A395" s="1"/>
    </row>
    <row r="396" spans="1:1" x14ac:dyDescent="0.25">
      <c r="A396" s="1"/>
    </row>
    <row r="397" spans="1:1" x14ac:dyDescent="0.25">
      <c r="A397" s="1"/>
    </row>
    <row r="398" spans="1:1" x14ac:dyDescent="0.25">
      <c r="A398" s="1"/>
    </row>
    <row r="399" spans="1:1" x14ac:dyDescent="0.25">
      <c r="A399" s="1"/>
    </row>
    <row r="400" spans="1:1" x14ac:dyDescent="0.25">
      <c r="A400" s="1"/>
    </row>
    <row r="401" spans="1:1" x14ac:dyDescent="0.25">
      <c r="A401" s="1"/>
    </row>
    <row r="402" spans="1:1" x14ac:dyDescent="0.25">
      <c r="A402" s="1"/>
    </row>
    <row r="403" spans="1:1" x14ac:dyDescent="0.25">
      <c r="A403" s="1"/>
    </row>
    <row r="404" spans="1:1" x14ac:dyDescent="0.25">
      <c r="A404" s="1"/>
    </row>
    <row r="405" spans="1:1" x14ac:dyDescent="0.25">
      <c r="A405" s="1"/>
    </row>
    <row r="406" spans="1:1" x14ac:dyDescent="0.25">
      <c r="A406" s="1"/>
    </row>
    <row r="407" spans="1:1" x14ac:dyDescent="0.25">
      <c r="A407" s="1"/>
    </row>
    <row r="408" spans="1:1" x14ac:dyDescent="0.25">
      <c r="A408" s="1"/>
    </row>
    <row r="409" spans="1:1" x14ac:dyDescent="0.25">
      <c r="A409" s="1"/>
    </row>
    <row r="410" spans="1:1" x14ac:dyDescent="0.25">
      <c r="A410" s="1"/>
    </row>
    <row r="411" spans="1:1" x14ac:dyDescent="0.25">
      <c r="A411" s="1"/>
    </row>
    <row r="412" spans="1:1" x14ac:dyDescent="0.25">
      <c r="A412" s="1"/>
    </row>
    <row r="413" spans="1:1" x14ac:dyDescent="0.25">
      <c r="A413" s="1"/>
    </row>
    <row r="414" spans="1:1" x14ac:dyDescent="0.25">
      <c r="A414" s="1"/>
    </row>
    <row r="415" spans="1:1" x14ac:dyDescent="0.25">
      <c r="A415" s="1"/>
    </row>
    <row r="416" spans="1:1" x14ac:dyDescent="0.25">
      <c r="A416" s="1"/>
    </row>
    <row r="417" spans="1:1" x14ac:dyDescent="0.25">
      <c r="A417" s="1"/>
    </row>
    <row r="418" spans="1:1" x14ac:dyDescent="0.25">
      <c r="A418" s="1"/>
    </row>
    <row r="419" spans="1:1" x14ac:dyDescent="0.25">
      <c r="A419" s="1"/>
    </row>
    <row r="420" spans="1:1" x14ac:dyDescent="0.25">
      <c r="A420" s="1"/>
    </row>
    <row r="421" spans="1:1" x14ac:dyDescent="0.25">
      <c r="A421" s="1"/>
    </row>
    <row r="422" spans="1:1" x14ac:dyDescent="0.25">
      <c r="A422" s="1"/>
    </row>
    <row r="423" spans="1:1" x14ac:dyDescent="0.25">
      <c r="A423" s="1"/>
    </row>
    <row r="424" spans="1:1" x14ac:dyDescent="0.25">
      <c r="A424" s="1"/>
    </row>
    <row r="425" spans="1:1" x14ac:dyDescent="0.25">
      <c r="A425" s="1"/>
    </row>
    <row r="426" spans="1:1" x14ac:dyDescent="0.25">
      <c r="A426" s="1"/>
    </row>
    <row r="427" spans="1:1" x14ac:dyDescent="0.25">
      <c r="A427" s="1"/>
    </row>
    <row r="428" spans="1:1" x14ac:dyDescent="0.25">
      <c r="A428" s="1"/>
    </row>
    <row r="429" spans="1:1" x14ac:dyDescent="0.25">
      <c r="A429" s="1"/>
    </row>
    <row r="430" spans="1:1" x14ac:dyDescent="0.25">
      <c r="A430" s="1"/>
    </row>
    <row r="431" spans="1:1" x14ac:dyDescent="0.25">
      <c r="A431" s="1"/>
    </row>
    <row r="432" spans="1:1" x14ac:dyDescent="0.25">
      <c r="A432" s="1"/>
    </row>
    <row r="433" spans="1:1" x14ac:dyDescent="0.25">
      <c r="A433" s="1"/>
    </row>
    <row r="434" spans="1:1" x14ac:dyDescent="0.25">
      <c r="A434" s="1"/>
    </row>
    <row r="435" spans="1:1" x14ac:dyDescent="0.25">
      <c r="A435" s="1"/>
    </row>
    <row r="436" spans="1:1" x14ac:dyDescent="0.25">
      <c r="A436" s="1"/>
    </row>
    <row r="437" spans="1:1" x14ac:dyDescent="0.25">
      <c r="A437" s="1"/>
    </row>
    <row r="438" spans="1:1" x14ac:dyDescent="0.25">
      <c r="A438" s="1"/>
    </row>
    <row r="439" spans="1:1" x14ac:dyDescent="0.25">
      <c r="A439" s="1"/>
    </row>
    <row r="440" spans="1:1" x14ac:dyDescent="0.25">
      <c r="A440" s="1"/>
    </row>
    <row r="441" spans="1:1" x14ac:dyDescent="0.25">
      <c r="A441" s="1"/>
    </row>
    <row r="442" spans="1:1" x14ac:dyDescent="0.25">
      <c r="A442" s="1"/>
    </row>
    <row r="443" spans="1:1" x14ac:dyDescent="0.25">
      <c r="A443" s="1"/>
    </row>
    <row r="444" spans="1:1" x14ac:dyDescent="0.25">
      <c r="A444" s="1"/>
    </row>
    <row r="445" spans="1:1" x14ac:dyDescent="0.25">
      <c r="A445" s="1"/>
    </row>
    <row r="446" spans="1:1" x14ac:dyDescent="0.25">
      <c r="A446" s="1"/>
    </row>
    <row r="447" spans="1:1" x14ac:dyDescent="0.25">
      <c r="A447" s="1"/>
    </row>
    <row r="448" spans="1:1" x14ac:dyDescent="0.25">
      <c r="A448" s="1"/>
    </row>
    <row r="449" spans="1:1" x14ac:dyDescent="0.25">
      <c r="A449" s="1"/>
    </row>
    <row r="450" spans="1:1" x14ac:dyDescent="0.25">
      <c r="A450" s="1"/>
    </row>
    <row r="451" spans="1:1" x14ac:dyDescent="0.25">
      <c r="A451" s="1"/>
    </row>
    <row r="452" spans="1:1" x14ac:dyDescent="0.25">
      <c r="A452" s="1"/>
    </row>
    <row r="453" spans="1:1" x14ac:dyDescent="0.25">
      <c r="A453" s="1"/>
    </row>
    <row r="454" spans="1:1" x14ac:dyDescent="0.25">
      <c r="A454" s="1"/>
    </row>
    <row r="455" spans="1:1" x14ac:dyDescent="0.25">
      <c r="A455" s="1"/>
    </row>
    <row r="456" spans="1:1" x14ac:dyDescent="0.25">
      <c r="A456" s="1"/>
    </row>
    <row r="457" spans="1:1" x14ac:dyDescent="0.25">
      <c r="A457" s="1"/>
    </row>
    <row r="458" spans="1:1" x14ac:dyDescent="0.25">
      <c r="A458" s="1"/>
    </row>
    <row r="459" spans="1:1" x14ac:dyDescent="0.25">
      <c r="A459" s="1"/>
    </row>
    <row r="460" spans="1:1" x14ac:dyDescent="0.25">
      <c r="A460" s="1"/>
    </row>
    <row r="461" spans="1:1" x14ac:dyDescent="0.25">
      <c r="A461" s="1"/>
    </row>
    <row r="462" spans="1:1" x14ac:dyDescent="0.25">
      <c r="A462" s="1"/>
    </row>
    <row r="463" spans="1:1" x14ac:dyDescent="0.25">
      <c r="A463" s="1"/>
    </row>
    <row r="464" spans="1:1" x14ac:dyDescent="0.25">
      <c r="A464" s="1"/>
    </row>
    <row r="465" spans="1:1" x14ac:dyDescent="0.25">
      <c r="A465" s="1"/>
    </row>
    <row r="466" spans="1:1" x14ac:dyDescent="0.25">
      <c r="A466" s="1"/>
    </row>
    <row r="467" spans="1:1" x14ac:dyDescent="0.25">
      <c r="A467" s="1"/>
    </row>
    <row r="468" spans="1:1" x14ac:dyDescent="0.25">
      <c r="A468" s="1"/>
    </row>
    <row r="469" spans="1:1" x14ac:dyDescent="0.25">
      <c r="A469" s="1"/>
    </row>
    <row r="470" spans="1:1" x14ac:dyDescent="0.25">
      <c r="A470" s="1"/>
    </row>
    <row r="471" spans="1:1" x14ac:dyDescent="0.25">
      <c r="A471" s="1"/>
    </row>
    <row r="472" spans="1:1" x14ac:dyDescent="0.25">
      <c r="A472" s="1"/>
    </row>
    <row r="473" spans="1:1" x14ac:dyDescent="0.25">
      <c r="A473" s="1"/>
    </row>
    <row r="474" spans="1:1" x14ac:dyDescent="0.25">
      <c r="A474" s="1"/>
    </row>
    <row r="475" spans="1:1" x14ac:dyDescent="0.25">
      <c r="A475" s="1"/>
    </row>
    <row r="476" spans="1:1" x14ac:dyDescent="0.25">
      <c r="A476" s="1"/>
    </row>
    <row r="477" spans="1:1" x14ac:dyDescent="0.25">
      <c r="A477" s="1"/>
    </row>
    <row r="478" spans="1:1" x14ac:dyDescent="0.25">
      <c r="A478" s="1"/>
    </row>
    <row r="479" spans="1:1" x14ac:dyDescent="0.25">
      <c r="A479" s="1"/>
    </row>
    <row r="480" spans="1:1" x14ac:dyDescent="0.25">
      <c r="A480" s="1"/>
    </row>
    <row r="481" spans="1:1" x14ac:dyDescent="0.25">
      <c r="A481" s="1"/>
    </row>
    <row r="482" spans="1:1" x14ac:dyDescent="0.25">
      <c r="A482" s="1"/>
    </row>
    <row r="483" spans="1:1" x14ac:dyDescent="0.25">
      <c r="A483" s="1"/>
    </row>
    <row r="484" spans="1:1" x14ac:dyDescent="0.25">
      <c r="A484" s="1"/>
    </row>
    <row r="485" spans="1:1" x14ac:dyDescent="0.25">
      <c r="A485" s="1"/>
    </row>
    <row r="486" spans="1:1" x14ac:dyDescent="0.25">
      <c r="A486" s="1"/>
    </row>
    <row r="487" spans="1:1" x14ac:dyDescent="0.25">
      <c r="A487" s="1"/>
    </row>
    <row r="488" spans="1:1" x14ac:dyDescent="0.25">
      <c r="A488" s="1"/>
    </row>
    <row r="489" spans="1:1" x14ac:dyDescent="0.25">
      <c r="A489" s="1"/>
    </row>
    <row r="490" spans="1:1" x14ac:dyDescent="0.25">
      <c r="A490" s="1"/>
    </row>
    <row r="491" spans="1:1" x14ac:dyDescent="0.25">
      <c r="A491" s="1"/>
    </row>
    <row r="492" spans="1:1" x14ac:dyDescent="0.25">
      <c r="A492" s="1"/>
    </row>
    <row r="493" spans="1:1" x14ac:dyDescent="0.25">
      <c r="A493" s="1"/>
    </row>
    <row r="494" spans="1:1" x14ac:dyDescent="0.25">
      <c r="A494" s="1"/>
    </row>
    <row r="495" spans="1:1" x14ac:dyDescent="0.25">
      <c r="A495" s="1"/>
    </row>
    <row r="496" spans="1:1" x14ac:dyDescent="0.25">
      <c r="A496" s="1"/>
    </row>
    <row r="497" spans="1:1" x14ac:dyDescent="0.25">
      <c r="A497" s="1"/>
    </row>
    <row r="498" spans="1:1" x14ac:dyDescent="0.25">
      <c r="A498" s="1"/>
    </row>
    <row r="499" spans="1:1" x14ac:dyDescent="0.25">
      <c r="A499" s="1"/>
    </row>
    <row r="500" spans="1:1" x14ac:dyDescent="0.25">
      <c r="A500" s="1"/>
    </row>
    <row r="501" spans="1:1" x14ac:dyDescent="0.25">
      <c r="A501" s="1"/>
    </row>
    <row r="502" spans="1:1" x14ac:dyDescent="0.25">
      <c r="A502" s="1"/>
    </row>
    <row r="503" spans="1:1" x14ac:dyDescent="0.25">
      <c r="A503" s="1"/>
    </row>
    <row r="504" spans="1:1" x14ac:dyDescent="0.25">
      <c r="A504" s="1"/>
    </row>
    <row r="505" spans="1:1" x14ac:dyDescent="0.25">
      <c r="A505" s="1"/>
    </row>
    <row r="506" spans="1:1" x14ac:dyDescent="0.25">
      <c r="A506" s="1"/>
    </row>
    <row r="507" spans="1:1" x14ac:dyDescent="0.25">
      <c r="A507" s="1"/>
    </row>
    <row r="508" spans="1:1" x14ac:dyDescent="0.25">
      <c r="A508" s="1"/>
    </row>
    <row r="509" spans="1:1" x14ac:dyDescent="0.25">
      <c r="A509" s="1"/>
    </row>
    <row r="510" spans="1:1" x14ac:dyDescent="0.25">
      <c r="A510" s="1"/>
    </row>
    <row r="511" spans="1:1" x14ac:dyDescent="0.25">
      <c r="A511" s="1"/>
    </row>
    <row r="512" spans="1:1" x14ac:dyDescent="0.25">
      <c r="A512" s="1"/>
    </row>
    <row r="513" spans="1:1" x14ac:dyDescent="0.25">
      <c r="A513" s="1"/>
    </row>
    <row r="514" spans="1:1" x14ac:dyDescent="0.25">
      <c r="A514" s="1"/>
    </row>
    <row r="515" spans="1:1" x14ac:dyDescent="0.25">
      <c r="A515" s="1"/>
    </row>
    <row r="516" spans="1:1" x14ac:dyDescent="0.25">
      <c r="A516" s="1"/>
    </row>
    <row r="517" spans="1:1" x14ac:dyDescent="0.25">
      <c r="A517" s="1"/>
    </row>
    <row r="518" spans="1:1" x14ac:dyDescent="0.25">
      <c r="A518" s="1"/>
    </row>
    <row r="519" spans="1:1" x14ac:dyDescent="0.25">
      <c r="A519" s="1"/>
    </row>
    <row r="520" spans="1:1" x14ac:dyDescent="0.25">
      <c r="A520" s="1"/>
    </row>
    <row r="521" spans="1:1" x14ac:dyDescent="0.25">
      <c r="A521" s="1"/>
    </row>
    <row r="522" spans="1:1" x14ac:dyDescent="0.25">
      <c r="A522" s="1"/>
    </row>
    <row r="523" spans="1:1" x14ac:dyDescent="0.25">
      <c r="A523" s="1"/>
    </row>
    <row r="524" spans="1:1" x14ac:dyDescent="0.25">
      <c r="A524" s="1"/>
    </row>
    <row r="525" spans="1:1" x14ac:dyDescent="0.25">
      <c r="A525" s="1"/>
    </row>
    <row r="526" spans="1:1" x14ac:dyDescent="0.25">
      <c r="A526" s="1"/>
    </row>
    <row r="527" spans="1:1" x14ac:dyDescent="0.25">
      <c r="A527" s="1"/>
    </row>
    <row r="528" spans="1:1" x14ac:dyDescent="0.25">
      <c r="A528" s="1"/>
    </row>
    <row r="529" spans="1:1" x14ac:dyDescent="0.25">
      <c r="A529" s="1"/>
    </row>
    <row r="530" spans="1:1" x14ac:dyDescent="0.25">
      <c r="A530" s="1"/>
    </row>
    <row r="531" spans="1:1" x14ac:dyDescent="0.25">
      <c r="A531" s="1"/>
    </row>
    <row r="532" spans="1:1" x14ac:dyDescent="0.25">
      <c r="A532" s="1"/>
    </row>
    <row r="533" spans="1:1" x14ac:dyDescent="0.25">
      <c r="A533" s="1"/>
    </row>
    <row r="534" spans="1:1" x14ac:dyDescent="0.25">
      <c r="A534" s="1"/>
    </row>
    <row r="535" spans="1:1" x14ac:dyDescent="0.25">
      <c r="A535" s="1"/>
    </row>
    <row r="536" spans="1:1" x14ac:dyDescent="0.25">
      <c r="A536" s="1"/>
    </row>
    <row r="537" spans="1:1" x14ac:dyDescent="0.25">
      <c r="A537" s="1"/>
    </row>
    <row r="538" spans="1:1" x14ac:dyDescent="0.25">
      <c r="A538" s="1"/>
    </row>
    <row r="539" spans="1:1" x14ac:dyDescent="0.25">
      <c r="A539" s="1"/>
    </row>
    <row r="540" spans="1:1" x14ac:dyDescent="0.25">
      <c r="A540" s="1"/>
    </row>
    <row r="541" spans="1:1" x14ac:dyDescent="0.25">
      <c r="A541" s="1"/>
    </row>
    <row r="542" spans="1:1" x14ac:dyDescent="0.25">
      <c r="A542" s="1"/>
    </row>
    <row r="543" spans="1:1" x14ac:dyDescent="0.25">
      <c r="A543" s="1"/>
    </row>
    <row r="544" spans="1:1" x14ac:dyDescent="0.25">
      <c r="A544" s="1"/>
    </row>
    <row r="545" spans="1:1" x14ac:dyDescent="0.25">
      <c r="A545" s="1"/>
    </row>
    <row r="546" spans="1:1" x14ac:dyDescent="0.25">
      <c r="A546" s="1"/>
    </row>
    <row r="547" spans="1:1" x14ac:dyDescent="0.25">
      <c r="A547" s="1"/>
    </row>
    <row r="548" spans="1:1" x14ac:dyDescent="0.25">
      <c r="A548" s="1"/>
    </row>
    <row r="549" spans="1:1" x14ac:dyDescent="0.25">
      <c r="A549" s="1"/>
    </row>
    <row r="550" spans="1:1" x14ac:dyDescent="0.25">
      <c r="A550" s="1"/>
    </row>
    <row r="551" spans="1:1" x14ac:dyDescent="0.25">
      <c r="A551" s="1"/>
    </row>
    <row r="552" spans="1:1" x14ac:dyDescent="0.25">
      <c r="A552" s="1"/>
    </row>
    <row r="553" spans="1:1" x14ac:dyDescent="0.25">
      <c r="A553" s="1"/>
    </row>
    <row r="554" spans="1:1" x14ac:dyDescent="0.25">
      <c r="A554" s="1"/>
    </row>
    <row r="555" spans="1:1" x14ac:dyDescent="0.25">
      <c r="A555" s="1"/>
    </row>
    <row r="556" spans="1:1" x14ac:dyDescent="0.25">
      <c r="A556" s="1"/>
    </row>
    <row r="557" spans="1:1" x14ac:dyDescent="0.25">
      <c r="A557" s="1"/>
    </row>
    <row r="558" spans="1:1" x14ac:dyDescent="0.25">
      <c r="A558" s="1"/>
    </row>
    <row r="559" spans="1:1" x14ac:dyDescent="0.25">
      <c r="A559" s="1"/>
    </row>
    <row r="560" spans="1:1" x14ac:dyDescent="0.25">
      <c r="A560" s="1"/>
    </row>
    <row r="561" spans="1:1" x14ac:dyDescent="0.25">
      <c r="A561" s="1"/>
    </row>
    <row r="562" spans="1:1" x14ac:dyDescent="0.25">
      <c r="A562" s="1"/>
    </row>
    <row r="563" spans="1:1" x14ac:dyDescent="0.25">
      <c r="A563" s="1"/>
    </row>
    <row r="564" spans="1:1" x14ac:dyDescent="0.25">
      <c r="A564" s="1"/>
    </row>
    <row r="565" spans="1:1" x14ac:dyDescent="0.25">
      <c r="A565" s="1"/>
    </row>
    <row r="566" spans="1:1" x14ac:dyDescent="0.25">
      <c r="A566" s="1"/>
    </row>
    <row r="567" spans="1:1" x14ac:dyDescent="0.25">
      <c r="A567" s="1"/>
    </row>
    <row r="568" spans="1:1" x14ac:dyDescent="0.25">
      <c r="A568" s="1"/>
    </row>
    <row r="569" spans="1:1" x14ac:dyDescent="0.25">
      <c r="A569" s="1"/>
    </row>
    <row r="570" spans="1:1" x14ac:dyDescent="0.25">
      <c r="A570" s="1"/>
    </row>
    <row r="571" spans="1:1" x14ac:dyDescent="0.25">
      <c r="A571" s="1"/>
    </row>
    <row r="572" spans="1:1" x14ac:dyDescent="0.25">
      <c r="A572" s="1"/>
    </row>
    <row r="573" spans="1:1" x14ac:dyDescent="0.25">
      <c r="A573" s="1"/>
    </row>
    <row r="574" spans="1:1" x14ac:dyDescent="0.25">
      <c r="A574" s="1"/>
    </row>
    <row r="575" spans="1:1" x14ac:dyDescent="0.25">
      <c r="A575" s="1"/>
    </row>
    <row r="576" spans="1:1" x14ac:dyDescent="0.25">
      <c r="A576" s="1"/>
    </row>
    <row r="577" spans="1:1" x14ac:dyDescent="0.25">
      <c r="A577" s="1"/>
    </row>
    <row r="578" spans="1:1" x14ac:dyDescent="0.25">
      <c r="A578" s="1"/>
    </row>
    <row r="579" spans="1:1" x14ac:dyDescent="0.25">
      <c r="A579" s="1"/>
    </row>
    <row r="580" spans="1:1" x14ac:dyDescent="0.25">
      <c r="A580" s="1"/>
    </row>
    <row r="581" spans="1:1" x14ac:dyDescent="0.25">
      <c r="A581" s="1"/>
    </row>
    <row r="582" spans="1:1" x14ac:dyDescent="0.25">
      <c r="A582" s="1"/>
    </row>
    <row r="583" spans="1:1" x14ac:dyDescent="0.25">
      <c r="A583" s="1"/>
    </row>
    <row r="584" spans="1:1" x14ac:dyDescent="0.25">
      <c r="A584" s="1"/>
    </row>
    <row r="585" spans="1:1" x14ac:dyDescent="0.25">
      <c r="A585" s="1"/>
    </row>
    <row r="586" spans="1:1" x14ac:dyDescent="0.25">
      <c r="A586" s="1"/>
    </row>
    <row r="587" spans="1:1" x14ac:dyDescent="0.25">
      <c r="A587" s="1"/>
    </row>
    <row r="588" spans="1:1" x14ac:dyDescent="0.25">
      <c r="A588" s="1"/>
    </row>
    <row r="589" spans="1:1" x14ac:dyDescent="0.25">
      <c r="A589" s="1"/>
    </row>
    <row r="590" spans="1:1" x14ac:dyDescent="0.25">
      <c r="A590" s="1"/>
    </row>
    <row r="591" spans="1:1" x14ac:dyDescent="0.25">
      <c r="A591" s="1"/>
    </row>
    <row r="592" spans="1:1" x14ac:dyDescent="0.25">
      <c r="A592" s="1"/>
    </row>
    <row r="593" spans="1:1" x14ac:dyDescent="0.25">
      <c r="A593" s="1"/>
    </row>
    <row r="594" spans="1:1" x14ac:dyDescent="0.25">
      <c r="A594" s="1"/>
    </row>
    <row r="595" spans="1:1" x14ac:dyDescent="0.25">
      <c r="A595" s="1"/>
    </row>
    <row r="596" spans="1:1" x14ac:dyDescent="0.25">
      <c r="A596" s="1"/>
    </row>
    <row r="597" spans="1:1" x14ac:dyDescent="0.25">
      <c r="A597" s="1"/>
    </row>
    <row r="598" spans="1:1" x14ac:dyDescent="0.25">
      <c r="A598" s="1"/>
    </row>
    <row r="599" spans="1:1" x14ac:dyDescent="0.25">
      <c r="A599" s="1"/>
    </row>
    <row r="600" spans="1:1" x14ac:dyDescent="0.25">
      <c r="A600" s="1"/>
    </row>
    <row r="601" spans="1:1" x14ac:dyDescent="0.25">
      <c r="A601" s="1"/>
    </row>
    <row r="602" spans="1:1" x14ac:dyDescent="0.25">
      <c r="A602" s="1"/>
    </row>
    <row r="603" spans="1:1" x14ac:dyDescent="0.25">
      <c r="A603" s="1"/>
    </row>
    <row r="604" spans="1:1" x14ac:dyDescent="0.25">
      <c r="A604" s="1"/>
    </row>
    <row r="605" spans="1:1" x14ac:dyDescent="0.25">
      <c r="A605" s="1"/>
    </row>
    <row r="606" spans="1:1" x14ac:dyDescent="0.25">
      <c r="A606" s="1"/>
    </row>
    <row r="607" spans="1:1" x14ac:dyDescent="0.25">
      <c r="A607" s="1"/>
    </row>
    <row r="608" spans="1:1" x14ac:dyDescent="0.25">
      <c r="A608" s="1"/>
    </row>
    <row r="609" spans="1:1" x14ac:dyDescent="0.25">
      <c r="A609" s="1"/>
    </row>
    <row r="610" spans="1:1" x14ac:dyDescent="0.25">
      <c r="A610" s="1"/>
    </row>
    <row r="611" spans="1:1" x14ac:dyDescent="0.25">
      <c r="A611" s="1"/>
    </row>
    <row r="612" spans="1:1" x14ac:dyDescent="0.25">
      <c r="A612" s="1"/>
    </row>
    <row r="613" spans="1:1" x14ac:dyDescent="0.25">
      <c r="A613" s="1"/>
    </row>
    <row r="614" spans="1:1" x14ac:dyDescent="0.25">
      <c r="A614" s="1"/>
    </row>
    <row r="615" spans="1:1" x14ac:dyDescent="0.25">
      <c r="A615" s="1"/>
    </row>
    <row r="616" spans="1:1" x14ac:dyDescent="0.25">
      <c r="A616" s="1"/>
    </row>
    <row r="617" spans="1:1" x14ac:dyDescent="0.25">
      <c r="A617" s="1"/>
    </row>
    <row r="618" spans="1:1" x14ac:dyDescent="0.25">
      <c r="A618" s="1"/>
    </row>
    <row r="619" spans="1:1" x14ac:dyDescent="0.25">
      <c r="A619" s="1"/>
    </row>
    <row r="620" spans="1:1" x14ac:dyDescent="0.25">
      <c r="A620" s="1"/>
    </row>
    <row r="621" spans="1:1" x14ac:dyDescent="0.25">
      <c r="A621" s="1"/>
    </row>
    <row r="622" spans="1:1" x14ac:dyDescent="0.25">
      <c r="A622" s="1"/>
    </row>
    <row r="623" spans="1:1" x14ac:dyDescent="0.25">
      <c r="A623" s="1"/>
    </row>
    <row r="624" spans="1:1" x14ac:dyDescent="0.25">
      <c r="A624" s="1"/>
    </row>
    <row r="625" spans="1:1" x14ac:dyDescent="0.25">
      <c r="A625" s="1"/>
    </row>
    <row r="626" spans="1:1" x14ac:dyDescent="0.25">
      <c r="A626" s="1"/>
    </row>
    <row r="627" spans="1:1" x14ac:dyDescent="0.25">
      <c r="A627" s="1"/>
    </row>
    <row r="628" spans="1:1" x14ac:dyDescent="0.25">
      <c r="A628" s="1"/>
    </row>
    <row r="629" spans="1:1" x14ac:dyDescent="0.25">
      <c r="A629" s="1"/>
    </row>
    <row r="630" spans="1:1" x14ac:dyDescent="0.25">
      <c r="A630" s="1"/>
    </row>
    <row r="631" spans="1:1" x14ac:dyDescent="0.25">
      <c r="A631" s="1"/>
    </row>
    <row r="632" spans="1:1" x14ac:dyDescent="0.25">
      <c r="A632" s="1"/>
    </row>
    <row r="633" spans="1:1" x14ac:dyDescent="0.25">
      <c r="A633" s="1"/>
    </row>
    <row r="634" spans="1:1" x14ac:dyDescent="0.25">
      <c r="A634" s="1"/>
    </row>
    <row r="635" spans="1:1" x14ac:dyDescent="0.25">
      <c r="A635" s="1"/>
    </row>
    <row r="636" spans="1:1" x14ac:dyDescent="0.25">
      <c r="A636" s="1"/>
    </row>
    <row r="637" spans="1:1" x14ac:dyDescent="0.25">
      <c r="A637" s="1"/>
    </row>
    <row r="638" spans="1:1" x14ac:dyDescent="0.25">
      <c r="A638" s="1"/>
    </row>
    <row r="639" spans="1:1" x14ac:dyDescent="0.25">
      <c r="A639" s="1"/>
    </row>
    <row r="640" spans="1:1" x14ac:dyDescent="0.25">
      <c r="A640" s="1"/>
    </row>
    <row r="641" spans="1:1" x14ac:dyDescent="0.25">
      <c r="A641" s="1"/>
    </row>
    <row r="642" spans="1:1" x14ac:dyDescent="0.25">
      <c r="A642" s="1"/>
    </row>
    <row r="643" spans="1:1" x14ac:dyDescent="0.25">
      <c r="A643" s="1"/>
    </row>
    <row r="644" spans="1:1" x14ac:dyDescent="0.25">
      <c r="A644" s="1"/>
    </row>
    <row r="645" spans="1:1" x14ac:dyDescent="0.25">
      <c r="A645" s="1"/>
    </row>
    <row r="646" spans="1:1" x14ac:dyDescent="0.25">
      <c r="A646" s="1"/>
    </row>
    <row r="647" spans="1:1" x14ac:dyDescent="0.25">
      <c r="A647" s="1"/>
    </row>
    <row r="648" spans="1:1" x14ac:dyDescent="0.25">
      <c r="A648" s="1"/>
    </row>
    <row r="649" spans="1:1" x14ac:dyDescent="0.25">
      <c r="A649" s="1"/>
    </row>
    <row r="650" spans="1:1" x14ac:dyDescent="0.25">
      <c r="A650" s="1"/>
    </row>
    <row r="651" spans="1:1" x14ac:dyDescent="0.25">
      <c r="A651" s="1"/>
    </row>
    <row r="652" spans="1:1" x14ac:dyDescent="0.25">
      <c r="A652" s="1"/>
    </row>
    <row r="653" spans="1:1" x14ac:dyDescent="0.25">
      <c r="A653" s="1"/>
    </row>
    <row r="654" spans="1:1" x14ac:dyDescent="0.25">
      <c r="A654" s="1"/>
    </row>
    <row r="655" spans="1:1" x14ac:dyDescent="0.25">
      <c r="A655" s="1"/>
    </row>
    <row r="656" spans="1:1" x14ac:dyDescent="0.25">
      <c r="A656" s="1"/>
    </row>
    <row r="657" spans="1:1" x14ac:dyDescent="0.25">
      <c r="A657" s="1"/>
    </row>
    <row r="658" spans="1:1" x14ac:dyDescent="0.25">
      <c r="A658" s="1"/>
    </row>
    <row r="659" spans="1:1" x14ac:dyDescent="0.25">
      <c r="A659" s="1"/>
    </row>
    <row r="660" spans="1:1" x14ac:dyDescent="0.25">
      <c r="A660" s="1"/>
    </row>
    <row r="661" spans="1:1" x14ac:dyDescent="0.25">
      <c r="A661" s="1"/>
    </row>
    <row r="662" spans="1:1" x14ac:dyDescent="0.25">
      <c r="A662" s="1"/>
    </row>
    <row r="663" spans="1:1" x14ac:dyDescent="0.25">
      <c r="A663" s="1"/>
    </row>
    <row r="664" spans="1:1" x14ac:dyDescent="0.25">
      <c r="A664" s="1"/>
    </row>
    <row r="665" spans="1:1" x14ac:dyDescent="0.25">
      <c r="A665" s="1"/>
    </row>
    <row r="666" spans="1:1" x14ac:dyDescent="0.25">
      <c r="A666" s="1"/>
    </row>
    <row r="667" spans="1:1" x14ac:dyDescent="0.25">
      <c r="A667" s="1"/>
    </row>
    <row r="668" spans="1:1" x14ac:dyDescent="0.25">
      <c r="A668" s="1"/>
    </row>
    <row r="669" spans="1:1" x14ac:dyDescent="0.25">
      <c r="A669" s="1"/>
    </row>
    <row r="670" spans="1:1" x14ac:dyDescent="0.25">
      <c r="A670" s="1"/>
    </row>
    <row r="671" spans="1:1" x14ac:dyDescent="0.25">
      <c r="A671" s="1"/>
    </row>
    <row r="672" spans="1:1" x14ac:dyDescent="0.25">
      <c r="A672" s="1"/>
    </row>
    <row r="673" spans="1:1" x14ac:dyDescent="0.25">
      <c r="A673" s="1"/>
    </row>
    <row r="674" spans="1:1" x14ac:dyDescent="0.25">
      <c r="A674" s="1"/>
    </row>
    <row r="675" spans="1:1" x14ac:dyDescent="0.25">
      <c r="A675" s="1"/>
    </row>
    <row r="676" spans="1:1" x14ac:dyDescent="0.25">
      <c r="A676" s="1"/>
    </row>
    <row r="677" spans="1:1" x14ac:dyDescent="0.25">
      <c r="A677" s="1"/>
    </row>
    <row r="678" spans="1:1" x14ac:dyDescent="0.25">
      <c r="A678" s="1"/>
    </row>
    <row r="679" spans="1:1" x14ac:dyDescent="0.25">
      <c r="A679" s="1"/>
    </row>
    <row r="680" spans="1:1" x14ac:dyDescent="0.25">
      <c r="A680" s="1"/>
    </row>
    <row r="681" spans="1:1" x14ac:dyDescent="0.25">
      <c r="A681" s="1"/>
    </row>
    <row r="682" spans="1:1" x14ac:dyDescent="0.25">
      <c r="A682" s="1"/>
    </row>
    <row r="683" spans="1:1" x14ac:dyDescent="0.25">
      <c r="A683" s="1"/>
    </row>
    <row r="684" spans="1:1" x14ac:dyDescent="0.25">
      <c r="A684" s="1"/>
    </row>
    <row r="685" spans="1:1" x14ac:dyDescent="0.25">
      <c r="A685" s="1"/>
    </row>
    <row r="686" spans="1:1" x14ac:dyDescent="0.25">
      <c r="A686" s="1"/>
    </row>
    <row r="687" spans="1:1" x14ac:dyDescent="0.25">
      <c r="A687" s="1"/>
    </row>
    <row r="688" spans="1:1" x14ac:dyDescent="0.25">
      <c r="A688" s="1"/>
    </row>
    <row r="689" spans="1:1" x14ac:dyDescent="0.25">
      <c r="A689" s="1"/>
    </row>
    <row r="690" spans="1:1" x14ac:dyDescent="0.25">
      <c r="A690" s="1"/>
    </row>
    <row r="691" spans="1:1" x14ac:dyDescent="0.25">
      <c r="A691" s="1"/>
    </row>
    <row r="692" spans="1:1" x14ac:dyDescent="0.25">
      <c r="A692" s="1"/>
    </row>
    <row r="693" spans="1:1" x14ac:dyDescent="0.25">
      <c r="A693" s="1"/>
    </row>
    <row r="694" spans="1:1" x14ac:dyDescent="0.25">
      <c r="A694" s="1"/>
    </row>
    <row r="695" spans="1:1" x14ac:dyDescent="0.25">
      <c r="A695" s="1"/>
    </row>
    <row r="696" spans="1:1" x14ac:dyDescent="0.25">
      <c r="A696" s="1"/>
    </row>
    <row r="697" spans="1:1" x14ac:dyDescent="0.25">
      <c r="A697" s="1"/>
    </row>
    <row r="698" spans="1:1" x14ac:dyDescent="0.25">
      <c r="A698" s="1"/>
    </row>
    <row r="699" spans="1:1" x14ac:dyDescent="0.25">
      <c r="A699" s="1"/>
    </row>
    <row r="700" spans="1:1" x14ac:dyDescent="0.25">
      <c r="A700" s="1"/>
    </row>
    <row r="701" spans="1:1" x14ac:dyDescent="0.25">
      <c r="A701" s="1"/>
    </row>
    <row r="702" spans="1:1" x14ac:dyDescent="0.25">
      <c r="A702" s="1"/>
    </row>
    <row r="703" spans="1:1" x14ac:dyDescent="0.25">
      <c r="A703" s="1"/>
    </row>
    <row r="704" spans="1:1" x14ac:dyDescent="0.25">
      <c r="A704" s="1"/>
    </row>
    <row r="705" spans="1:1" x14ac:dyDescent="0.25">
      <c r="A705" s="1"/>
    </row>
    <row r="706" spans="1:1" x14ac:dyDescent="0.25">
      <c r="A706" s="1"/>
    </row>
    <row r="707" spans="1:1" x14ac:dyDescent="0.25">
      <c r="A707" s="1"/>
    </row>
    <row r="708" spans="1:1" x14ac:dyDescent="0.25">
      <c r="A708" s="1"/>
    </row>
    <row r="709" spans="1:1" x14ac:dyDescent="0.25">
      <c r="A709" s="1"/>
    </row>
    <row r="710" spans="1:1" x14ac:dyDescent="0.25">
      <c r="A710" s="1"/>
    </row>
    <row r="711" spans="1:1" x14ac:dyDescent="0.25">
      <c r="A711" s="1"/>
    </row>
    <row r="712" spans="1:1" x14ac:dyDescent="0.25">
      <c r="A712" s="1"/>
    </row>
    <row r="713" spans="1:1" x14ac:dyDescent="0.25">
      <c r="A713" s="1"/>
    </row>
    <row r="714" spans="1:1" x14ac:dyDescent="0.25">
      <c r="A714" s="1"/>
    </row>
    <row r="715" spans="1:1" x14ac:dyDescent="0.25">
      <c r="A715" s="1"/>
    </row>
    <row r="716" spans="1:1" x14ac:dyDescent="0.25">
      <c r="A716" s="1"/>
    </row>
    <row r="717" spans="1:1" x14ac:dyDescent="0.25">
      <c r="A717" s="1"/>
    </row>
    <row r="718" spans="1:1" x14ac:dyDescent="0.25">
      <c r="A718" s="1"/>
    </row>
    <row r="719" spans="1:1" x14ac:dyDescent="0.25">
      <c r="A719" s="1"/>
    </row>
    <row r="720" spans="1:1" x14ac:dyDescent="0.25">
      <c r="A720" s="1"/>
    </row>
    <row r="721" spans="1:1" x14ac:dyDescent="0.25">
      <c r="A721" s="1"/>
    </row>
    <row r="722" spans="1:1" x14ac:dyDescent="0.25">
      <c r="A722" s="1"/>
    </row>
    <row r="723" spans="1:1" x14ac:dyDescent="0.25">
      <c r="A723" s="1"/>
    </row>
    <row r="724" spans="1:1" x14ac:dyDescent="0.25">
      <c r="A724" s="1"/>
    </row>
    <row r="725" spans="1:1" x14ac:dyDescent="0.25">
      <c r="A725" s="1"/>
    </row>
    <row r="726" spans="1:1" x14ac:dyDescent="0.25">
      <c r="A726" s="1"/>
    </row>
    <row r="727" spans="1:1" x14ac:dyDescent="0.25">
      <c r="A727" s="1"/>
    </row>
    <row r="728" spans="1:1" x14ac:dyDescent="0.25">
      <c r="A728" s="1"/>
    </row>
    <row r="729" spans="1:1" x14ac:dyDescent="0.25">
      <c r="A729" s="1"/>
    </row>
    <row r="730" spans="1:1" x14ac:dyDescent="0.25">
      <c r="A730" s="1"/>
    </row>
    <row r="731" spans="1:1" x14ac:dyDescent="0.25">
      <c r="A731" s="1"/>
    </row>
    <row r="732" spans="1:1" x14ac:dyDescent="0.25">
      <c r="A732" s="1"/>
    </row>
    <row r="733" spans="1:1" x14ac:dyDescent="0.25">
      <c r="A733" s="1"/>
    </row>
    <row r="734" spans="1:1" x14ac:dyDescent="0.25">
      <c r="A734" s="1"/>
    </row>
    <row r="735" spans="1:1" x14ac:dyDescent="0.25">
      <c r="A735" s="1"/>
    </row>
    <row r="736" spans="1:1" x14ac:dyDescent="0.25">
      <c r="A736" s="1"/>
    </row>
    <row r="737" spans="1:1" x14ac:dyDescent="0.25">
      <c r="A737" s="1"/>
    </row>
    <row r="738" spans="1:1" x14ac:dyDescent="0.25">
      <c r="A738" s="1"/>
    </row>
    <row r="739" spans="1:1" x14ac:dyDescent="0.25">
      <c r="A739" s="1"/>
    </row>
    <row r="740" spans="1:1" x14ac:dyDescent="0.25">
      <c r="A740" s="1"/>
    </row>
    <row r="741" spans="1:1" x14ac:dyDescent="0.25">
      <c r="A741" s="1"/>
    </row>
    <row r="742" spans="1:1" x14ac:dyDescent="0.25">
      <c r="A742" s="1"/>
    </row>
    <row r="743" spans="1:1" x14ac:dyDescent="0.25">
      <c r="A743" s="1"/>
    </row>
    <row r="744" spans="1:1" x14ac:dyDescent="0.25">
      <c r="A744" s="1"/>
    </row>
    <row r="745" spans="1:1" x14ac:dyDescent="0.25">
      <c r="A745" s="1"/>
    </row>
    <row r="746" spans="1:1" x14ac:dyDescent="0.25">
      <c r="A746" s="1"/>
    </row>
    <row r="747" spans="1:1" x14ac:dyDescent="0.25">
      <c r="A747" s="1"/>
    </row>
    <row r="748" spans="1:1" x14ac:dyDescent="0.25">
      <c r="A748" s="1"/>
    </row>
    <row r="749" spans="1:1" x14ac:dyDescent="0.25">
      <c r="A749" s="1"/>
    </row>
    <row r="750" spans="1:1" x14ac:dyDescent="0.25">
      <c r="A750" s="1"/>
    </row>
    <row r="751" spans="1:1" x14ac:dyDescent="0.25">
      <c r="A751" s="1"/>
    </row>
    <row r="752" spans="1:1" x14ac:dyDescent="0.25">
      <c r="A752" s="1"/>
    </row>
    <row r="753" spans="1:1" x14ac:dyDescent="0.25">
      <c r="A753" s="1"/>
    </row>
    <row r="754" spans="1:1" x14ac:dyDescent="0.25">
      <c r="A754" s="1"/>
    </row>
    <row r="755" spans="1:1" x14ac:dyDescent="0.25">
      <c r="A755" s="1"/>
    </row>
    <row r="756" spans="1:1" x14ac:dyDescent="0.25">
      <c r="A756" s="1"/>
    </row>
    <row r="757" spans="1:1" x14ac:dyDescent="0.25">
      <c r="A757" s="1"/>
    </row>
    <row r="758" spans="1:1" x14ac:dyDescent="0.25">
      <c r="A758" s="1"/>
    </row>
    <row r="759" spans="1:1" x14ac:dyDescent="0.25">
      <c r="A759" s="1"/>
    </row>
    <row r="760" spans="1:1" x14ac:dyDescent="0.25">
      <c r="A760" s="1"/>
    </row>
    <row r="761" spans="1:1" x14ac:dyDescent="0.25">
      <c r="A761" s="1"/>
    </row>
    <row r="762" spans="1:1" x14ac:dyDescent="0.25">
      <c r="A762" s="1"/>
    </row>
    <row r="763" spans="1:1" x14ac:dyDescent="0.25">
      <c r="A763" s="1"/>
    </row>
    <row r="764" spans="1:1" x14ac:dyDescent="0.25">
      <c r="A764" s="1"/>
    </row>
    <row r="765" spans="1:1" x14ac:dyDescent="0.25">
      <c r="A765" s="1"/>
    </row>
    <row r="766" spans="1:1" x14ac:dyDescent="0.25">
      <c r="A766" s="1"/>
    </row>
    <row r="767" spans="1:1" x14ac:dyDescent="0.25">
      <c r="A767" s="1"/>
    </row>
    <row r="768" spans="1:1" x14ac:dyDescent="0.25">
      <c r="A768" s="1"/>
    </row>
    <row r="769" spans="1:1" x14ac:dyDescent="0.25">
      <c r="A769" s="1"/>
    </row>
    <row r="770" spans="1:1" x14ac:dyDescent="0.25">
      <c r="A770" s="1"/>
    </row>
    <row r="771" spans="1:1" x14ac:dyDescent="0.25">
      <c r="A771" s="1"/>
    </row>
    <row r="772" spans="1:1" x14ac:dyDescent="0.25">
      <c r="A772" s="1"/>
    </row>
    <row r="773" spans="1:1" x14ac:dyDescent="0.25">
      <c r="A773" s="1"/>
    </row>
    <row r="774" spans="1:1" x14ac:dyDescent="0.25">
      <c r="A774" s="1"/>
    </row>
    <row r="775" spans="1:1" x14ac:dyDescent="0.25">
      <c r="A775" s="1"/>
    </row>
    <row r="776" spans="1:1" x14ac:dyDescent="0.25">
      <c r="A776" s="1"/>
    </row>
    <row r="777" spans="1:1" x14ac:dyDescent="0.25">
      <c r="A777" s="1"/>
    </row>
    <row r="778" spans="1:1" x14ac:dyDescent="0.25">
      <c r="A778" s="1"/>
    </row>
    <row r="779" spans="1:1" x14ac:dyDescent="0.25">
      <c r="A779" s="1"/>
    </row>
    <row r="780" spans="1:1" x14ac:dyDescent="0.25">
      <c r="A780" s="1"/>
    </row>
    <row r="781" spans="1:1" x14ac:dyDescent="0.25">
      <c r="A781" s="1"/>
    </row>
    <row r="782" spans="1:1" x14ac:dyDescent="0.25">
      <c r="A782" s="1"/>
    </row>
    <row r="783" spans="1:1" x14ac:dyDescent="0.25">
      <c r="A783" s="1"/>
    </row>
    <row r="784" spans="1:1" x14ac:dyDescent="0.25">
      <c r="A784" s="1"/>
    </row>
    <row r="785" spans="1:1" x14ac:dyDescent="0.25">
      <c r="A785" s="1"/>
    </row>
    <row r="786" spans="1:1" x14ac:dyDescent="0.25">
      <c r="A786" s="1"/>
    </row>
    <row r="787" spans="1:1" x14ac:dyDescent="0.25">
      <c r="A787" s="1"/>
    </row>
    <row r="788" spans="1:1" x14ac:dyDescent="0.25">
      <c r="A788" s="1"/>
    </row>
    <row r="789" spans="1:1" x14ac:dyDescent="0.25">
      <c r="A789" s="1"/>
    </row>
    <row r="790" spans="1:1" x14ac:dyDescent="0.25">
      <c r="A790" s="1"/>
    </row>
    <row r="791" spans="1:1" x14ac:dyDescent="0.25">
      <c r="A791" s="1"/>
    </row>
    <row r="792" spans="1:1" x14ac:dyDescent="0.25">
      <c r="A792" s="1"/>
    </row>
    <row r="793" spans="1:1" x14ac:dyDescent="0.25">
      <c r="A793" s="1"/>
    </row>
    <row r="794" spans="1:1" x14ac:dyDescent="0.25">
      <c r="A794" s="1"/>
    </row>
    <row r="795" spans="1:1" x14ac:dyDescent="0.25">
      <c r="A795" s="1"/>
    </row>
    <row r="796" spans="1:1" x14ac:dyDescent="0.25">
      <c r="A796" s="1"/>
    </row>
    <row r="797" spans="1:1" x14ac:dyDescent="0.25">
      <c r="A797" s="1"/>
    </row>
    <row r="798" spans="1:1" x14ac:dyDescent="0.25">
      <c r="A798" s="1"/>
    </row>
    <row r="799" spans="1:1" x14ac:dyDescent="0.25">
      <c r="A799" s="1"/>
    </row>
    <row r="800" spans="1:1" x14ac:dyDescent="0.25">
      <c r="A800" s="1"/>
    </row>
    <row r="801" spans="1:1" x14ac:dyDescent="0.25">
      <c r="A801" s="1"/>
    </row>
    <row r="802" spans="1:1" x14ac:dyDescent="0.25">
      <c r="A802" s="1"/>
    </row>
    <row r="803" spans="1:1" x14ac:dyDescent="0.25">
      <c r="A803" s="1"/>
    </row>
    <row r="804" spans="1:1" x14ac:dyDescent="0.25">
      <c r="A804" s="1"/>
    </row>
    <row r="805" spans="1:1" x14ac:dyDescent="0.25">
      <c r="A805" s="1"/>
    </row>
    <row r="806" spans="1:1" x14ac:dyDescent="0.25">
      <c r="A806" s="1"/>
    </row>
    <row r="807" spans="1:1" x14ac:dyDescent="0.25">
      <c r="A807" s="1"/>
    </row>
    <row r="808" spans="1:1" x14ac:dyDescent="0.25">
      <c r="A808" s="1"/>
    </row>
    <row r="809" spans="1:1" x14ac:dyDescent="0.25">
      <c r="A809" s="1"/>
    </row>
    <row r="810" spans="1:1" x14ac:dyDescent="0.25">
      <c r="A810" s="1"/>
    </row>
    <row r="811" spans="1:1" x14ac:dyDescent="0.25">
      <c r="A811" s="1"/>
    </row>
    <row r="812" spans="1:1" x14ac:dyDescent="0.25">
      <c r="A812" s="1"/>
    </row>
    <row r="813" spans="1:1" x14ac:dyDescent="0.25">
      <c r="A813" s="1"/>
    </row>
    <row r="814" spans="1:1" x14ac:dyDescent="0.25">
      <c r="A814" s="1"/>
    </row>
    <row r="815" spans="1:1" x14ac:dyDescent="0.25">
      <c r="A815" s="1"/>
    </row>
    <row r="816" spans="1:1" x14ac:dyDescent="0.25">
      <c r="A816" s="1"/>
    </row>
    <row r="817" spans="1:1" x14ac:dyDescent="0.25">
      <c r="A817" s="1"/>
    </row>
    <row r="818" spans="1:1" x14ac:dyDescent="0.25">
      <c r="A818" s="1"/>
    </row>
    <row r="819" spans="1:1" x14ac:dyDescent="0.25">
      <c r="A819" s="1"/>
    </row>
    <row r="820" spans="1:1" x14ac:dyDescent="0.25">
      <c r="A820" s="1"/>
    </row>
    <row r="821" spans="1:1" x14ac:dyDescent="0.25">
      <c r="A821" s="1"/>
    </row>
    <row r="822" spans="1:1" x14ac:dyDescent="0.25">
      <c r="A822" s="1"/>
    </row>
    <row r="823" spans="1:1" x14ac:dyDescent="0.25">
      <c r="A823" s="1"/>
    </row>
    <row r="824" spans="1:1" x14ac:dyDescent="0.25">
      <c r="A824" s="1"/>
    </row>
    <row r="825" spans="1:1" x14ac:dyDescent="0.25">
      <c r="A825" s="1"/>
    </row>
    <row r="826" spans="1:1" x14ac:dyDescent="0.25">
      <c r="A826" s="1"/>
    </row>
    <row r="827" spans="1:1" x14ac:dyDescent="0.25">
      <c r="A827" s="1"/>
    </row>
    <row r="828" spans="1:1" x14ac:dyDescent="0.25">
      <c r="A828" s="1"/>
    </row>
    <row r="829" spans="1:1" x14ac:dyDescent="0.25">
      <c r="A829" s="1"/>
    </row>
    <row r="830" spans="1:1" x14ac:dyDescent="0.25">
      <c r="A830" s="1"/>
    </row>
    <row r="831" spans="1:1" x14ac:dyDescent="0.25">
      <c r="A831" s="1"/>
    </row>
    <row r="832" spans="1:1" x14ac:dyDescent="0.25">
      <c r="A832" s="1"/>
    </row>
    <row r="833" spans="1:1" x14ac:dyDescent="0.25">
      <c r="A833" s="1"/>
    </row>
    <row r="834" spans="1:1" x14ac:dyDescent="0.25">
      <c r="A834" s="1"/>
    </row>
    <row r="835" spans="1:1" x14ac:dyDescent="0.25">
      <c r="A835" s="1"/>
    </row>
    <row r="836" spans="1:1" x14ac:dyDescent="0.25">
      <c r="A836" s="1"/>
    </row>
    <row r="837" spans="1:1" x14ac:dyDescent="0.25">
      <c r="A837" s="1"/>
    </row>
    <row r="838" spans="1:1" x14ac:dyDescent="0.25">
      <c r="A838" s="1"/>
    </row>
    <row r="839" spans="1:1" x14ac:dyDescent="0.25">
      <c r="A839" s="1"/>
    </row>
    <row r="840" spans="1:1" x14ac:dyDescent="0.25">
      <c r="A840" s="1"/>
    </row>
    <row r="841" spans="1:1" x14ac:dyDescent="0.25">
      <c r="A841" s="1"/>
    </row>
    <row r="842" spans="1:1" x14ac:dyDescent="0.25">
      <c r="A842" s="1"/>
    </row>
    <row r="843" spans="1:1" x14ac:dyDescent="0.25">
      <c r="A843" s="1"/>
    </row>
    <row r="844" spans="1:1" x14ac:dyDescent="0.25">
      <c r="A844" s="1"/>
    </row>
    <row r="845" spans="1:1" x14ac:dyDescent="0.25">
      <c r="A845" s="1"/>
    </row>
    <row r="846" spans="1:1" x14ac:dyDescent="0.25">
      <c r="A846" s="1"/>
    </row>
    <row r="847" spans="1:1" x14ac:dyDescent="0.25">
      <c r="A847" s="1"/>
    </row>
    <row r="848" spans="1:1" x14ac:dyDescent="0.25">
      <c r="A848" s="1"/>
    </row>
    <row r="849" spans="1:1" x14ac:dyDescent="0.25">
      <c r="A849" s="1"/>
    </row>
    <row r="850" spans="1:1" x14ac:dyDescent="0.25">
      <c r="A850" s="1"/>
    </row>
    <row r="851" spans="1:1" x14ac:dyDescent="0.25">
      <c r="A851" s="1"/>
    </row>
    <row r="852" spans="1:1" x14ac:dyDescent="0.25">
      <c r="A852" s="1"/>
    </row>
    <row r="853" spans="1:1" x14ac:dyDescent="0.25">
      <c r="A853" s="1"/>
    </row>
    <row r="854" spans="1:1" x14ac:dyDescent="0.25">
      <c r="A854" s="1"/>
    </row>
    <row r="855" spans="1:1" x14ac:dyDescent="0.25">
      <c r="A855" s="1"/>
    </row>
    <row r="856" spans="1:1" x14ac:dyDescent="0.25">
      <c r="A856" s="1"/>
    </row>
    <row r="857" spans="1:1" x14ac:dyDescent="0.25">
      <c r="A857" s="1"/>
    </row>
    <row r="858" spans="1:1" x14ac:dyDescent="0.25">
      <c r="A858" s="1"/>
    </row>
    <row r="859" spans="1:1" x14ac:dyDescent="0.25">
      <c r="A859" s="1"/>
    </row>
    <row r="860" spans="1:1" x14ac:dyDescent="0.25">
      <c r="A860" s="1"/>
    </row>
    <row r="861" spans="1:1" x14ac:dyDescent="0.25">
      <c r="A861" s="1"/>
    </row>
    <row r="862" spans="1:1" x14ac:dyDescent="0.25">
      <c r="A862" s="1"/>
    </row>
    <row r="863" spans="1:1" x14ac:dyDescent="0.25">
      <c r="A863" s="1"/>
    </row>
    <row r="864" spans="1:1" x14ac:dyDescent="0.25">
      <c r="A864" s="1"/>
    </row>
    <row r="865" spans="1:1" x14ac:dyDescent="0.25">
      <c r="A865" s="1"/>
    </row>
    <row r="866" spans="1:1" x14ac:dyDescent="0.25">
      <c r="A866" s="1"/>
    </row>
    <row r="867" spans="1:1" x14ac:dyDescent="0.25">
      <c r="A867" s="1"/>
    </row>
    <row r="868" spans="1:1" x14ac:dyDescent="0.25">
      <c r="A868" s="1"/>
    </row>
    <row r="869" spans="1:1" x14ac:dyDescent="0.25">
      <c r="A869" s="1"/>
    </row>
    <row r="870" spans="1:1" x14ac:dyDescent="0.25">
      <c r="A870" s="1"/>
    </row>
    <row r="871" spans="1:1" x14ac:dyDescent="0.25">
      <c r="A871" s="1"/>
    </row>
    <row r="872" spans="1:1" x14ac:dyDescent="0.25">
      <c r="A872" s="1"/>
    </row>
    <row r="873" spans="1:1" x14ac:dyDescent="0.25">
      <c r="A873" s="1"/>
    </row>
    <row r="874" spans="1:1" x14ac:dyDescent="0.25">
      <c r="A874" s="1"/>
    </row>
    <row r="875" spans="1:1" x14ac:dyDescent="0.25">
      <c r="A875" s="1"/>
    </row>
    <row r="876" spans="1:1" x14ac:dyDescent="0.25">
      <c r="A876" s="1"/>
    </row>
    <row r="877" spans="1:1" x14ac:dyDescent="0.25">
      <c r="A877" s="1"/>
    </row>
    <row r="878" spans="1:1" x14ac:dyDescent="0.25">
      <c r="A878" s="1"/>
    </row>
    <row r="879" spans="1:1" x14ac:dyDescent="0.25">
      <c r="A879" s="1"/>
    </row>
    <row r="880" spans="1:1" x14ac:dyDescent="0.25">
      <c r="A880" s="1"/>
    </row>
    <row r="881" spans="1:1" x14ac:dyDescent="0.25">
      <c r="A881" s="1"/>
    </row>
    <row r="882" spans="1:1" x14ac:dyDescent="0.25">
      <c r="A882" s="1"/>
    </row>
    <row r="883" spans="1:1" x14ac:dyDescent="0.25">
      <c r="A883" s="1"/>
    </row>
    <row r="884" spans="1:1" x14ac:dyDescent="0.25">
      <c r="A884" s="1"/>
    </row>
    <row r="885" spans="1:1" x14ac:dyDescent="0.25">
      <c r="A885" s="1"/>
    </row>
    <row r="886" spans="1:1" x14ac:dyDescent="0.25">
      <c r="A886" s="1"/>
    </row>
    <row r="887" spans="1:1" x14ac:dyDescent="0.25">
      <c r="A887" s="1"/>
    </row>
    <row r="888" spans="1:1" x14ac:dyDescent="0.25">
      <c r="A888" s="1"/>
    </row>
    <row r="889" spans="1:1" x14ac:dyDescent="0.25">
      <c r="A889" s="1"/>
    </row>
    <row r="890" spans="1:1" x14ac:dyDescent="0.25">
      <c r="A890" s="1"/>
    </row>
    <row r="891" spans="1:1" x14ac:dyDescent="0.25">
      <c r="A891" s="1"/>
    </row>
    <row r="892" spans="1:1" x14ac:dyDescent="0.25">
      <c r="A892" s="1"/>
    </row>
    <row r="893" spans="1:1" x14ac:dyDescent="0.25">
      <c r="A893" s="1"/>
    </row>
    <row r="894" spans="1:1" x14ac:dyDescent="0.25">
      <c r="A894" s="1"/>
    </row>
    <row r="895" spans="1:1" x14ac:dyDescent="0.25">
      <c r="A895" s="1"/>
    </row>
    <row r="896" spans="1:1" x14ac:dyDescent="0.25">
      <c r="A896" s="1"/>
    </row>
    <row r="897" spans="1:1" x14ac:dyDescent="0.25">
      <c r="A897" s="1"/>
    </row>
    <row r="898" spans="1:1" x14ac:dyDescent="0.25">
      <c r="A898" s="1"/>
    </row>
    <row r="899" spans="1:1" x14ac:dyDescent="0.25">
      <c r="A899" s="1"/>
    </row>
    <row r="900" spans="1:1" x14ac:dyDescent="0.25">
      <c r="A900" s="1"/>
    </row>
    <row r="901" spans="1:1" x14ac:dyDescent="0.25">
      <c r="A901" s="1"/>
    </row>
    <row r="902" spans="1:1" x14ac:dyDescent="0.25">
      <c r="A902" s="1"/>
    </row>
    <row r="903" spans="1:1" x14ac:dyDescent="0.25">
      <c r="A903" s="1"/>
    </row>
    <row r="904" spans="1:1" x14ac:dyDescent="0.25">
      <c r="A904" s="1"/>
    </row>
    <row r="905" spans="1:1" x14ac:dyDescent="0.25">
      <c r="A905" s="1"/>
    </row>
    <row r="906" spans="1:1" x14ac:dyDescent="0.25">
      <c r="A906" s="1"/>
    </row>
    <row r="907" spans="1:1" x14ac:dyDescent="0.25">
      <c r="A907" s="1"/>
    </row>
    <row r="908" spans="1:1" x14ac:dyDescent="0.25">
      <c r="A908" s="1"/>
    </row>
    <row r="909" spans="1:1" x14ac:dyDescent="0.25">
      <c r="A909" s="1"/>
    </row>
    <row r="910" spans="1:1" x14ac:dyDescent="0.25">
      <c r="A910" s="1"/>
    </row>
    <row r="911" spans="1:1" x14ac:dyDescent="0.25">
      <c r="A911" s="1"/>
    </row>
    <row r="912" spans="1:1" x14ac:dyDescent="0.25">
      <c r="A912" s="1"/>
    </row>
    <row r="913" spans="1:1" x14ac:dyDescent="0.25">
      <c r="A913" s="1"/>
    </row>
    <row r="914" spans="1:1" x14ac:dyDescent="0.25">
      <c r="A914" s="1"/>
    </row>
    <row r="915" spans="1:1" x14ac:dyDescent="0.25">
      <c r="A915" s="1"/>
    </row>
    <row r="916" spans="1:1" x14ac:dyDescent="0.25">
      <c r="A916" s="1"/>
    </row>
    <row r="917" spans="1:1" x14ac:dyDescent="0.25">
      <c r="A917" s="1"/>
    </row>
    <row r="918" spans="1:1" x14ac:dyDescent="0.25">
      <c r="A918" s="1"/>
    </row>
    <row r="919" spans="1:1" x14ac:dyDescent="0.25">
      <c r="A919" s="1"/>
    </row>
    <row r="920" spans="1:1" x14ac:dyDescent="0.25">
      <c r="A920" s="1"/>
    </row>
    <row r="921" spans="1:1" x14ac:dyDescent="0.25">
      <c r="A921" s="1"/>
    </row>
    <row r="922" spans="1:1" x14ac:dyDescent="0.25">
      <c r="A922" s="1"/>
    </row>
    <row r="923" spans="1:1" x14ac:dyDescent="0.25">
      <c r="A923" s="1"/>
    </row>
    <row r="924" spans="1:1" x14ac:dyDescent="0.25">
      <c r="A924" s="1"/>
    </row>
    <row r="925" spans="1:1" x14ac:dyDescent="0.25">
      <c r="A925" s="1"/>
    </row>
    <row r="926" spans="1:1" x14ac:dyDescent="0.25">
      <c r="A926" s="1"/>
    </row>
    <row r="927" spans="1:1" x14ac:dyDescent="0.25">
      <c r="A927" s="1"/>
    </row>
    <row r="928" spans="1:1" x14ac:dyDescent="0.25">
      <c r="A928" s="1"/>
    </row>
    <row r="929" spans="1:1" x14ac:dyDescent="0.25">
      <c r="A929" s="1"/>
    </row>
    <row r="930" spans="1:1" x14ac:dyDescent="0.25">
      <c r="A930" s="1"/>
    </row>
    <row r="931" spans="1:1" x14ac:dyDescent="0.25">
      <c r="A931" s="1"/>
    </row>
    <row r="932" spans="1:1" x14ac:dyDescent="0.25">
      <c r="A932" s="1"/>
    </row>
    <row r="933" spans="1:1" x14ac:dyDescent="0.25">
      <c r="A933" s="1"/>
    </row>
    <row r="934" spans="1:1" x14ac:dyDescent="0.25">
      <c r="A934" s="1"/>
    </row>
    <row r="935" spans="1:1" x14ac:dyDescent="0.25">
      <c r="A935" s="1"/>
    </row>
    <row r="936" spans="1:1" x14ac:dyDescent="0.25">
      <c r="A936" s="1"/>
    </row>
    <row r="937" spans="1:1" x14ac:dyDescent="0.25">
      <c r="A937" s="1"/>
    </row>
    <row r="938" spans="1:1" x14ac:dyDescent="0.25">
      <c r="A938" s="1"/>
    </row>
    <row r="939" spans="1:1" x14ac:dyDescent="0.25">
      <c r="A939" s="1"/>
    </row>
    <row r="940" spans="1:1" x14ac:dyDescent="0.25">
      <c r="A940" s="1"/>
    </row>
    <row r="941" spans="1:1" x14ac:dyDescent="0.25">
      <c r="A941" s="1"/>
    </row>
    <row r="942" spans="1:1" x14ac:dyDescent="0.25">
      <c r="A942" s="1"/>
    </row>
    <row r="943" spans="1:1" x14ac:dyDescent="0.25">
      <c r="A943" s="1"/>
    </row>
    <row r="944" spans="1:1" x14ac:dyDescent="0.25">
      <c r="A944" s="1"/>
    </row>
    <row r="945" spans="1:1" x14ac:dyDescent="0.25">
      <c r="A945" s="1"/>
    </row>
    <row r="946" spans="1:1" x14ac:dyDescent="0.25">
      <c r="A946" s="1"/>
    </row>
    <row r="947" spans="1:1" x14ac:dyDescent="0.25">
      <c r="A947" s="1"/>
    </row>
    <row r="948" spans="1:1" x14ac:dyDescent="0.25">
      <c r="A948" s="1"/>
    </row>
    <row r="949" spans="1:1" x14ac:dyDescent="0.25">
      <c r="A949" s="1"/>
    </row>
    <row r="950" spans="1:1" x14ac:dyDescent="0.25">
      <c r="A950" s="1"/>
    </row>
    <row r="951" spans="1:1" x14ac:dyDescent="0.25">
      <c r="A951" s="1"/>
    </row>
    <row r="952" spans="1:1" x14ac:dyDescent="0.25">
      <c r="A952" s="1"/>
    </row>
    <row r="953" spans="1:1" x14ac:dyDescent="0.25">
      <c r="A953" s="1"/>
    </row>
    <row r="954" spans="1:1" x14ac:dyDescent="0.25">
      <c r="A954" s="1"/>
    </row>
    <row r="955" spans="1:1" x14ac:dyDescent="0.25">
      <c r="A955" s="1"/>
    </row>
    <row r="956" spans="1:1" x14ac:dyDescent="0.25">
      <c r="A956" s="1"/>
    </row>
    <row r="957" spans="1:1" x14ac:dyDescent="0.25">
      <c r="A957" s="1"/>
    </row>
    <row r="958" spans="1:1" x14ac:dyDescent="0.25">
      <c r="A958" s="1"/>
    </row>
    <row r="959" spans="1:1" x14ac:dyDescent="0.25">
      <c r="A959" s="1"/>
    </row>
    <row r="960" spans="1:1" x14ac:dyDescent="0.25">
      <c r="A960" s="1"/>
    </row>
    <row r="961" spans="1:1" x14ac:dyDescent="0.25">
      <c r="A961" s="1"/>
    </row>
    <row r="962" spans="1:1" x14ac:dyDescent="0.25">
      <c r="A962" s="1"/>
    </row>
    <row r="963" spans="1:1" x14ac:dyDescent="0.25">
      <c r="A963" s="1"/>
    </row>
    <row r="964" spans="1:1" x14ac:dyDescent="0.25">
      <c r="A964" s="1"/>
    </row>
    <row r="965" spans="1:1" x14ac:dyDescent="0.25">
      <c r="A965" s="1"/>
    </row>
    <row r="966" spans="1:1" x14ac:dyDescent="0.25">
      <c r="A966" s="1"/>
    </row>
    <row r="967" spans="1:1" x14ac:dyDescent="0.25">
      <c r="A967" s="1"/>
    </row>
    <row r="968" spans="1:1" x14ac:dyDescent="0.25">
      <c r="A968" s="1"/>
    </row>
    <row r="969" spans="1:1" x14ac:dyDescent="0.25">
      <c r="A969" s="1"/>
    </row>
    <row r="970" spans="1:1" x14ac:dyDescent="0.25">
      <c r="A970" s="1"/>
    </row>
    <row r="971" spans="1:1" x14ac:dyDescent="0.25">
      <c r="A971" s="1"/>
    </row>
    <row r="972" spans="1:1" x14ac:dyDescent="0.25">
      <c r="A972" s="1"/>
    </row>
    <row r="973" spans="1:1" x14ac:dyDescent="0.25">
      <c r="A973" s="1"/>
    </row>
    <row r="974" spans="1:1" x14ac:dyDescent="0.25">
      <c r="A974" s="1"/>
    </row>
    <row r="975" spans="1:1" x14ac:dyDescent="0.25">
      <c r="A975" s="1"/>
    </row>
    <row r="976" spans="1:1" x14ac:dyDescent="0.25">
      <c r="A976" s="1"/>
    </row>
    <row r="977" spans="1:1" x14ac:dyDescent="0.25">
      <c r="A977" s="1"/>
    </row>
    <row r="978" spans="1:1" x14ac:dyDescent="0.25">
      <c r="A978" s="1"/>
    </row>
    <row r="979" spans="1:1" x14ac:dyDescent="0.25">
      <c r="A979" s="1"/>
    </row>
    <row r="980" spans="1:1" x14ac:dyDescent="0.25">
      <c r="A980" s="1"/>
    </row>
    <row r="981" spans="1:1" x14ac:dyDescent="0.25">
      <c r="A981" s="1"/>
    </row>
    <row r="982" spans="1:1" x14ac:dyDescent="0.25">
      <c r="A982" s="1"/>
    </row>
    <row r="983" spans="1:1" x14ac:dyDescent="0.25">
      <c r="A983" s="1"/>
    </row>
    <row r="984" spans="1:1" x14ac:dyDescent="0.25">
      <c r="A984" s="1"/>
    </row>
    <row r="985" spans="1:1" x14ac:dyDescent="0.25">
      <c r="A985" s="1"/>
    </row>
    <row r="986" spans="1:1" x14ac:dyDescent="0.25">
      <c r="A986" s="1"/>
    </row>
    <row r="987" spans="1:1" x14ac:dyDescent="0.25">
      <c r="A987" s="1"/>
    </row>
    <row r="988" spans="1:1" x14ac:dyDescent="0.25">
      <c r="A988" s="1"/>
    </row>
    <row r="989" spans="1:1" x14ac:dyDescent="0.25">
      <c r="A989" s="1"/>
    </row>
    <row r="990" spans="1:1" x14ac:dyDescent="0.25">
      <c r="A990" s="1"/>
    </row>
    <row r="991" spans="1:1" x14ac:dyDescent="0.25">
      <c r="A991" s="1"/>
    </row>
    <row r="992" spans="1:1" x14ac:dyDescent="0.25">
      <c r="A992" s="1"/>
    </row>
    <row r="993" spans="1:1" x14ac:dyDescent="0.25">
      <c r="A993" s="1"/>
    </row>
    <row r="994" spans="1:1" x14ac:dyDescent="0.25">
      <c r="A994" s="1"/>
    </row>
    <row r="995" spans="1:1" x14ac:dyDescent="0.25">
      <c r="A995" s="1"/>
    </row>
    <row r="996" spans="1:1" x14ac:dyDescent="0.25">
      <c r="A996" s="1"/>
    </row>
    <row r="997" spans="1:1" x14ac:dyDescent="0.25">
      <c r="A997" s="1"/>
    </row>
    <row r="998" spans="1:1" x14ac:dyDescent="0.25">
      <c r="A998" s="1"/>
    </row>
    <row r="999" spans="1:1" x14ac:dyDescent="0.25">
      <c r="A999" s="1"/>
    </row>
    <row r="1000" spans="1:1" x14ac:dyDescent="0.25">
      <c r="A1000" s="1"/>
    </row>
  </sheetData>
  <sheetProtection algorithmName="SHA-512" hashValue="OtsogJ/j5layuW7h1HZQdEaAk3fPRnPyaIoTpHd2Ro9lZnUOBoMHKcJTSsP/1TT3skNV/UWvGoXqw5z4pOniaA==" saltValue="0c1MgpeKzHJNtL4Xp+H6NQ==" spinCount="100000" sheet="1" objects="1" scenarios="1"/>
  <mergeCells count="1">
    <mergeCell ref="X1:Z3"/>
  </mergeCells>
  <conditionalFormatting sqref="B2:V43">
    <cfRule type="colorScale" priority="1">
      <colorScale>
        <cfvo type="min"/>
        <cfvo type="percentile" val="50"/>
        <cfvo type="max"/>
        <color rgb="FF5A8AC6"/>
        <color rgb="FFFCFCFF"/>
        <color rgb="FFF8696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outlinePr summaryBelow="0" summaryRight="0"/>
  </sheetPr>
  <dimension ref="A1:X43"/>
  <sheetViews>
    <sheetView zoomScale="70" zoomScaleNormal="70" workbookViewId="0">
      <selection activeCell="Y12" sqref="Y12"/>
    </sheetView>
  </sheetViews>
  <sheetFormatPr defaultColWidth="12.5546875" defaultRowHeight="13.2" x14ac:dyDescent="0.25"/>
  <cols>
    <col min="1" max="1" width="6.6640625" style="2" bestFit="1" customWidth="1"/>
    <col min="2" max="24" width="4.88671875" style="2" bestFit="1" customWidth="1"/>
    <col min="25" max="16384" width="12.5546875" style="2"/>
  </cols>
  <sheetData>
    <row r="1" spans="1:24" x14ac:dyDescent="0.25">
      <c r="A1" s="3" t="s">
        <v>0</v>
      </c>
      <c r="B1" s="4">
        <v>0</v>
      </c>
      <c r="C1" s="4">
        <v>0.6</v>
      </c>
      <c r="D1" s="4">
        <v>1.2</v>
      </c>
      <c r="E1" s="4">
        <v>1.9</v>
      </c>
      <c r="F1" s="4">
        <v>2.5</v>
      </c>
      <c r="G1" s="4">
        <v>3.1</v>
      </c>
      <c r="H1" s="4">
        <v>3.7</v>
      </c>
      <c r="I1" s="4">
        <v>4.4000000000000004</v>
      </c>
      <c r="J1" s="4">
        <v>5.6</v>
      </c>
      <c r="K1" s="4">
        <v>6.8</v>
      </c>
      <c r="L1" s="4">
        <v>8.1</v>
      </c>
      <c r="M1" s="4">
        <v>9.3000000000000007</v>
      </c>
      <c r="N1" s="4">
        <v>10.6</v>
      </c>
      <c r="O1" s="4">
        <v>15.5</v>
      </c>
      <c r="P1" s="4">
        <v>20.5</v>
      </c>
      <c r="Q1" s="4">
        <v>25.5</v>
      </c>
      <c r="R1" s="4">
        <v>30.5</v>
      </c>
      <c r="S1" s="4">
        <v>40.4</v>
      </c>
      <c r="T1" s="4">
        <v>50.4</v>
      </c>
      <c r="U1" s="4">
        <v>60.3</v>
      </c>
      <c r="V1" s="4">
        <v>70.3</v>
      </c>
      <c r="W1" s="4">
        <v>90.2</v>
      </c>
      <c r="X1" s="5">
        <v>100</v>
      </c>
    </row>
    <row r="2" spans="1:24" x14ac:dyDescent="0.25">
      <c r="A2" s="6">
        <v>800</v>
      </c>
      <c r="B2" s="17">
        <v>13.2</v>
      </c>
      <c r="C2" s="17">
        <v>13.2</v>
      </c>
      <c r="D2" s="17">
        <v>13.2</v>
      </c>
      <c r="E2" s="17">
        <v>13.2</v>
      </c>
      <c r="F2" s="17">
        <v>13.2</v>
      </c>
      <c r="G2" s="17">
        <v>13.2</v>
      </c>
      <c r="H2" s="17">
        <v>13.2</v>
      </c>
      <c r="I2" s="17">
        <v>13.2</v>
      </c>
      <c r="J2" s="17">
        <v>13.2</v>
      </c>
      <c r="K2" s="17">
        <v>13.2</v>
      </c>
      <c r="L2" s="17">
        <v>13.2</v>
      </c>
      <c r="M2" s="17">
        <v>13.2</v>
      </c>
      <c r="N2" s="17">
        <v>13.2</v>
      </c>
      <c r="O2" s="17">
        <v>13.2</v>
      </c>
      <c r="P2" s="17">
        <v>13.2</v>
      </c>
      <c r="Q2" s="17">
        <v>13.2</v>
      </c>
      <c r="R2" s="17">
        <v>13.2</v>
      </c>
      <c r="S2" s="17">
        <v>13.2</v>
      </c>
      <c r="T2" s="17">
        <v>13.2</v>
      </c>
      <c r="U2" s="17">
        <v>13.2</v>
      </c>
      <c r="V2" s="17">
        <v>13.2</v>
      </c>
      <c r="W2" s="17">
        <v>13.2</v>
      </c>
      <c r="X2" s="17">
        <v>13.2</v>
      </c>
    </row>
    <row r="3" spans="1:24" x14ac:dyDescent="0.25">
      <c r="A3" s="6">
        <v>1000</v>
      </c>
      <c r="B3" s="17">
        <v>13.2</v>
      </c>
      <c r="C3" s="17">
        <v>13.2</v>
      </c>
      <c r="D3" s="17">
        <v>13.2</v>
      </c>
      <c r="E3" s="17">
        <v>13.2</v>
      </c>
      <c r="F3" s="17">
        <v>13.2</v>
      </c>
      <c r="G3" s="17">
        <v>13.2</v>
      </c>
      <c r="H3" s="17">
        <v>13.2</v>
      </c>
      <c r="I3" s="17">
        <v>13.2</v>
      </c>
      <c r="J3" s="17">
        <v>13.2</v>
      </c>
      <c r="K3" s="17">
        <v>13.2</v>
      </c>
      <c r="L3" s="17">
        <v>13.2</v>
      </c>
      <c r="M3" s="17">
        <v>13.2</v>
      </c>
      <c r="N3" s="17">
        <v>13.2</v>
      </c>
      <c r="O3" s="17">
        <v>13.2</v>
      </c>
      <c r="P3" s="17">
        <v>13.2</v>
      </c>
      <c r="Q3" s="17">
        <v>13.2</v>
      </c>
      <c r="R3" s="17">
        <v>13.2</v>
      </c>
      <c r="S3" s="17">
        <v>13.2</v>
      </c>
      <c r="T3" s="17">
        <v>13.2</v>
      </c>
      <c r="U3" s="17">
        <v>13.2</v>
      </c>
      <c r="V3" s="17">
        <v>13.2</v>
      </c>
      <c r="W3" s="17">
        <v>13.2</v>
      </c>
      <c r="X3" s="17">
        <v>13.2</v>
      </c>
    </row>
    <row r="4" spans="1:24" x14ac:dyDescent="0.25">
      <c r="A4" s="6">
        <v>1200</v>
      </c>
      <c r="B4" s="17">
        <v>13.2</v>
      </c>
      <c r="C4" s="17">
        <v>13.2</v>
      </c>
      <c r="D4" s="17">
        <v>13.2</v>
      </c>
      <c r="E4" s="17">
        <v>13.2</v>
      </c>
      <c r="F4" s="17">
        <v>13.2</v>
      </c>
      <c r="G4" s="17">
        <v>13.2</v>
      </c>
      <c r="H4" s="17">
        <v>13.2</v>
      </c>
      <c r="I4" s="17">
        <v>13.2</v>
      </c>
      <c r="J4" s="17">
        <v>13.2</v>
      </c>
      <c r="K4" s="17">
        <v>13.2</v>
      </c>
      <c r="L4" s="17">
        <v>13.2</v>
      </c>
      <c r="M4" s="17">
        <v>13.2</v>
      </c>
      <c r="N4" s="17">
        <v>13.2</v>
      </c>
      <c r="O4" s="17">
        <v>13.2</v>
      </c>
      <c r="P4" s="17">
        <v>13.2</v>
      </c>
      <c r="Q4" s="17">
        <v>13.2</v>
      </c>
      <c r="R4" s="17">
        <v>13.2</v>
      </c>
      <c r="S4" s="17">
        <v>13.2</v>
      </c>
      <c r="T4" s="17">
        <v>13.2</v>
      </c>
      <c r="U4" s="17">
        <v>13.2</v>
      </c>
      <c r="V4" s="17">
        <v>13.2</v>
      </c>
      <c r="W4" s="17">
        <v>13.2</v>
      </c>
      <c r="X4" s="17">
        <v>13.2</v>
      </c>
    </row>
    <row r="5" spans="1:24" x14ac:dyDescent="0.25">
      <c r="A5" s="6">
        <v>1400</v>
      </c>
      <c r="B5" s="17">
        <v>13.2</v>
      </c>
      <c r="C5" s="17">
        <v>13.2</v>
      </c>
      <c r="D5" s="17">
        <v>13.2</v>
      </c>
      <c r="E5" s="17">
        <v>13.2</v>
      </c>
      <c r="F5" s="17">
        <v>13.2</v>
      </c>
      <c r="G5" s="17">
        <v>13.2</v>
      </c>
      <c r="H5" s="17">
        <v>13.2</v>
      </c>
      <c r="I5" s="17">
        <v>13.2</v>
      </c>
      <c r="J5" s="17">
        <v>13.2</v>
      </c>
      <c r="K5" s="17">
        <v>13.2</v>
      </c>
      <c r="L5" s="17">
        <v>13.2</v>
      </c>
      <c r="M5" s="17">
        <v>13.2</v>
      </c>
      <c r="N5" s="17">
        <v>13.2</v>
      </c>
      <c r="O5" s="17">
        <v>13.2</v>
      </c>
      <c r="P5" s="17">
        <v>13.2</v>
      </c>
      <c r="Q5" s="17">
        <v>13.2</v>
      </c>
      <c r="R5" s="17">
        <v>13.2</v>
      </c>
      <c r="S5" s="17">
        <v>13.2</v>
      </c>
      <c r="T5" s="17">
        <v>13.2</v>
      </c>
      <c r="U5" s="17">
        <v>13.2</v>
      </c>
      <c r="V5" s="17">
        <v>13.2</v>
      </c>
      <c r="W5" s="17">
        <v>13.2</v>
      </c>
      <c r="X5" s="17">
        <v>13.2</v>
      </c>
    </row>
    <row r="6" spans="1:24" x14ac:dyDescent="0.25">
      <c r="A6" s="6">
        <v>1600</v>
      </c>
      <c r="B6" s="17">
        <v>13.2</v>
      </c>
      <c r="C6" s="17">
        <v>13.2</v>
      </c>
      <c r="D6" s="17">
        <v>13.2</v>
      </c>
      <c r="E6" s="17">
        <v>13.2</v>
      </c>
      <c r="F6" s="17">
        <v>13.2</v>
      </c>
      <c r="G6" s="17">
        <v>13.2</v>
      </c>
      <c r="H6" s="17">
        <v>13.2</v>
      </c>
      <c r="I6" s="17">
        <v>13.2</v>
      </c>
      <c r="J6" s="17">
        <v>13.2</v>
      </c>
      <c r="K6" s="17">
        <v>13.2</v>
      </c>
      <c r="L6" s="17">
        <v>13.2</v>
      </c>
      <c r="M6" s="17">
        <v>13.2</v>
      </c>
      <c r="N6" s="17">
        <v>13.2</v>
      </c>
      <c r="O6" s="17">
        <v>13.2</v>
      </c>
      <c r="P6" s="17">
        <v>13.2</v>
      </c>
      <c r="Q6" s="17">
        <v>13.2</v>
      </c>
      <c r="R6" s="17">
        <v>13.2</v>
      </c>
      <c r="S6" s="17">
        <v>13.2</v>
      </c>
      <c r="T6" s="17">
        <v>13.2</v>
      </c>
      <c r="U6" s="17">
        <v>13.2</v>
      </c>
      <c r="V6" s="17">
        <v>13.2</v>
      </c>
      <c r="W6" s="17">
        <v>13.2</v>
      </c>
      <c r="X6" s="17">
        <v>13.2</v>
      </c>
    </row>
    <row r="7" spans="1:24" x14ac:dyDescent="0.25">
      <c r="A7" s="6">
        <v>1800</v>
      </c>
      <c r="B7" s="17">
        <v>13.2</v>
      </c>
      <c r="C7" s="17">
        <v>13.2</v>
      </c>
      <c r="D7" s="17">
        <v>13.2</v>
      </c>
      <c r="E7" s="17">
        <v>13.2</v>
      </c>
      <c r="F7" s="17">
        <v>13.2</v>
      </c>
      <c r="G7" s="17">
        <v>13.2</v>
      </c>
      <c r="H7" s="17">
        <v>13.2</v>
      </c>
      <c r="I7" s="17">
        <v>13.2</v>
      </c>
      <c r="J7" s="17">
        <v>13.2</v>
      </c>
      <c r="K7" s="17">
        <v>13.2</v>
      </c>
      <c r="L7" s="17">
        <v>13.2</v>
      </c>
      <c r="M7" s="17">
        <v>13.2</v>
      </c>
      <c r="N7" s="17">
        <v>13.2</v>
      </c>
      <c r="O7" s="17">
        <v>13.2</v>
      </c>
      <c r="P7" s="17">
        <v>13.2</v>
      </c>
      <c r="Q7" s="17">
        <v>13.2</v>
      </c>
      <c r="R7" s="17">
        <v>13.2</v>
      </c>
      <c r="S7" s="17">
        <v>13.2</v>
      </c>
      <c r="T7" s="17">
        <v>13.2</v>
      </c>
      <c r="U7" s="17">
        <v>13.2</v>
      </c>
      <c r="V7" s="17">
        <v>13.2</v>
      </c>
      <c r="W7" s="17">
        <v>13.2</v>
      </c>
      <c r="X7" s="17">
        <v>13.2</v>
      </c>
    </row>
    <row r="8" spans="1:24" x14ac:dyDescent="0.25">
      <c r="A8" s="6">
        <v>2000</v>
      </c>
      <c r="B8" s="17">
        <v>13.2</v>
      </c>
      <c r="C8" s="17">
        <v>13.2</v>
      </c>
      <c r="D8" s="17">
        <v>13.2</v>
      </c>
      <c r="E8" s="17">
        <v>13.2</v>
      </c>
      <c r="F8" s="17">
        <v>13.2</v>
      </c>
      <c r="G8" s="17">
        <v>13.2</v>
      </c>
      <c r="H8" s="17">
        <v>13.2</v>
      </c>
      <c r="I8" s="17">
        <v>13.2</v>
      </c>
      <c r="J8" s="17">
        <v>13.2</v>
      </c>
      <c r="K8" s="17">
        <v>13.2</v>
      </c>
      <c r="L8" s="17">
        <v>13.2</v>
      </c>
      <c r="M8" s="17">
        <v>13.2</v>
      </c>
      <c r="N8" s="17">
        <v>13.2</v>
      </c>
      <c r="O8" s="17">
        <v>13.2</v>
      </c>
      <c r="P8" s="17">
        <v>13.2</v>
      </c>
      <c r="Q8" s="17">
        <v>13.2</v>
      </c>
      <c r="R8" s="17">
        <v>13.2</v>
      </c>
      <c r="S8" s="17">
        <v>13.2</v>
      </c>
      <c r="T8" s="17">
        <v>13.2</v>
      </c>
      <c r="U8" s="17">
        <v>13.2</v>
      </c>
      <c r="V8" s="17">
        <v>13.2</v>
      </c>
      <c r="W8" s="17">
        <v>13.2</v>
      </c>
      <c r="X8" s="18">
        <v>13.2</v>
      </c>
    </row>
    <row r="9" spans="1:24" x14ac:dyDescent="0.25">
      <c r="A9" s="6">
        <v>2200</v>
      </c>
      <c r="B9" s="17">
        <v>13.2</v>
      </c>
      <c r="C9" s="17">
        <v>13.2</v>
      </c>
      <c r="D9" s="17">
        <v>13.2</v>
      </c>
      <c r="E9" s="17">
        <v>13.2</v>
      </c>
      <c r="F9" s="17">
        <v>13.2</v>
      </c>
      <c r="G9" s="17">
        <v>13.2</v>
      </c>
      <c r="H9" s="17">
        <v>13.2</v>
      </c>
      <c r="I9" s="17">
        <v>13.2</v>
      </c>
      <c r="J9" s="17">
        <v>13.2</v>
      </c>
      <c r="K9" s="17">
        <v>13.2</v>
      </c>
      <c r="L9" s="17">
        <v>13.2</v>
      </c>
      <c r="M9" s="17">
        <v>13.2</v>
      </c>
      <c r="N9" s="17">
        <v>13.2</v>
      </c>
      <c r="O9" s="17">
        <v>13.2</v>
      </c>
      <c r="P9" s="17">
        <v>13.2</v>
      </c>
      <c r="Q9" s="17">
        <v>13.2</v>
      </c>
      <c r="R9" s="17">
        <v>13.2</v>
      </c>
      <c r="S9" s="17">
        <v>13.2</v>
      </c>
      <c r="T9" s="17">
        <v>13.2</v>
      </c>
      <c r="U9" s="17">
        <v>13.2</v>
      </c>
      <c r="V9" s="17">
        <v>13.2</v>
      </c>
      <c r="W9" s="17">
        <v>13.2</v>
      </c>
      <c r="X9" s="18">
        <v>13.2</v>
      </c>
    </row>
    <row r="10" spans="1:24" x14ac:dyDescent="0.25">
      <c r="A10" s="6">
        <v>2400</v>
      </c>
      <c r="B10" s="17">
        <v>13.2</v>
      </c>
      <c r="C10" s="17">
        <v>13.2</v>
      </c>
      <c r="D10" s="17">
        <v>13.2</v>
      </c>
      <c r="E10" s="17">
        <v>13.2</v>
      </c>
      <c r="F10" s="17">
        <v>13.2</v>
      </c>
      <c r="G10" s="17">
        <v>13.2</v>
      </c>
      <c r="H10" s="17">
        <v>13.4</v>
      </c>
      <c r="I10" s="17">
        <v>13.4</v>
      </c>
      <c r="J10" s="17">
        <v>13.4</v>
      </c>
      <c r="K10" s="17">
        <v>13.4</v>
      </c>
      <c r="L10" s="17">
        <v>13.4</v>
      </c>
      <c r="M10" s="17">
        <v>13.4</v>
      </c>
      <c r="N10" s="17">
        <v>13.2</v>
      </c>
      <c r="O10" s="17">
        <v>13.2</v>
      </c>
      <c r="P10" s="17">
        <v>13.2</v>
      </c>
      <c r="Q10" s="17">
        <v>13.2</v>
      </c>
      <c r="R10" s="17">
        <v>13.2</v>
      </c>
      <c r="S10" s="17">
        <v>13.2</v>
      </c>
      <c r="T10" s="17">
        <v>13.2</v>
      </c>
      <c r="U10" s="17">
        <v>13.2</v>
      </c>
      <c r="V10" s="17">
        <v>13.2</v>
      </c>
      <c r="W10" s="17">
        <v>13.2</v>
      </c>
      <c r="X10" s="18">
        <v>13.2</v>
      </c>
    </row>
    <row r="11" spans="1:24" x14ac:dyDescent="0.25">
      <c r="A11" s="6">
        <v>2600</v>
      </c>
      <c r="B11" s="17">
        <v>13.2</v>
      </c>
      <c r="C11" s="17">
        <v>13.2</v>
      </c>
      <c r="D11" s="17">
        <v>13.2</v>
      </c>
      <c r="E11" s="17">
        <v>13.2</v>
      </c>
      <c r="F11" s="17">
        <v>13.2</v>
      </c>
      <c r="G11" s="17">
        <v>13.2</v>
      </c>
      <c r="H11" s="17">
        <v>13.4</v>
      </c>
      <c r="I11" s="17">
        <v>13.4</v>
      </c>
      <c r="J11" s="17">
        <v>13.4</v>
      </c>
      <c r="K11" s="17">
        <v>13.4</v>
      </c>
      <c r="L11" s="17">
        <v>13.4</v>
      </c>
      <c r="M11" s="17">
        <v>13.4</v>
      </c>
      <c r="N11" s="17">
        <v>13.2</v>
      </c>
      <c r="O11" s="17">
        <v>13.2</v>
      </c>
      <c r="P11" s="17">
        <v>13.2</v>
      </c>
      <c r="Q11" s="17">
        <v>13.2</v>
      </c>
      <c r="R11" s="17">
        <v>13.2</v>
      </c>
      <c r="S11" s="17">
        <v>13.2</v>
      </c>
      <c r="T11" s="17">
        <v>13.2</v>
      </c>
      <c r="U11" s="17">
        <v>13.2</v>
      </c>
      <c r="V11" s="17">
        <v>13.2</v>
      </c>
      <c r="W11" s="17">
        <v>13.2</v>
      </c>
      <c r="X11" s="18">
        <v>13.2</v>
      </c>
    </row>
    <row r="12" spans="1:24" x14ac:dyDescent="0.25">
      <c r="A12" s="6">
        <v>2800</v>
      </c>
      <c r="B12" s="17">
        <v>13.2</v>
      </c>
      <c r="C12" s="17">
        <v>13.2</v>
      </c>
      <c r="D12" s="17">
        <v>13.2</v>
      </c>
      <c r="E12" s="17">
        <v>13.2</v>
      </c>
      <c r="F12" s="17">
        <v>13.2</v>
      </c>
      <c r="G12" s="17">
        <v>13.2</v>
      </c>
      <c r="H12" s="17">
        <v>13.4</v>
      </c>
      <c r="I12" s="17">
        <v>13.4</v>
      </c>
      <c r="J12" s="17">
        <v>13.4</v>
      </c>
      <c r="K12" s="17">
        <v>13.4</v>
      </c>
      <c r="L12" s="17">
        <v>13.4</v>
      </c>
      <c r="M12" s="17">
        <v>13.4</v>
      </c>
      <c r="N12" s="17">
        <v>13.2</v>
      </c>
      <c r="O12" s="17">
        <v>13.2</v>
      </c>
      <c r="P12" s="17">
        <v>13.2</v>
      </c>
      <c r="Q12" s="17">
        <v>13.2</v>
      </c>
      <c r="R12" s="17">
        <v>13.2</v>
      </c>
      <c r="S12" s="17">
        <v>13.2</v>
      </c>
      <c r="T12" s="17">
        <v>13.2</v>
      </c>
      <c r="U12" s="17">
        <v>13.2</v>
      </c>
      <c r="V12" s="17">
        <v>13.2</v>
      </c>
      <c r="W12" s="17">
        <v>13.2</v>
      </c>
      <c r="X12" s="18">
        <v>13.2</v>
      </c>
    </row>
    <row r="13" spans="1:24" x14ac:dyDescent="0.25">
      <c r="A13" s="6">
        <v>3000</v>
      </c>
      <c r="B13" s="17">
        <v>13.2</v>
      </c>
      <c r="C13" s="17">
        <v>13.2</v>
      </c>
      <c r="D13" s="17">
        <v>13.2</v>
      </c>
      <c r="E13" s="17">
        <v>13.2</v>
      </c>
      <c r="F13" s="17">
        <v>13.2</v>
      </c>
      <c r="G13" s="17">
        <v>13.2</v>
      </c>
      <c r="H13" s="17">
        <v>13.4</v>
      </c>
      <c r="I13" s="17">
        <v>13.4</v>
      </c>
      <c r="J13" s="17">
        <v>13.4</v>
      </c>
      <c r="K13" s="17">
        <v>13.4</v>
      </c>
      <c r="L13" s="17">
        <v>13.4</v>
      </c>
      <c r="M13" s="17">
        <v>13.4</v>
      </c>
      <c r="N13" s="17">
        <v>13.2</v>
      </c>
      <c r="O13" s="17">
        <v>13.2</v>
      </c>
      <c r="P13" s="17">
        <v>13.2</v>
      </c>
      <c r="Q13" s="17">
        <v>13.2</v>
      </c>
      <c r="R13" s="17">
        <v>13.2</v>
      </c>
      <c r="S13" s="17">
        <v>13.2</v>
      </c>
      <c r="T13" s="17">
        <v>13.2</v>
      </c>
      <c r="U13" s="17">
        <v>13.2</v>
      </c>
      <c r="V13" s="17">
        <v>13.2</v>
      </c>
      <c r="W13" s="17">
        <v>13.2</v>
      </c>
      <c r="X13" s="18">
        <v>13.2</v>
      </c>
    </row>
    <row r="14" spans="1:24" x14ac:dyDescent="0.25">
      <c r="A14" s="6">
        <v>3200</v>
      </c>
      <c r="B14" s="17">
        <v>13.2</v>
      </c>
      <c r="C14" s="17">
        <v>13.2</v>
      </c>
      <c r="D14" s="17">
        <v>13.2</v>
      </c>
      <c r="E14" s="17">
        <v>13.2</v>
      </c>
      <c r="F14" s="17">
        <v>13.2</v>
      </c>
      <c r="G14" s="17">
        <v>13.2</v>
      </c>
      <c r="H14" s="17">
        <v>13.4</v>
      </c>
      <c r="I14" s="17">
        <v>13.4</v>
      </c>
      <c r="J14" s="17">
        <v>13.4</v>
      </c>
      <c r="K14" s="17">
        <v>13.4</v>
      </c>
      <c r="L14" s="17">
        <v>13.4</v>
      </c>
      <c r="M14" s="17">
        <v>13.4</v>
      </c>
      <c r="N14" s="17">
        <v>13.2</v>
      </c>
      <c r="O14" s="17">
        <v>13.2</v>
      </c>
      <c r="P14" s="17">
        <v>13.2</v>
      </c>
      <c r="Q14" s="17">
        <v>13.2</v>
      </c>
      <c r="R14" s="17">
        <v>13.2</v>
      </c>
      <c r="S14" s="17">
        <v>13.2</v>
      </c>
      <c r="T14" s="17">
        <v>13.2</v>
      </c>
      <c r="U14" s="17">
        <v>13.2</v>
      </c>
      <c r="V14" s="17">
        <v>13.2</v>
      </c>
      <c r="W14" s="17">
        <v>13.2</v>
      </c>
      <c r="X14" s="18">
        <v>13.2</v>
      </c>
    </row>
    <row r="15" spans="1:24" x14ac:dyDescent="0.25">
      <c r="A15" s="6">
        <v>3400</v>
      </c>
      <c r="B15" s="17">
        <v>13.2</v>
      </c>
      <c r="C15" s="17">
        <v>13.2</v>
      </c>
      <c r="D15" s="17">
        <v>13.2</v>
      </c>
      <c r="E15" s="17">
        <v>13.2</v>
      </c>
      <c r="F15" s="17">
        <v>13.2</v>
      </c>
      <c r="G15" s="17">
        <v>13.2</v>
      </c>
      <c r="H15" s="17">
        <v>13.4</v>
      </c>
      <c r="I15" s="17">
        <v>13.4</v>
      </c>
      <c r="J15" s="17">
        <v>13.4</v>
      </c>
      <c r="K15" s="17">
        <v>13.4</v>
      </c>
      <c r="L15" s="17">
        <v>13.4</v>
      </c>
      <c r="M15" s="17">
        <v>13.4</v>
      </c>
      <c r="N15" s="17">
        <v>13.2</v>
      </c>
      <c r="O15" s="17">
        <v>13.2</v>
      </c>
      <c r="P15" s="17">
        <v>13.2</v>
      </c>
      <c r="Q15" s="17">
        <v>13.2</v>
      </c>
      <c r="R15" s="17">
        <v>13.2</v>
      </c>
      <c r="S15" s="17">
        <v>13.2</v>
      </c>
      <c r="T15" s="17">
        <v>13.2</v>
      </c>
      <c r="U15" s="17">
        <v>13.2</v>
      </c>
      <c r="V15" s="17">
        <v>13.2</v>
      </c>
      <c r="W15" s="17">
        <v>13.2</v>
      </c>
      <c r="X15" s="18">
        <v>13.2</v>
      </c>
    </row>
    <row r="16" spans="1:24" x14ac:dyDescent="0.25">
      <c r="A16" s="6">
        <v>3600</v>
      </c>
      <c r="B16" s="17">
        <v>13.2</v>
      </c>
      <c r="C16" s="17">
        <v>13.2</v>
      </c>
      <c r="D16" s="17">
        <v>13.2</v>
      </c>
      <c r="E16" s="17">
        <v>13.2</v>
      </c>
      <c r="F16" s="17">
        <v>13.2</v>
      </c>
      <c r="G16" s="17">
        <v>13.2</v>
      </c>
      <c r="H16" s="17">
        <v>13.4</v>
      </c>
      <c r="I16" s="17">
        <v>13.4</v>
      </c>
      <c r="J16" s="17">
        <v>13.4</v>
      </c>
      <c r="K16" s="17">
        <v>13.4</v>
      </c>
      <c r="L16" s="17">
        <v>13.4</v>
      </c>
      <c r="M16" s="17">
        <v>13.4</v>
      </c>
      <c r="N16" s="17">
        <v>13.2</v>
      </c>
      <c r="O16" s="17">
        <v>13.2</v>
      </c>
      <c r="P16" s="17">
        <v>13.2</v>
      </c>
      <c r="Q16" s="17">
        <v>13.2</v>
      </c>
      <c r="R16" s="17">
        <v>13.2</v>
      </c>
      <c r="S16" s="17">
        <v>13.2</v>
      </c>
      <c r="T16" s="17">
        <v>13.2</v>
      </c>
      <c r="U16" s="17">
        <v>13.2</v>
      </c>
      <c r="V16" s="17">
        <v>13.2</v>
      </c>
      <c r="W16" s="17">
        <v>13.2</v>
      </c>
      <c r="X16" s="18">
        <v>13.2</v>
      </c>
    </row>
    <row r="17" spans="1:24" x14ac:dyDescent="0.25">
      <c r="A17" s="6">
        <v>3800</v>
      </c>
      <c r="B17" s="17">
        <v>13.2</v>
      </c>
      <c r="C17" s="17">
        <v>13.2</v>
      </c>
      <c r="D17" s="17">
        <v>13.2</v>
      </c>
      <c r="E17" s="17">
        <v>13.2</v>
      </c>
      <c r="F17" s="17">
        <v>13.2</v>
      </c>
      <c r="G17" s="17">
        <v>13.2</v>
      </c>
      <c r="H17" s="17">
        <v>13.4</v>
      </c>
      <c r="I17" s="17">
        <v>13.5</v>
      </c>
      <c r="J17" s="17">
        <v>13.5</v>
      </c>
      <c r="K17" s="17">
        <v>13.5</v>
      </c>
      <c r="L17" s="17">
        <v>13.5</v>
      </c>
      <c r="M17" s="17">
        <v>13.5</v>
      </c>
      <c r="N17" s="17">
        <v>13.4</v>
      </c>
      <c r="O17" s="17">
        <v>13.2</v>
      </c>
      <c r="P17" s="17">
        <v>13.2</v>
      </c>
      <c r="Q17" s="17">
        <v>13.2</v>
      </c>
      <c r="R17" s="17">
        <v>13.2</v>
      </c>
      <c r="S17" s="17">
        <v>13.2</v>
      </c>
      <c r="T17" s="17">
        <v>13.2</v>
      </c>
      <c r="U17" s="17">
        <v>13.2</v>
      </c>
      <c r="V17" s="17">
        <v>13.2</v>
      </c>
      <c r="W17" s="17">
        <v>13.2</v>
      </c>
      <c r="X17" s="18">
        <v>13.2</v>
      </c>
    </row>
    <row r="18" spans="1:24" x14ac:dyDescent="0.25">
      <c r="A18" s="6">
        <v>4000</v>
      </c>
      <c r="B18" s="17">
        <v>13.2</v>
      </c>
      <c r="C18" s="17">
        <v>13.2</v>
      </c>
      <c r="D18" s="17">
        <v>13.2</v>
      </c>
      <c r="E18" s="17">
        <v>13.2</v>
      </c>
      <c r="F18" s="17">
        <v>13.2</v>
      </c>
      <c r="G18" s="17">
        <v>13.2</v>
      </c>
      <c r="H18" s="17">
        <v>13.4</v>
      </c>
      <c r="I18" s="17">
        <v>13.5</v>
      </c>
      <c r="J18" s="17">
        <v>13.5</v>
      </c>
      <c r="K18" s="17">
        <v>13.5</v>
      </c>
      <c r="L18" s="17">
        <v>13.5</v>
      </c>
      <c r="M18" s="17">
        <v>13.5</v>
      </c>
      <c r="N18" s="17">
        <v>13.4</v>
      </c>
      <c r="O18" s="17">
        <v>13.2</v>
      </c>
      <c r="P18" s="17">
        <v>13.2</v>
      </c>
      <c r="Q18" s="17">
        <v>13.2</v>
      </c>
      <c r="R18" s="17">
        <v>13.2</v>
      </c>
      <c r="S18" s="17">
        <v>13.2</v>
      </c>
      <c r="T18" s="17">
        <v>13.2</v>
      </c>
      <c r="U18" s="17">
        <v>13.2</v>
      </c>
      <c r="V18" s="17">
        <v>13.2</v>
      </c>
      <c r="W18" s="17">
        <v>13.2</v>
      </c>
      <c r="X18" s="18">
        <v>13.2</v>
      </c>
    </row>
    <row r="19" spans="1:24" x14ac:dyDescent="0.25">
      <c r="A19" s="6">
        <v>4200</v>
      </c>
      <c r="B19" s="17">
        <v>13.2</v>
      </c>
      <c r="C19" s="17">
        <v>13.2</v>
      </c>
      <c r="D19" s="17">
        <v>13.2</v>
      </c>
      <c r="E19" s="17">
        <v>13.2</v>
      </c>
      <c r="F19" s="17">
        <v>13.2</v>
      </c>
      <c r="G19" s="17">
        <v>13.4</v>
      </c>
      <c r="H19" s="17">
        <v>13.5</v>
      </c>
      <c r="I19" s="17">
        <v>13.6</v>
      </c>
      <c r="J19" s="17">
        <v>13.6</v>
      </c>
      <c r="K19" s="17">
        <v>13.6</v>
      </c>
      <c r="L19" s="17">
        <v>13.6</v>
      </c>
      <c r="M19" s="17">
        <v>13.6</v>
      </c>
      <c r="N19" s="17">
        <v>13.5</v>
      </c>
      <c r="O19" s="17">
        <v>13.4</v>
      </c>
      <c r="P19" s="17">
        <v>13.2</v>
      </c>
      <c r="Q19" s="17">
        <v>13.2</v>
      </c>
      <c r="R19" s="17">
        <v>13.2</v>
      </c>
      <c r="S19" s="17">
        <v>13.2</v>
      </c>
      <c r="T19" s="17">
        <v>13.2</v>
      </c>
      <c r="U19" s="17">
        <v>13.2</v>
      </c>
      <c r="V19" s="17">
        <v>13.2</v>
      </c>
      <c r="W19" s="17">
        <v>13.2</v>
      </c>
      <c r="X19" s="18">
        <v>13.2</v>
      </c>
    </row>
    <row r="20" spans="1:24" x14ac:dyDescent="0.25">
      <c r="A20" s="6">
        <v>4400</v>
      </c>
      <c r="B20" s="17">
        <v>13.2</v>
      </c>
      <c r="C20" s="17">
        <v>13.2</v>
      </c>
      <c r="D20" s="17">
        <v>13.2</v>
      </c>
      <c r="E20" s="17">
        <v>13.2</v>
      </c>
      <c r="F20" s="17">
        <v>13.2</v>
      </c>
      <c r="G20" s="17">
        <v>13.4</v>
      </c>
      <c r="H20" s="17">
        <v>13.5</v>
      </c>
      <c r="I20" s="17">
        <v>13.6</v>
      </c>
      <c r="J20" s="17">
        <v>13.6</v>
      </c>
      <c r="K20" s="17">
        <v>13.6</v>
      </c>
      <c r="L20" s="17">
        <v>13.6</v>
      </c>
      <c r="M20" s="17">
        <v>13.6</v>
      </c>
      <c r="N20" s="17">
        <v>13.5</v>
      </c>
      <c r="O20" s="17">
        <v>13.4</v>
      </c>
      <c r="P20" s="17">
        <v>13.2</v>
      </c>
      <c r="Q20" s="17">
        <v>13.2</v>
      </c>
      <c r="R20" s="17">
        <v>13.2</v>
      </c>
      <c r="S20" s="17">
        <v>13.2</v>
      </c>
      <c r="T20" s="17">
        <v>13.2</v>
      </c>
      <c r="U20" s="17">
        <v>13.2</v>
      </c>
      <c r="V20" s="17">
        <v>13.2</v>
      </c>
      <c r="W20" s="17">
        <v>13.2</v>
      </c>
      <c r="X20" s="18">
        <v>13.2</v>
      </c>
    </row>
    <row r="21" spans="1:24" x14ac:dyDescent="0.25">
      <c r="A21" s="6">
        <v>4600</v>
      </c>
      <c r="B21" s="17">
        <v>13.2</v>
      </c>
      <c r="C21" s="17">
        <v>13.2</v>
      </c>
      <c r="D21" s="17">
        <v>13.2</v>
      </c>
      <c r="E21" s="17">
        <v>13.2</v>
      </c>
      <c r="F21" s="17">
        <v>13.2</v>
      </c>
      <c r="G21" s="17">
        <v>13.4</v>
      </c>
      <c r="H21" s="17">
        <v>13.5</v>
      </c>
      <c r="I21" s="17">
        <v>13.6</v>
      </c>
      <c r="J21" s="17">
        <v>13.6</v>
      </c>
      <c r="K21" s="17">
        <v>13.6</v>
      </c>
      <c r="L21" s="17">
        <v>13.6</v>
      </c>
      <c r="M21" s="17">
        <v>13.6</v>
      </c>
      <c r="N21" s="17">
        <v>13.5</v>
      </c>
      <c r="O21" s="17">
        <v>13.4</v>
      </c>
      <c r="P21" s="17">
        <v>13.2</v>
      </c>
      <c r="Q21" s="17">
        <v>13.2</v>
      </c>
      <c r="R21" s="17">
        <v>13.2</v>
      </c>
      <c r="S21" s="17">
        <v>13.2</v>
      </c>
      <c r="T21" s="17">
        <v>13.2</v>
      </c>
      <c r="U21" s="17">
        <v>13.2</v>
      </c>
      <c r="V21" s="17">
        <v>13.2</v>
      </c>
      <c r="W21" s="17">
        <v>13.2</v>
      </c>
      <c r="X21" s="18">
        <v>13.2</v>
      </c>
    </row>
    <row r="22" spans="1:24" x14ac:dyDescent="0.25">
      <c r="A22" s="6">
        <v>4800</v>
      </c>
      <c r="B22" s="17">
        <v>13.2</v>
      </c>
      <c r="C22" s="17">
        <v>13.2</v>
      </c>
      <c r="D22" s="17">
        <v>13.2</v>
      </c>
      <c r="E22" s="17">
        <v>13.2</v>
      </c>
      <c r="F22" s="17">
        <v>13.2</v>
      </c>
      <c r="G22" s="17">
        <v>13.4</v>
      </c>
      <c r="H22" s="17">
        <v>13.5</v>
      </c>
      <c r="I22" s="17">
        <v>13.6</v>
      </c>
      <c r="J22" s="17">
        <v>13.6</v>
      </c>
      <c r="K22" s="17">
        <v>13.6</v>
      </c>
      <c r="L22" s="17">
        <v>13.6</v>
      </c>
      <c r="M22" s="17">
        <v>13.6</v>
      </c>
      <c r="N22" s="17">
        <v>13.5</v>
      </c>
      <c r="O22" s="17">
        <v>13.4</v>
      </c>
      <c r="P22" s="17">
        <v>13.2</v>
      </c>
      <c r="Q22" s="17">
        <v>13.2</v>
      </c>
      <c r="R22" s="17">
        <v>13.2</v>
      </c>
      <c r="S22" s="17">
        <v>13.2</v>
      </c>
      <c r="T22" s="17">
        <v>13.2</v>
      </c>
      <c r="U22" s="17">
        <v>13.2</v>
      </c>
      <c r="V22" s="17">
        <v>13.2</v>
      </c>
      <c r="W22" s="17">
        <v>13.2</v>
      </c>
      <c r="X22" s="18">
        <v>13.2</v>
      </c>
    </row>
    <row r="23" spans="1:24" x14ac:dyDescent="0.25">
      <c r="A23" s="6">
        <v>5000</v>
      </c>
      <c r="B23" s="17">
        <v>13.2</v>
      </c>
      <c r="C23" s="17">
        <v>13.2</v>
      </c>
      <c r="D23" s="17">
        <v>13.2</v>
      </c>
      <c r="E23" s="17">
        <v>13.2</v>
      </c>
      <c r="F23" s="17">
        <v>13.2</v>
      </c>
      <c r="G23" s="17">
        <v>13.4</v>
      </c>
      <c r="H23" s="17">
        <v>13.5</v>
      </c>
      <c r="I23" s="17">
        <v>13.6</v>
      </c>
      <c r="J23" s="17">
        <v>13.6</v>
      </c>
      <c r="K23" s="17">
        <v>13.6</v>
      </c>
      <c r="L23" s="17">
        <v>13.6</v>
      </c>
      <c r="M23" s="17">
        <v>13.6</v>
      </c>
      <c r="N23" s="17">
        <v>13.5</v>
      </c>
      <c r="O23" s="17">
        <v>13.4</v>
      </c>
      <c r="P23" s="17">
        <v>13.2</v>
      </c>
      <c r="Q23" s="17">
        <v>13.2</v>
      </c>
      <c r="R23" s="17">
        <v>13.2</v>
      </c>
      <c r="S23" s="17">
        <v>13.2</v>
      </c>
      <c r="T23" s="17">
        <v>13.2</v>
      </c>
      <c r="U23" s="17">
        <v>13.2</v>
      </c>
      <c r="V23" s="17">
        <v>13.2</v>
      </c>
      <c r="W23" s="17">
        <v>13.2</v>
      </c>
      <c r="X23" s="18">
        <v>13.2</v>
      </c>
    </row>
    <row r="24" spans="1:24" x14ac:dyDescent="0.25">
      <c r="A24" s="6">
        <v>5200</v>
      </c>
      <c r="B24" s="17">
        <v>13.2</v>
      </c>
      <c r="C24" s="17">
        <v>13.2</v>
      </c>
      <c r="D24" s="17">
        <v>13.2</v>
      </c>
      <c r="E24" s="17">
        <v>13.2</v>
      </c>
      <c r="F24" s="17">
        <v>13.2</v>
      </c>
      <c r="G24" s="17">
        <v>13.4</v>
      </c>
      <c r="H24" s="17">
        <v>13.5</v>
      </c>
      <c r="I24" s="17">
        <v>13.6</v>
      </c>
      <c r="J24" s="17">
        <v>13.6</v>
      </c>
      <c r="K24" s="17">
        <v>13.6</v>
      </c>
      <c r="L24" s="17">
        <v>13.6</v>
      </c>
      <c r="M24" s="17">
        <v>13.6</v>
      </c>
      <c r="N24" s="17">
        <v>13.5</v>
      </c>
      <c r="O24" s="17">
        <v>13.4</v>
      </c>
      <c r="P24" s="17">
        <v>13.2</v>
      </c>
      <c r="Q24" s="17">
        <v>13.2</v>
      </c>
      <c r="R24" s="17">
        <v>13.2</v>
      </c>
      <c r="S24" s="17">
        <v>13.2</v>
      </c>
      <c r="T24" s="17">
        <v>13.2</v>
      </c>
      <c r="U24" s="17">
        <v>13.2</v>
      </c>
      <c r="V24" s="17">
        <v>13.2</v>
      </c>
      <c r="W24" s="17">
        <v>13.2</v>
      </c>
      <c r="X24" s="18">
        <v>13.2</v>
      </c>
    </row>
    <row r="25" spans="1:24" x14ac:dyDescent="0.25">
      <c r="A25" s="6">
        <v>5600</v>
      </c>
      <c r="B25" s="17">
        <v>13.2</v>
      </c>
      <c r="C25" s="17">
        <v>13.2</v>
      </c>
      <c r="D25" s="17">
        <v>13.2</v>
      </c>
      <c r="E25" s="17">
        <v>13.2</v>
      </c>
      <c r="F25" s="17">
        <v>13.2</v>
      </c>
      <c r="G25" s="17">
        <v>13.2</v>
      </c>
      <c r="H25" s="17">
        <v>13.4</v>
      </c>
      <c r="I25" s="17">
        <v>13.5</v>
      </c>
      <c r="J25" s="17">
        <v>13.5</v>
      </c>
      <c r="K25" s="17">
        <v>13.5</v>
      </c>
      <c r="L25" s="17">
        <v>13.5</v>
      </c>
      <c r="M25" s="17">
        <v>13.5</v>
      </c>
      <c r="N25" s="17">
        <v>13.4</v>
      </c>
      <c r="O25" s="17">
        <v>13.2</v>
      </c>
      <c r="P25" s="17">
        <v>13.2</v>
      </c>
      <c r="Q25" s="17">
        <v>13.2</v>
      </c>
      <c r="R25" s="17">
        <v>13.2</v>
      </c>
      <c r="S25" s="17">
        <v>13.2</v>
      </c>
      <c r="T25" s="17">
        <v>13.2</v>
      </c>
      <c r="U25" s="17">
        <v>13.2</v>
      </c>
      <c r="V25" s="17">
        <v>13.2</v>
      </c>
      <c r="W25" s="17">
        <v>13.2</v>
      </c>
      <c r="X25" s="18">
        <v>13.2</v>
      </c>
    </row>
    <row r="26" spans="1:24" x14ac:dyDescent="0.25">
      <c r="A26" s="6">
        <v>6000</v>
      </c>
      <c r="B26" s="17">
        <v>13.2</v>
      </c>
      <c r="C26" s="17">
        <v>13.2</v>
      </c>
      <c r="D26" s="17">
        <v>13.2</v>
      </c>
      <c r="E26" s="17">
        <v>13.2</v>
      </c>
      <c r="F26" s="17">
        <v>13.2</v>
      </c>
      <c r="G26" s="17">
        <v>13.2</v>
      </c>
      <c r="H26" s="17">
        <v>13.2</v>
      </c>
      <c r="I26" s="17">
        <v>13.4</v>
      </c>
      <c r="J26" s="17">
        <v>13.4</v>
      </c>
      <c r="K26" s="17">
        <v>13.4</v>
      </c>
      <c r="L26" s="17">
        <v>13.4</v>
      </c>
      <c r="M26" s="17">
        <v>13.4</v>
      </c>
      <c r="N26" s="17">
        <v>13.2</v>
      </c>
      <c r="O26" s="17">
        <v>13.2</v>
      </c>
      <c r="P26" s="17">
        <v>13.2</v>
      </c>
      <c r="Q26" s="17">
        <v>13.2</v>
      </c>
      <c r="R26" s="17">
        <v>13.2</v>
      </c>
      <c r="S26" s="17">
        <v>13.2</v>
      </c>
      <c r="T26" s="17">
        <v>13.2</v>
      </c>
      <c r="U26" s="17">
        <v>13.2</v>
      </c>
      <c r="V26" s="17">
        <v>13.2</v>
      </c>
      <c r="W26" s="17">
        <v>13.2</v>
      </c>
      <c r="X26" s="18">
        <v>13.2</v>
      </c>
    </row>
    <row r="27" spans="1:24" x14ac:dyDescent="0.25">
      <c r="A27" s="6">
        <v>6400</v>
      </c>
      <c r="B27" s="17">
        <v>13.2</v>
      </c>
      <c r="C27" s="17">
        <v>13.2</v>
      </c>
      <c r="D27" s="17">
        <v>13.2</v>
      </c>
      <c r="E27" s="17">
        <v>13.2</v>
      </c>
      <c r="F27" s="17">
        <v>13.2</v>
      </c>
      <c r="G27" s="17">
        <v>13.2</v>
      </c>
      <c r="H27" s="17">
        <v>13.2</v>
      </c>
      <c r="I27" s="17">
        <v>13.2</v>
      </c>
      <c r="J27" s="17">
        <v>13.2</v>
      </c>
      <c r="K27" s="17">
        <v>13.2</v>
      </c>
      <c r="L27" s="17">
        <v>13.2</v>
      </c>
      <c r="M27" s="17">
        <v>13.2</v>
      </c>
      <c r="N27" s="17">
        <v>13.2</v>
      </c>
      <c r="O27" s="17">
        <v>13.2</v>
      </c>
      <c r="P27" s="17">
        <v>13.2</v>
      </c>
      <c r="Q27" s="17">
        <v>13.2</v>
      </c>
      <c r="R27" s="17">
        <v>13.2</v>
      </c>
      <c r="S27" s="17">
        <v>13.2</v>
      </c>
      <c r="T27" s="17">
        <v>13.2</v>
      </c>
      <c r="U27" s="17">
        <v>13.2</v>
      </c>
      <c r="V27" s="17">
        <v>13.2</v>
      </c>
      <c r="W27" s="17">
        <v>13.2</v>
      </c>
      <c r="X27" s="18">
        <v>13.2</v>
      </c>
    </row>
    <row r="28" spans="1:24" x14ac:dyDescent="0.25">
      <c r="A28" s="6">
        <v>6800</v>
      </c>
      <c r="B28" s="17">
        <v>13.2</v>
      </c>
      <c r="C28" s="17">
        <v>13.2</v>
      </c>
      <c r="D28" s="17">
        <v>13.2</v>
      </c>
      <c r="E28" s="17">
        <v>13.2</v>
      </c>
      <c r="F28" s="17">
        <v>13.2</v>
      </c>
      <c r="G28" s="17">
        <v>13.2</v>
      </c>
      <c r="H28" s="17">
        <v>13.2</v>
      </c>
      <c r="I28" s="17">
        <v>13.2</v>
      </c>
      <c r="J28" s="17">
        <v>13.2</v>
      </c>
      <c r="K28" s="17">
        <v>13.2</v>
      </c>
      <c r="L28" s="17">
        <v>13.2</v>
      </c>
      <c r="M28" s="17">
        <v>13.2</v>
      </c>
      <c r="N28" s="17">
        <v>13.2</v>
      </c>
      <c r="O28" s="17">
        <v>13.2</v>
      </c>
      <c r="P28" s="17">
        <v>13.2</v>
      </c>
      <c r="Q28" s="17">
        <v>13.2</v>
      </c>
      <c r="R28" s="17">
        <v>13.2</v>
      </c>
      <c r="S28" s="17">
        <v>13.2</v>
      </c>
      <c r="T28" s="17">
        <v>13.2</v>
      </c>
      <c r="U28" s="17">
        <v>13.2</v>
      </c>
      <c r="V28" s="17">
        <v>13.2</v>
      </c>
      <c r="W28" s="17">
        <v>13.2</v>
      </c>
      <c r="X28" s="18">
        <v>13.2</v>
      </c>
    </row>
    <row r="29" spans="1:24" x14ac:dyDescent="0.25">
      <c r="A29" s="6">
        <v>7200</v>
      </c>
      <c r="B29" s="17">
        <v>13.2</v>
      </c>
      <c r="C29" s="17">
        <v>13.2</v>
      </c>
      <c r="D29" s="17">
        <v>13.2</v>
      </c>
      <c r="E29" s="17">
        <v>13.2</v>
      </c>
      <c r="F29" s="17">
        <v>13.2</v>
      </c>
      <c r="G29" s="17">
        <v>13.2</v>
      </c>
      <c r="H29" s="17">
        <v>13.2</v>
      </c>
      <c r="I29" s="17">
        <v>13.2</v>
      </c>
      <c r="J29" s="17">
        <v>13.2</v>
      </c>
      <c r="K29" s="17">
        <v>13.2</v>
      </c>
      <c r="L29" s="17">
        <v>13.2</v>
      </c>
      <c r="M29" s="17">
        <v>13.2</v>
      </c>
      <c r="N29" s="17">
        <v>13.2</v>
      </c>
      <c r="O29" s="17">
        <v>13.2</v>
      </c>
      <c r="P29" s="17">
        <v>13.2</v>
      </c>
      <c r="Q29" s="17">
        <v>13.2</v>
      </c>
      <c r="R29" s="17">
        <v>13.2</v>
      </c>
      <c r="S29" s="17">
        <v>13.2</v>
      </c>
      <c r="T29" s="17">
        <v>13.2</v>
      </c>
      <c r="U29" s="17">
        <v>13.2</v>
      </c>
      <c r="V29" s="17">
        <v>13.2</v>
      </c>
      <c r="W29" s="17">
        <v>13.2</v>
      </c>
      <c r="X29" s="18">
        <v>13.2</v>
      </c>
    </row>
    <row r="30" spans="1:24" x14ac:dyDescent="0.25">
      <c r="A30" s="6">
        <v>7600</v>
      </c>
      <c r="B30" s="17">
        <v>13.2</v>
      </c>
      <c r="C30" s="17">
        <v>13.2</v>
      </c>
      <c r="D30" s="17">
        <v>13.2</v>
      </c>
      <c r="E30" s="17">
        <v>13.2</v>
      </c>
      <c r="F30" s="17">
        <v>13.2</v>
      </c>
      <c r="G30" s="17">
        <v>13.2</v>
      </c>
      <c r="H30" s="17">
        <v>13.2</v>
      </c>
      <c r="I30" s="17">
        <v>13.2</v>
      </c>
      <c r="J30" s="17">
        <v>13.2</v>
      </c>
      <c r="K30" s="17">
        <v>13.2</v>
      </c>
      <c r="L30" s="17">
        <v>13.2</v>
      </c>
      <c r="M30" s="17">
        <v>13.2</v>
      </c>
      <c r="N30" s="17">
        <v>13.2</v>
      </c>
      <c r="O30" s="17">
        <v>13.2</v>
      </c>
      <c r="P30" s="17">
        <v>13.2</v>
      </c>
      <c r="Q30" s="17">
        <v>13.2</v>
      </c>
      <c r="R30" s="17">
        <v>13.2</v>
      </c>
      <c r="S30" s="17">
        <v>13.2</v>
      </c>
      <c r="T30" s="17">
        <v>13.2</v>
      </c>
      <c r="U30" s="17">
        <v>13.2</v>
      </c>
      <c r="V30" s="17">
        <v>13.2</v>
      </c>
      <c r="W30" s="17">
        <v>13.2</v>
      </c>
      <c r="X30" s="18">
        <v>13.2</v>
      </c>
    </row>
    <row r="31" spans="1:24" x14ac:dyDescent="0.25">
      <c r="A31" s="6">
        <v>8000</v>
      </c>
      <c r="B31" s="17">
        <v>13.2</v>
      </c>
      <c r="C31" s="17">
        <v>13.2</v>
      </c>
      <c r="D31" s="17">
        <v>13.2</v>
      </c>
      <c r="E31" s="17">
        <v>13.2</v>
      </c>
      <c r="F31" s="17">
        <v>13.2</v>
      </c>
      <c r="G31" s="17">
        <v>13.2</v>
      </c>
      <c r="H31" s="17">
        <v>13.2</v>
      </c>
      <c r="I31" s="17">
        <v>13.2</v>
      </c>
      <c r="J31" s="17">
        <v>13.2</v>
      </c>
      <c r="K31" s="17">
        <v>13.2</v>
      </c>
      <c r="L31" s="17">
        <v>13.2</v>
      </c>
      <c r="M31" s="17">
        <v>13.2</v>
      </c>
      <c r="N31" s="17">
        <v>13.2</v>
      </c>
      <c r="O31" s="17">
        <v>13.2</v>
      </c>
      <c r="P31" s="17">
        <v>13.2</v>
      </c>
      <c r="Q31" s="17">
        <v>13.2</v>
      </c>
      <c r="R31" s="17">
        <v>13.2</v>
      </c>
      <c r="S31" s="17">
        <v>13.2</v>
      </c>
      <c r="T31" s="17">
        <v>13.2</v>
      </c>
      <c r="U31" s="17">
        <v>13.2</v>
      </c>
      <c r="V31" s="17">
        <v>13.2</v>
      </c>
      <c r="W31" s="17">
        <v>13.2</v>
      </c>
      <c r="X31" s="18">
        <v>13.2</v>
      </c>
    </row>
    <row r="32" spans="1:24" x14ac:dyDescent="0.25">
      <c r="A32" s="6">
        <v>8400</v>
      </c>
      <c r="B32" s="17">
        <v>13.2</v>
      </c>
      <c r="C32" s="17">
        <v>13.2</v>
      </c>
      <c r="D32" s="17">
        <v>13.2</v>
      </c>
      <c r="E32" s="17">
        <v>13.2</v>
      </c>
      <c r="F32" s="17">
        <v>13.2</v>
      </c>
      <c r="G32" s="17">
        <v>13.2</v>
      </c>
      <c r="H32" s="17">
        <v>13.2</v>
      </c>
      <c r="I32" s="17">
        <v>13.2</v>
      </c>
      <c r="J32" s="17">
        <v>13.2</v>
      </c>
      <c r="K32" s="17">
        <v>13.2</v>
      </c>
      <c r="L32" s="17">
        <v>13.2</v>
      </c>
      <c r="M32" s="17">
        <v>13.2</v>
      </c>
      <c r="N32" s="17">
        <v>13.2</v>
      </c>
      <c r="O32" s="17">
        <v>13.2</v>
      </c>
      <c r="P32" s="17">
        <v>13.2</v>
      </c>
      <c r="Q32" s="17">
        <v>13.2</v>
      </c>
      <c r="R32" s="17">
        <v>13.2</v>
      </c>
      <c r="S32" s="17">
        <v>13.2</v>
      </c>
      <c r="T32" s="17">
        <v>13.2</v>
      </c>
      <c r="U32" s="17">
        <v>13.2</v>
      </c>
      <c r="V32" s="17">
        <v>13.2</v>
      </c>
      <c r="W32" s="17">
        <v>13.2</v>
      </c>
      <c r="X32" s="18">
        <v>13.2</v>
      </c>
    </row>
    <row r="33" spans="1:24" x14ac:dyDescent="0.25">
      <c r="A33" s="6">
        <v>8800</v>
      </c>
      <c r="B33" s="17">
        <v>13.2</v>
      </c>
      <c r="C33" s="17">
        <v>13.2</v>
      </c>
      <c r="D33" s="17">
        <v>13.2</v>
      </c>
      <c r="E33" s="17">
        <v>13.2</v>
      </c>
      <c r="F33" s="17">
        <v>13.2</v>
      </c>
      <c r="G33" s="17">
        <v>13.2</v>
      </c>
      <c r="H33" s="17">
        <v>13.2</v>
      </c>
      <c r="I33" s="17">
        <v>13.2</v>
      </c>
      <c r="J33" s="17">
        <v>13.2</v>
      </c>
      <c r="K33" s="17">
        <v>13.2</v>
      </c>
      <c r="L33" s="17">
        <v>13.2</v>
      </c>
      <c r="M33" s="17">
        <v>13.2</v>
      </c>
      <c r="N33" s="17">
        <v>13.2</v>
      </c>
      <c r="O33" s="17">
        <v>13.2</v>
      </c>
      <c r="P33" s="17">
        <v>13.2</v>
      </c>
      <c r="Q33" s="17">
        <v>13.2</v>
      </c>
      <c r="R33" s="17">
        <v>13.2</v>
      </c>
      <c r="S33" s="17">
        <v>13.2</v>
      </c>
      <c r="T33" s="17">
        <v>13.2</v>
      </c>
      <c r="U33" s="17">
        <v>13.2</v>
      </c>
      <c r="V33" s="17">
        <v>13.2</v>
      </c>
      <c r="W33" s="17">
        <v>13.2</v>
      </c>
      <c r="X33" s="18">
        <v>13.2</v>
      </c>
    </row>
    <row r="34" spans="1:24" x14ac:dyDescent="0.25">
      <c r="A34" s="6">
        <v>9200</v>
      </c>
      <c r="B34" s="17">
        <v>13.2</v>
      </c>
      <c r="C34" s="17">
        <v>13.2</v>
      </c>
      <c r="D34" s="17">
        <v>13.2</v>
      </c>
      <c r="E34" s="17">
        <v>13.2</v>
      </c>
      <c r="F34" s="17">
        <v>13.2</v>
      </c>
      <c r="G34" s="17">
        <v>13.2</v>
      </c>
      <c r="H34" s="17">
        <v>13.2</v>
      </c>
      <c r="I34" s="17">
        <v>13.2</v>
      </c>
      <c r="J34" s="17">
        <v>13.2</v>
      </c>
      <c r="K34" s="17">
        <v>13.2</v>
      </c>
      <c r="L34" s="17">
        <v>13.2</v>
      </c>
      <c r="M34" s="17">
        <v>13.2</v>
      </c>
      <c r="N34" s="17">
        <v>13.2</v>
      </c>
      <c r="O34" s="17">
        <v>13.2</v>
      </c>
      <c r="P34" s="17">
        <v>13.2</v>
      </c>
      <c r="Q34" s="17">
        <v>13.2</v>
      </c>
      <c r="R34" s="17">
        <v>13.2</v>
      </c>
      <c r="S34" s="17">
        <v>13.2</v>
      </c>
      <c r="T34" s="17">
        <v>13.2</v>
      </c>
      <c r="U34" s="17">
        <v>13.2</v>
      </c>
      <c r="V34" s="17">
        <v>13.2</v>
      </c>
      <c r="W34" s="17">
        <v>13.2</v>
      </c>
      <c r="X34" s="18">
        <v>13.2</v>
      </c>
    </row>
    <row r="35" spans="1:24" x14ac:dyDescent="0.25">
      <c r="A35" s="6">
        <v>9600</v>
      </c>
      <c r="B35" s="17">
        <v>13.2</v>
      </c>
      <c r="C35" s="17">
        <v>13.2</v>
      </c>
      <c r="D35" s="17">
        <v>13.2</v>
      </c>
      <c r="E35" s="17">
        <v>13.2</v>
      </c>
      <c r="F35" s="17">
        <v>13.2</v>
      </c>
      <c r="G35" s="17">
        <v>13.2</v>
      </c>
      <c r="H35" s="17">
        <v>13.2</v>
      </c>
      <c r="I35" s="17">
        <v>13.2</v>
      </c>
      <c r="J35" s="17">
        <v>13.2</v>
      </c>
      <c r="K35" s="17">
        <v>13.2</v>
      </c>
      <c r="L35" s="17">
        <v>13.2</v>
      </c>
      <c r="M35" s="17">
        <v>13.2</v>
      </c>
      <c r="N35" s="17">
        <v>13.2</v>
      </c>
      <c r="O35" s="17">
        <v>13.2</v>
      </c>
      <c r="P35" s="17">
        <v>13.2</v>
      </c>
      <c r="Q35" s="17">
        <v>13.2</v>
      </c>
      <c r="R35" s="17">
        <v>13.2</v>
      </c>
      <c r="S35" s="17">
        <v>13.2</v>
      </c>
      <c r="T35" s="17">
        <v>13.2</v>
      </c>
      <c r="U35" s="17">
        <v>13.2</v>
      </c>
      <c r="V35" s="17">
        <v>13.2</v>
      </c>
      <c r="W35" s="17">
        <v>13.2</v>
      </c>
      <c r="X35" s="18">
        <v>13.2</v>
      </c>
    </row>
    <row r="36" spans="1:24" x14ac:dyDescent="0.25">
      <c r="A36" s="6">
        <v>10000</v>
      </c>
      <c r="B36" s="17">
        <v>13.2</v>
      </c>
      <c r="C36" s="17">
        <v>13.2</v>
      </c>
      <c r="D36" s="17">
        <v>13.2</v>
      </c>
      <c r="E36" s="17">
        <v>13.2</v>
      </c>
      <c r="F36" s="17">
        <v>13.2</v>
      </c>
      <c r="G36" s="17">
        <v>13.2</v>
      </c>
      <c r="H36" s="17">
        <v>13.2</v>
      </c>
      <c r="I36" s="17">
        <v>13.2</v>
      </c>
      <c r="J36" s="17">
        <v>13.2</v>
      </c>
      <c r="K36" s="17">
        <v>13.2</v>
      </c>
      <c r="L36" s="17">
        <v>13.2</v>
      </c>
      <c r="M36" s="17">
        <v>13.2</v>
      </c>
      <c r="N36" s="17">
        <v>13.2</v>
      </c>
      <c r="O36" s="17">
        <v>13.2</v>
      </c>
      <c r="P36" s="17">
        <v>13.2</v>
      </c>
      <c r="Q36" s="17">
        <v>13.2</v>
      </c>
      <c r="R36" s="17">
        <v>13.2</v>
      </c>
      <c r="S36" s="17">
        <v>13.2</v>
      </c>
      <c r="T36" s="17">
        <v>13.2</v>
      </c>
      <c r="U36" s="17">
        <v>13.2</v>
      </c>
      <c r="V36" s="17">
        <v>13.2</v>
      </c>
      <c r="W36" s="17">
        <v>13.2</v>
      </c>
      <c r="X36" s="18">
        <v>13.2</v>
      </c>
    </row>
    <row r="37" spans="1:24" x14ac:dyDescent="0.25">
      <c r="A37" s="6">
        <v>10400</v>
      </c>
      <c r="B37" s="17">
        <v>13.2</v>
      </c>
      <c r="C37" s="17">
        <v>13.2</v>
      </c>
      <c r="D37" s="17">
        <v>13.2</v>
      </c>
      <c r="E37" s="17">
        <v>13.2</v>
      </c>
      <c r="F37" s="17">
        <v>13.2</v>
      </c>
      <c r="G37" s="17">
        <v>13.2</v>
      </c>
      <c r="H37" s="17">
        <v>13.2</v>
      </c>
      <c r="I37" s="17">
        <v>13.2</v>
      </c>
      <c r="J37" s="17">
        <v>13.2</v>
      </c>
      <c r="K37" s="17">
        <v>13.2</v>
      </c>
      <c r="L37" s="17">
        <v>13.2</v>
      </c>
      <c r="M37" s="17">
        <v>13.2</v>
      </c>
      <c r="N37" s="17">
        <v>13.2</v>
      </c>
      <c r="O37" s="17">
        <v>13.2</v>
      </c>
      <c r="P37" s="17">
        <v>13.2</v>
      </c>
      <c r="Q37" s="17">
        <v>13.2</v>
      </c>
      <c r="R37" s="17">
        <v>13.2</v>
      </c>
      <c r="S37" s="17">
        <v>13.2</v>
      </c>
      <c r="T37" s="17">
        <v>13.2</v>
      </c>
      <c r="U37" s="17">
        <v>13.2</v>
      </c>
      <c r="V37" s="17">
        <v>13.2</v>
      </c>
      <c r="W37" s="17">
        <v>13.2</v>
      </c>
      <c r="X37" s="18">
        <v>13.2</v>
      </c>
    </row>
    <row r="38" spans="1:24" x14ac:dyDescent="0.25">
      <c r="A38" s="6">
        <v>10800</v>
      </c>
      <c r="B38" s="17">
        <v>13.2</v>
      </c>
      <c r="C38" s="17">
        <v>13.2</v>
      </c>
      <c r="D38" s="17">
        <v>13.2</v>
      </c>
      <c r="E38" s="17">
        <v>13.2</v>
      </c>
      <c r="F38" s="17">
        <v>13.2</v>
      </c>
      <c r="G38" s="17">
        <v>13.2</v>
      </c>
      <c r="H38" s="17">
        <v>13.2</v>
      </c>
      <c r="I38" s="17">
        <v>13.2</v>
      </c>
      <c r="J38" s="17">
        <v>13.2</v>
      </c>
      <c r="K38" s="17">
        <v>13.2</v>
      </c>
      <c r="L38" s="17">
        <v>13.2</v>
      </c>
      <c r="M38" s="17">
        <v>13.2</v>
      </c>
      <c r="N38" s="17">
        <v>13.2</v>
      </c>
      <c r="O38" s="17">
        <v>13.2</v>
      </c>
      <c r="P38" s="17">
        <v>13.2</v>
      </c>
      <c r="Q38" s="17">
        <v>13.2</v>
      </c>
      <c r="R38" s="17">
        <v>13.2</v>
      </c>
      <c r="S38" s="17">
        <v>13.2</v>
      </c>
      <c r="T38" s="17">
        <v>13.2</v>
      </c>
      <c r="U38" s="17">
        <v>13.2</v>
      </c>
      <c r="V38" s="17">
        <v>13.2</v>
      </c>
      <c r="W38" s="17">
        <v>13.2</v>
      </c>
      <c r="X38" s="18">
        <v>13.2</v>
      </c>
    </row>
    <row r="39" spans="1:24" x14ac:dyDescent="0.25">
      <c r="A39" s="6">
        <v>11200</v>
      </c>
      <c r="B39" s="17">
        <v>13.2</v>
      </c>
      <c r="C39" s="17">
        <v>13.2</v>
      </c>
      <c r="D39" s="17">
        <v>13.2</v>
      </c>
      <c r="E39" s="17">
        <v>13.2</v>
      </c>
      <c r="F39" s="17">
        <v>13.2</v>
      </c>
      <c r="G39" s="17">
        <v>13.2</v>
      </c>
      <c r="H39" s="17">
        <v>13.2</v>
      </c>
      <c r="I39" s="17">
        <v>13.2</v>
      </c>
      <c r="J39" s="17">
        <v>13.2</v>
      </c>
      <c r="K39" s="17">
        <v>13.2</v>
      </c>
      <c r="L39" s="17">
        <v>13.2</v>
      </c>
      <c r="M39" s="17">
        <v>13.2</v>
      </c>
      <c r="N39" s="17">
        <v>13.2</v>
      </c>
      <c r="O39" s="17">
        <v>13.2</v>
      </c>
      <c r="P39" s="17">
        <v>13.2</v>
      </c>
      <c r="Q39" s="17">
        <v>13.2</v>
      </c>
      <c r="R39" s="17">
        <v>13.2</v>
      </c>
      <c r="S39" s="17">
        <v>13.2</v>
      </c>
      <c r="T39" s="17">
        <v>13.2</v>
      </c>
      <c r="U39" s="17">
        <v>13.2</v>
      </c>
      <c r="V39" s="17">
        <v>13.2</v>
      </c>
      <c r="W39" s="17">
        <v>13.2</v>
      </c>
      <c r="X39" s="18">
        <v>13.2</v>
      </c>
    </row>
    <row r="40" spans="1:24" x14ac:dyDescent="0.25">
      <c r="A40" s="6">
        <v>11600</v>
      </c>
      <c r="B40" s="17">
        <v>13.2</v>
      </c>
      <c r="C40" s="17">
        <v>13.2</v>
      </c>
      <c r="D40" s="17">
        <v>13.2</v>
      </c>
      <c r="E40" s="17">
        <v>13.2</v>
      </c>
      <c r="F40" s="17">
        <v>13.2</v>
      </c>
      <c r="G40" s="17">
        <v>13.2</v>
      </c>
      <c r="H40" s="17">
        <v>13.2</v>
      </c>
      <c r="I40" s="17">
        <v>13.2</v>
      </c>
      <c r="J40" s="17">
        <v>13.2</v>
      </c>
      <c r="K40" s="17">
        <v>13.2</v>
      </c>
      <c r="L40" s="17">
        <v>13.2</v>
      </c>
      <c r="M40" s="17">
        <v>13.2</v>
      </c>
      <c r="N40" s="17">
        <v>13.2</v>
      </c>
      <c r="O40" s="17">
        <v>13.2</v>
      </c>
      <c r="P40" s="17">
        <v>13.2</v>
      </c>
      <c r="Q40" s="17">
        <v>13.2</v>
      </c>
      <c r="R40" s="17">
        <v>13.2</v>
      </c>
      <c r="S40" s="17">
        <v>13.2</v>
      </c>
      <c r="T40" s="17">
        <v>13.2</v>
      </c>
      <c r="U40" s="17">
        <v>13.2</v>
      </c>
      <c r="V40" s="17">
        <v>13.2</v>
      </c>
      <c r="W40" s="17">
        <v>13.2</v>
      </c>
      <c r="X40" s="18">
        <v>13.2</v>
      </c>
    </row>
    <row r="41" spans="1:24" x14ac:dyDescent="0.25">
      <c r="A41" s="6">
        <v>12000</v>
      </c>
      <c r="B41" s="17">
        <v>13.2</v>
      </c>
      <c r="C41" s="17">
        <v>13.2</v>
      </c>
      <c r="D41" s="17">
        <v>13.2</v>
      </c>
      <c r="E41" s="17">
        <v>13.2</v>
      </c>
      <c r="F41" s="17">
        <v>13.2</v>
      </c>
      <c r="G41" s="17">
        <v>13.2</v>
      </c>
      <c r="H41" s="17">
        <v>13.2</v>
      </c>
      <c r="I41" s="17">
        <v>13.2</v>
      </c>
      <c r="J41" s="17">
        <v>13.2</v>
      </c>
      <c r="K41" s="17">
        <v>13.2</v>
      </c>
      <c r="L41" s="17">
        <v>13.2</v>
      </c>
      <c r="M41" s="17">
        <v>13.2</v>
      </c>
      <c r="N41" s="17">
        <v>13.2</v>
      </c>
      <c r="O41" s="17">
        <v>13.2</v>
      </c>
      <c r="P41" s="17">
        <v>13.2</v>
      </c>
      <c r="Q41" s="17">
        <v>13.2</v>
      </c>
      <c r="R41" s="17">
        <v>13.2</v>
      </c>
      <c r="S41" s="17">
        <v>13.2</v>
      </c>
      <c r="T41" s="17">
        <v>13.2</v>
      </c>
      <c r="U41" s="17">
        <v>13.2</v>
      </c>
      <c r="V41" s="17">
        <v>13.2</v>
      </c>
      <c r="W41" s="17">
        <v>13.2</v>
      </c>
      <c r="X41" s="18">
        <v>13.2</v>
      </c>
    </row>
    <row r="42" spans="1:24" x14ac:dyDescent="0.25">
      <c r="A42" s="6">
        <v>12400</v>
      </c>
      <c r="B42" s="17">
        <v>13.2</v>
      </c>
      <c r="C42" s="17">
        <v>13.2</v>
      </c>
      <c r="D42" s="17">
        <v>13.2</v>
      </c>
      <c r="E42" s="17">
        <v>13.2</v>
      </c>
      <c r="F42" s="17">
        <v>13.2</v>
      </c>
      <c r="G42" s="17">
        <v>13.2</v>
      </c>
      <c r="H42" s="17">
        <v>13.2</v>
      </c>
      <c r="I42" s="17">
        <v>13.2</v>
      </c>
      <c r="J42" s="17">
        <v>13.2</v>
      </c>
      <c r="K42" s="17">
        <v>13.2</v>
      </c>
      <c r="L42" s="17">
        <v>13.2</v>
      </c>
      <c r="M42" s="17">
        <v>13.2</v>
      </c>
      <c r="N42" s="17">
        <v>13.2</v>
      </c>
      <c r="O42" s="17">
        <v>13.2</v>
      </c>
      <c r="P42" s="17">
        <v>13.2</v>
      </c>
      <c r="Q42" s="17">
        <v>13.2</v>
      </c>
      <c r="R42" s="17">
        <v>13.2</v>
      </c>
      <c r="S42" s="17">
        <v>13.2</v>
      </c>
      <c r="T42" s="17">
        <v>13.2</v>
      </c>
      <c r="U42" s="17">
        <v>13.2</v>
      </c>
      <c r="V42" s="17">
        <v>13.2</v>
      </c>
      <c r="W42" s="17">
        <v>13.2</v>
      </c>
      <c r="X42" s="18">
        <v>13.2</v>
      </c>
    </row>
    <row r="43" spans="1:24" ht="13.8" thickBot="1" x14ac:dyDescent="0.3">
      <c r="A43" s="7">
        <v>12800</v>
      </c>
      <c r="B43" s="19">
        <v>13.2</v>
      </c>
      <c r="C43" s="19">
        <v>13.2</v>
      </c>
      <c r="D43" s="19">
        <v>13.2</v>
      </c>
      <c r="E43" s="19">
        <v>13.2</v>
      </c>
      <c r="F43" s="19">
        <v>13.2</v>
      </c>
      <c r="G43" s="19">
        <v>13.2</v>
      </c>
      <c r="H43" s="17">
        <v>13.2</v>
      </c>
      <c r="I43" s="19">
        <v>13.2</v>
      </c>
      <c r="J43" s="19">
        <v>13.2</v>
      </c>
      <c r="K43" s="19">
        <v>13.2</v>
      </c>
      <c r="L43" s="19">
        <v>13.2</v>
      </c>
      <c r="M43" s="19">
        <v>13.2</v>
      </c>
      <c r="N43" s="19">
        <v>13.2</v>
      </c>
      <c r="O43" s="19">
        <v>13.2</v>
      </c>
      <c r="P43" s="19">
        <v>13.2</v>
      </c>
      <c r="Q43" s="19">
        <v>13.2</v>
      </c>
      <c r="R43" s="19">
        <v>13.2</v>
      </c>
      <c r="S43" s="19">
        <v>13.2</v>
      </c>
      <c r="T43" s="19">
        <v>13.2</v>
      </c>
      <c r="U43" s="19">
        <v>13.2</v>
      </c>
      <c r="V43" s="19">
        <v>13.2</v>
      </c>
      <c r="W43" s="19">
        <v>13.2</v>
      </c>
      <c r="X43" s="20">
        <v>13.2</v>
      </c>
    </row>
  </sheetData>
  <conditionalFormatting sqref="B2:X43">
    <cfRule type="colorScale" priority="1">
      <colorScale>
        <cfvo type="min"/>
        <cfvo type="percentile" val="50"/>
        <cfvo type="max"/>
        <color rgb="FFF8696B"/>
        <color rgb="FFFCFCFF"/>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V43"/>
  <sheetViews>
    <sheetView zoomScale="70" zoomScaleNormal="70" workbookViewId="0">
      <selection activeCell="V19" sqref="V19"/>
    </sheetView>
  </sheetViews>
  <sheetFormatPr defaultRowHeight="13.2" x14ac:dyDescent="0.25"/>
  <cols>
    <col min="1" max="1" width="6.6640625" bestFit="1" customWidth="1"/>
    <col min="2" max="22" width="4.88671875" bestFit="1" customWidth="1"/>
  </cols>
  <sheetData>
    <row r="1" spans="1:22" x14ac:dyDescent="0.25">
      <c r="A1" s="3" t="s">
        <v>1</v>
      </c>
      <c r="B1" s="4">
        <v>120</v>
      </c>
      <c r="C1" s="4">
        <v>104</v>
      </c>
      <c r="D1" s="4">
        <v>88</v>
      </c>
      <c r="E1" s="4">
        <v>72</v>
      </c>
      <c r="F1" s="4">
        <v>68</v>
      </c>
      <c r="G1" s="4">
        <v>64</v>
      </c>
      <c r="H1" s="4">
        <v>60</v>
      </c>
      <c r="I1" s="4">
        <v>56</v>
      </c>
      <c r="J1" s="4">
        <v>52</v>
      </c>
      <c r="K1" s="4">
        <v>48</v>
      </c>
      <c r="L1" s="4">
        <v>44</v>
      </c>
      <c r="M1" s="4">
        <v>40</v>
      </c>
      <c r="N1" s="4">
        <v>36</v>
      </c>
      <c r="O1" s="4">
        <v>32</v>
      </c>
      <c r="P1" s="4">
        <v>24</v>
      </c>
      <c r="Q1" s="4">
        <v>20</v>
      </c>
      <c r="R1" s="4">
        <v>16</v>
      </c>
      <c r="S1" s="4">
        <v>12</v>
      </c>
      <c r="T1" s="4">
        <v>8</v>
      </c>
      <c r="U1" s="4">
        <v>4</v>
      </c>
      <c r="V1" s="4">
        <v>0</v>
      </c>
    </row>
    <row r="2" spans="1:22" x14ac:dyDescent="0.25">
      <c r="A2" s="6">
        <v>800</v>
      </c>
      <c r="B2" s="17">
        <v>13</v>
      </c>
      <c r="C2" s="17">
        <v>13</v>
      </c>
      <c r="D2" s="17">
        <v>13</v>
      </c>
      <c r="E2" s="17">
        <v>13</v>
      </c>
      <c r="F2" s="17">
        <v>13</v>
      </c>
      <c r="G2" s="17">
        <v>13.4</v>
      </c>
      <c r="H2" s="17">
        <v>13.4</v>
      </c>
      <c r="I2" s="17">
        <v>13.4</v>
      </c>
      <c r="J2" s="17">
        <v>13.4</v>
      </c>
      <c r="K2" s="17">
        <v>13.4</v>
      </c>
      <c r="L2" s="17">
        <v>13.4</v>
      </c>
      <c r="M2" s="17">
        <v>13.4</v>
      </c>
      <c r="N2" s="17">
        <v>13.4</v>
      </c>
      <c r="O2" s="17">
        <v>13.4</v>
      </c>
      <c r="P2" s="17">
        <v>13.4</v>
      </c>
      <c r="Q2" s="17">
        <v>13.4</v>
      </c>
      <c r="R2" s="17">
        <v>13.4</v>
      </c>
      <c r="S2" s="17">
        <v>13.4</v>
      </c>
      <c r="T2" s="17">
        <v>13.4</v>
      </c>
      <c r="U2" s="17">
        <v>13.4</v>
      </c>
      <c r="V2" s="17">
        <v>13.4</v>
      </c>
    </row>
    <row r="3" spans="1:22" x14ac:dyDescent="0.25">
      <c r="A3" s="6">
        <v>1000</v>
      </c>
      <c r="B3" s="17">
        <v>13</v>
      </c>
      <c r="C3" s="17">
        <v>13</v>
      </c>
      <c r="D3" s="17">
        <v>13</v>
      </c>
      <c r="E3" s="17">
        <v>13</v>
      </c>
      <c r="F3" s="17">
        <v>13</v>
      </c>
      <c r="G3" s="17">
        <v>13.4</v>
      </c>
      <c r="H3" s="17">
        <v>13.4</v>
      </c>
      <c r="I3" s="17">
        <v>13.4</v>
      </c>
      <c r="J3" s="17">
        <v>13.4</v>
      </c>
      <c r="K3" s="17">
        <v>13.4</v>
      </c>
      <c r="L3" s="17">
        <v>13.4</v>
      </c>
      <c r="M3" s="17">
        <v>13.4</v>
      </c>
      <c r="N3" s="17">
        <v>13.4</v>
      </c>
      <c r="O3" s="17">
        <v>13.4</v>
      </c>
      <c r="P3" s="17">
        <v>13.4</v>
      </c>
      <c r="Q3" s="17">
        <v>13.4</v>
      </c>
      <c r="R3" s="17">
        <v>13.4</v>
      </c>
      <c r="S3" s="17">
        <v>13.4</v>
      </c>
      <c r="T3" s="17">
        <v>13.4</v>
      </c>
      <c r="U3" s="17">
        <v>13.4</v>
      </c>
      <c r="V3" s="17">
        <v>13.4</v>
      </c>
    </row>
    <row r="4" spans="1:22" x14ac:dyDescent="0.25">
      <c r="A4" s="6">
        <v>1200</v>
      </c>
      <c r="B4" s="17">
        <v>13</v>
      </c>
      <c r="C4" s="17">
        <v>13</v>
      </c>
      <c r="D4" s="17">
        <v>13</v>
      </c>
      <c r="E4" s="17">
        <v>13</v>
      </c>
      <c r="F4" s="17">
        <v>13</v>
      </c>
      <c r="G4" s="17">
        <v>13.4</v>
      </c>
      <c r="H4" s="17">
        <v>13.4</v>
      </c>
      <c r="I4" s="17">
        <v>13.4</v>
      </c>
      <c r="J4" s="17">
        <v>13.4</v>
      </c>
      <c r="K4" s="17">
        <v>13.4</v>
      </c>
      <c r="L4" s="17">
        <v>13.4</v>
      </c>
      <c r="M4" s="17">
        <v>13.4</v>
      </c>
      <c r="N4" s="17">
        <v>13.4</v>
      </c>
      <c r="O4" s="17">
        <v>13.4</v>
      </c>
      <c r="P4" s="17">
        <v>13.4</v>
      </c>
      <c r="Q4" s="17">
        <v>13.4</v>
      </c>
      <c r="R4" s="17">
        <v>13.4</v>
      </c>
      <c r="S4" s="17">
        <v>13.4</v>
      </c>
      <c r="T4" s="17">
        <v>13.4</v>
      </c>
      <c r="U4" s="17">
        <v>13.4</v>
      </c>
      <c r="V4" s="17">
        <v>13.4</v>
      </c>
    </row>
    <row r="5" spans="1:22" x14ac:dyDescent="0.25">
      <c r="A5" s="6">
        <v>1400</v>
      </c>
      <c r="B5" s="17">
        <v>13</v>
      </c>
      <c r="C5" s="17">
        <v>13</v>
      </c>
      <c r="D5" s="17">
        <v>13</v>
      </c>
      <c r="E5" s="17">
        <v>13</v>
      </c>
      <c r="F5" s="17">
        <v>13</v>
      </c>
      <c r="G5" s="17">
        <v>13.4</v>
      </c>
      <c r="H5" s="17">
        <v>13.4</v>
      </c>
      <c r="I5" s="17">
        <v>13.4</v>
      </c>
      <c r="J5" s="17">
        <v>13.4</v>
      </c>
      <c r="K5" s="17">
        <v>13.4</v>
      </c>
      <c r="L5" s="17">
        <v>13.4</v>
      </c>
      <c r="M5" s="17">
        <v>13.4</v>
      </c>
      <c r="N5" s="17">
        <v>13.4</v>
      </c>
      <c r="O5" s="17">
        <v>13.4</v>
      </c>
      <c r="P5" s="17">
        <v>13.4</v>
      </c>
      <c r="Q5" s="17">
        <v>13.4</v>
      </c>
      <c r="R5" s="17">
        <v>13.4</v>
      </c>
      <c r="S5" s="17">
        <v>13.4</v>
      </c>
      <c r="T5" s="17">
        <v>13.4</v>
      </c>
      <c r="U5" s="17">
        <v>13.4</v>
      </c>
      <c r="V5" s="17">
        <v>13.4</v>
      </c>
    </row>
    <row r="6" spans="1:22" x14ac:dyDescent="0.25">
      <c r="A6" s="6">
        <v>1600</v>
      </c>
      <c r="B6" s="17">
        <v>13</v>
      </c>
      <c r="C6" s="17">
        <v>13</v>
      </c>
      <c r="D6" s="17">
        <v>13</v>
      </c>
      <c r="E6" s="17">
        <v>13</v>
      </c>
      <c r="F6" s="17">
        <v>13</v>
      </c>
      <c r="G6" s="17">
        <v>13.4</v>
      </c>
      <c r="H6" s="17">
        <v>13.4</v>
      </c>
      <c r="I6" s="17">
        <v>13.4</v>
      </c>
      <c r="J6" s="17">
        <v>13.4</v>
      </c>
      <c r="K6" s="17">
        <v>13.4</v>
      </c>
      <c r="L6" s="17">
        <v>13.4</v>
      </c>
      <c r="M6" s="17">
        <v>13.4</v>
      </c>
      <c r="N6" s="17">
        <v>13.4</v>
      </c>
      <c r="O6" s="17">
        <v>13.4</v>
      </c>
      <c r="P6" s="17">
        <v>13.4</v>
      </c>
      <c r="Q6" s="17">
        <v>13.4</v>
      </c>
      <c r="R6" s="17">
        <v>13.4</v>
      </c>
      <c r="S6" s="17">
        <v>13.4</v>
      </c>
      <c r="T6" s="17">
        <v>13.4</v>
      </c>
      <c r="U6" s="17">
        <v>13.4</v>
      </c>
      <c r="V6" s="17">
        <v>13.4</v>
      </c>
    </row>
    <row r="7" spans="1:22" x14ac:dyDescent="0.25">
      <c r="A7" s="6">
        <v>1800</v>
      </c>
      <c r="B7" s="17">
        <v>13</v>
      </c>
      <c r="C7" s="17">
        <v>13</v>
      </c>
      <c r="D7" s="17">
        <v>13</v>
      </c>
      <c r="E7" s="17">
        <v>13</v>
      </c>
      <c r="F7" s="17">
        <v>13</v>
      </c>
      <c r="G7" s="17">
        <v>13.4</v>
      </c>
      <c r="H7" s="17">
        <v>13.4</v>
      </c>
      <c r="I7" s="17">
        <v>13.4</v>
      </c>
      <c r="J7" s="17">
        <v>13.4</v>
      </c>
      <c r="K7" s="17">
        <v>13.4</v>
      </c>
      <c r="L7" s="17">
        <v>13.4</v>
      </c>
      <c r="M7" s="17">
        <v>13.4</v>
      </c>
      <c r="N7" s="17">
        <v>13.4</v>
      </c>
      <c r="O7" s="17">
        <v>13.4</v>
      </c>
      <c r="P7" s="17">
        <v>13.4</v>
      </c>
      <c r="Q7" s="17">
        <v>13.4</v>
      </c>
      <c r="R7" s="17">
        <v>13.4</v>
      </c>
      <c r="S7" s="17">
        <v>13.4</v>
      </c>
      <c r="T7" s="17">
        <v>13.4</v>
      </c>
      <c r="U7" s="17">
        <v>13.4</v>
      </c>
      <c r="V7" s="17">
        <v>13.4</v>
      </c>
    </row>
    <row r="8" spans="1:22" x14ac:dyDescent="0.25">
      <c r="A8" s="6">
        <v>2000</v>
      </c>
      <c r="B8" s="17">
        <v>13</v>
      </c>
      <c r="C8" s="17">
        <v>13</v>
      </c>
      <c r="D8" s="17">
        <v>13</v>
      </c>
      <c r="E8" s="17">
        <v>13</v>
      </c>
      <c r="F8" s="17">
        <v>13</v>
      </c>
      <c r="G8" s="17">
        <v>13.4</v>
      </c>
      <c r="H8" s="17">
        <v>13.4</v>
      </c>
      <c r="I8" s="17">
        <v>13.4</v>
      </c>
      <c r="J8" s="17">
        <v>13.4</v>
      </c>
      <c r="K8" s="17">
        <v>13.4</v>
      </c>
      <c r="L8" s="17">
        <v>13.4</v>
      </c>
      <c r="M8" s="17">
        <v>13.4</v>
      </c>
      <c r="N8" s="17">
        <v>13.4</v>
      </c>
      <c r="O8" s="17">
        <v>13.4</v>
      </c>
      <c r="P8" s="17">
        <v>13.4</v>
      </c>
      <c r="Q8" s="17">
        <v>13.4</v>
      </c>
      <c r="R8" s="17">
        <v>13.4</v>
      </c>
      <c r="S8" s="17">
        <v>13.4</v>
      </c>
      <c r="T8" s="17">
        <v>13.4</v>
      </c>
      <c r="U8" s="17">
        <v>13.4</v>
      </c>
      <c r="V8" s="17">
        <v>13.4</v>
      </c>
    </row>
    <row r="9" spans="1:22" x14ac:dyDescent="0.25">
      <c r="A9" s="6">
        <v>2200</v>
      </c>
      <c r="B9" s="17">
        <v>13.4</v>
      </c>
      <c r="C9" s="17">
        <v>13.4</v>
      </c>
      <c r="D9" s="17">
        <v>13.4</v>
      </c>
      <c r="E9" s="17">
        <v>13.4</v>
      </c>
      <c r="F9" s="17">
        <v>13.4</v>
      </c>
      <c r="G9" s="17">
        <v>13.4</v>
      </c>
      <c r="H9" s="17">
        <v>13.4</v>
      </c>
      <c r="I9" s="17">
        <v>13.4</v>
      </c>
      <c r="J9" s="17">
        <v>13.4</v>
      </c>
      <c r="K9" s="17">
        <v>13.4</v>
      </c>
      <c r="L9" s="17">
        <v>13.4</v>
      </c>
      <c r="M9" s="17">
        <v>13.4</v>
      </c>
      <c r="N9" s="17">
        <v>13.4</v>
      </c>
      <c r="O9" s="17">
        <v>13.4</v>
      </c>
      <c r="P9" s="17">
        <v>13.4</v>
      </c>
      <c r="Q9" s="17">
        <v>13.4</v>
      </c>
      <c r="R9" s="17">
        <v>13.4</v>
      </c>
      <c r="S9" s="17">
        <v>13.4</v>
      </c>
      <c r="T9" s="17">
        <v>13.4</v>
      </c>
      <c r="U9" s="17">
        <v>13.4</v>
      </c>
      <c r="V9" s="17">
        <v>13.4</v>
      </c>
    </row>
    <row r="10" spans="1:22" x14ac:dyDescent="0.25">
      <c r="A10" s="6">
        <v>2400</v>
      </c>
      <c r="B10" s="17">
        <v>13.4</v>
      </c>
      <c r="C10" s="17">
        <v>13.4</v>
      </c>
      <c r="D10" s="17">
        <v>13.4</v>
      </c>
      <c r="E10" s="17">
        <v>13.4</v>
      </c>
      <c r="F10" s="17">
        <v>13.4</v>
      </c>
      <c r="G10" s="17">
        <v>13.4</v>
      </c>
      <c r="H10" s="17">
        <v>13.4</v>
      </c>
      <c r="I10" s="17">
        <v>13.4</v>
      </c>
      <c r="J10" s="17">
        <v>13.4</v>
      </c>
      <c r="K10" s="17">
        <v>13.4</v>
      </c>
      <c r="L10" s="17">
        <v>13.4</v>
      </c>
      <c r="M10" s="17">
        <v>13.4</v>
      </c>
      <c r="N10" s="17">
        <v>13.4</v>
      </c>
      <c r="O10" s="17">
        <v>13.4</v>
      </c>
      <c r="P10" s="17">
        <v>13.4</v>
      </c>
      <c r="Q10" s="17">
        <v>13.4</v>
      </c>
      <c r="R10" s="17">
        <v>13.4</v>
      </c>
      <c r="S10" s="17">
        <v>13.4</v>
      </c>
      <c r="T10" s="17">
        <v>13.4</v>
      </c>
      <c r="U10" s="17">
        <v>13.4</v>
      </c>
      <c r="V10" s="17">
        <v>13.4</v>
      </c>
    </row>
    <row r="11" spans="1:22" x14ac:dyDescent="0.25">
      <c r="A11" s="6">
        <v>2600</v>
      </c>
      <c r="B11" s="17">
        <v>13.4</v>
      </c>
      <c r="C11" s="17">
        <v>13.4</v>
      </c>
      <c r="D11" s="17">
        <v>13.4</v>
      </c>
      <c r="E11" s="17">
        <v>13.4</v>
      </c>
      <c r="F11" s="17">
        <v>13.4</v>
      </c>
      <c r="G11" s="17">
        <v>13.4</v>
      </c>
      <c r="H11" s="17">
        <v>13.4</v>
      </c>
      <c r="I11" s="17">
        <v>13.4</v>
      </c>
      <c r="J11" s="17">
        <v>13.4</v>
      </c>
      <c r="K11" s="17">
        <v>13.4</v>
      </c>
      <c r="L11" s="17">
        <v>13.4</v>
      </c>
      <c r="M11" s="17">
        <v>13.4</v>
      </c>
      <c r="N11" s="17">
        <v>13.4</v>
      </c>
      <c r="O11" s="17">
        <v>13.4</v>
      </c>
      <c r="P11" s="17">
        <v>13.4</v>
      </c>
      <c r="Q11" s="17">
        <v>13.4</v>
      </c>
      <c r="R11" s="17">
        <v>13.4</v>
      </c>
      <c r="S11" s="17">
        <v>13.4</v>
      </c>
      <c r="T11" s="17">
        <v>13.4</v>
      </c>
      <c r="U11" s="17">
        <v>13.4</v>
      </c>
      <c r="V11" s="17">
        <v>13.4</v>
      </c>
    </row>
    <row r="12" spans="1:22" x14ac:dyDescent="0.25">
      <c r="A12" s="6">
        <v>2800</v>
      </c>
      <c r="B12" s="17">
        <v>13.4</v>
      </c>
      <c r="C12" s="17">
        <v>13.4</v>
      </c>
      <c r="D12" s="17">
        <v>13.4</v>
      </c>
      <c r="E12" s="17">
        <v>13.4</v>
      </c>
      <c r="F12" s="17">
        <v>13.4</v>
      </c>
      <c r="G12" s="17">
        <v>13.4</v>
      </c>
      <c r="H12" s="17">
        <v>13.4</v>
      </c>
      <c r="I12" s="17">
        <v>13.4</v>
      </c>
      <c r="J12" s="17">
        <v>13.4</v>
      </c>
      <c r="K12" s="17">
        <v>13.4</v>
      </c>
      <c r="L12" s="17">
        <v>13.4</v>
      </c>
      <c r="M12" s="17">
        <v>13.4</v>
      </c>
      <c r="N12" s="17">
        <v>13.4</v>
      </c>
      <c r="O12" s="17">
        <v>13.4</v>
      </c>
      <c r="P12" s="17">
        <v>13.4</v>
      </c>
      <c r="Q12" s="17">
        <v>13.4</v>
      </c>
      <c r="R12" s="17">
        <v>13.4</v>
      </c>
      <c r="S12" s="17">
        <v>13.4</v>
      </c>
      <c r="T12" s="17">
        <v>13.4</v>
      </c>
      <c r="U12" s="17">
        <v>13.4</v>
      </c>
      <c r="V12" s="17">
        <v>13.4</v>
      </c>
    </row>
    <row r="13" spans="1:22" x14ac:dyDescent="0.25">
      <c r="A13" s="6">
        <v>3000</v>
      </c>
      <c r="B13" s="17">
        <v>13.4</v>
      </c>
      <c r="C13" s="17">
        <v>13.4</v>
      </c>
      <c r="D13" s="17">
        <v>13.4</v>
      </c>
      <c r="E13" s="17">
        <v>13.4</v>
      </c>
      <c r="F13" s="17">
        <v>13.4</v>
      </c>
      <c r="G13" s="17">
        <v>13.4</v>
      </c>
      <c r="H13" s="17">
        <v>13.4</v>
      </c>
      <c r="I13" s="17">
        <v>13.4</v>
      </c>
      <c r="J13" s="17">
        <v>13.4</v>
      </c>
      <c r="K13" s="17">
        <v>13.4</v>
      </c>
      <c r="L13" s="17">
        <v>13.4</v>
      </c>
      <c r="M13" s="17">
        <v>13.4</v>
      </c>
      <c r="N13" s="17">
        <v>13.4</v>
      </c>
      <c r="O13" s="17">
        <v>13.4</v>
      </c>
      <c r="P13" s="17">
        <v>13.4</v>
      </c>
      <c r="Q13" s="17">
        <v>13.4</v>
      </c>
      <c r="R13" s="17">
        <v>13.4</v>
      </c>
      <c r="S13" s="17">
        <v>13.4</v>
      </c>
      <c r="T13" s="17">
        <v>13.4</v>
      </c>
      <c r="U13" s="17">
        <v>13.4</v>
      </c>
      <c r="V13" s="17">
        <v>13.4</v>
      </c>
    </row>
    <row r="14" spans="1:22" x14ac:dyDescent="0.25">
      <c r="A14" s="6">
        <v>3200</v>
      </c>
      <c r="B14" s="17">
        <v>13.4</v>
      </c>
      <c r="C14" s="17">
        <v>13.4</v>
      </c>
      <c r="D14" s="17">
        <v>13.4</v>
      </c>
      <c r="E14" s="17">
        <v>13.4</v>
      </c>
      <c r="F14" s="17">
        <v>13.4</v>
      </c>
      <c r="G14" s="17">
        <v>13.4</v>
      </c>
      <c r="H14" s="17">
        <v>13.4</v>
      </c>
      <c r="I14" s="17">
        <v>13.4</v>
      </c>
      <c r="J14" s="17">
        <v>13.4</v>
      </c>
      <c r="K14" s="17">
        <v>13.4</v>
      </c>
      <c r="L14" s="17">
        <v>13.4</v>
      </c>
      <c r="M14" s="17">
        <v>13.4</v>
      </c>
      <c r="N14" s="17">
        <v>13.4</v>
      </c>
      <c r="O14" s="17">
        <v>13.4</v>
      </c>
      <c r="P14" s="17">
        <v>13.4</v>
      </c>
      <c r="Q14" s="17">
        <v>13.4</v>
      </c>
      <c r="R14" s="17">
        <v>13.4</v>
      </c>
      <c r="S14" s="17">
        <v>13.4</v>
      </c>
      <c r="T14" s="17">
        <v>13.4</v>
      </c>
      <c r="U14" s="17">
        <v>13.4</v>
      </c>
      <c r="V14" s="17">
        <v>13.4</v>
      </c>
    </row>
    <row r="15" spans="1:22" x14ac:dyDescent="0.25">
      <c r="A15" s="6">
        <v>3400</v>
      </c>
      <c r="B15" s="17">
        <v>13.4</v>
      </c>
      <c r="C15" s="17">
        <v>13.4</v>
      </c>
      <c r="D15" s="17">
        <v>13.4</v>
      </c>
      <c r="E15" s="17">
        <v>13.4</v>
      </c>
      <c r="F15" s="17">
        <v>13.4</v>
      </c>
      <c r="G15" s="17">
        <v>13.4</v>
      </c>
      <c r="H15" s="17">
        <v>13.4</v>
      </c>
      <c r="I15" s="17">
        <v>13.4</v>
      </c>
      <c r="J15" s="17">
        <v>13.4</v>
      </c>
      <c r="K15" s="17">
        <v>13.4</v>
      </c>
      <c r="L15" s="17">
        <v>13.4</v>
      </c>
      <c r="M15" s="17">
        <v>13.4</v>
      </c>
      <c r="N15" s="17">
        <v>13.4</v>
      </c>
      <c r="O15" s="17">
        <v>13.4</v>
      </c>
      <c r="P15" s="17">
        <v>13.4</v>
      </c>
      <c r="Q15" s="17">
        <v>13.4</v>
      </c>
      <c r="R15" s="17">
        <v>13.4</v>
      </c>
      <c r="S15" s="17">
        <v>13.4</v>
      </c>
      <c r="T15" s="17">
        <v>13.4</v>
      </c>
      <c r="U15" s="17">
        <v>13.4</v>
      </c>
      <c r="V15" s="17">
        <v>13.4</v>
      </c>
    </row>
    <row r="16" spans="1:22" x14ac:dyDescent="0.25">
      <c r="A16" s="6">
        <v>3600</v>
      </c>
      <c r="B16" s="17">
        <v>13.4</v>
      </c>
      <c r="C16" s="17">
        <v>13.4</v>
      </c>
      <c r="D16" s="17">
        <v>13.4</v>
      </c>
      <c r="E16" s="17">
        <v>13.4</v>
      </c>
      <c r="F16" s="17">
        <v>13.4</v>
      </c>
      <c r="G16" s="17">
        <v>13.4</v>
      </c>
      <c r="H16" s="17">
        <v>13.4</v>
      </c>
      <c r="I16" s="17">
        <v>13.4</v>
      </c>
      <c r="J16" s="17">
        <v>13.4</v>
      </c>
      <c r="K16" s="17">
        <v>13.4</v>
      </c>
      <c r="L16" s="17">
        <v>13.4</v>
      </c>
      <c r="M16" s="17">
        <v>13.4</v>
      </c>
      <c r="N16" s="17">
        <v>13.4</v>
      </c>
      <c r="O16" s="17">
        <v>13.4</v>
      </c>
      <c r="P16" s="17">
        <v>13.4</v>
      </c>
      <c r="Q16" s="17">
        <v>13.4</v>
      </c>
      <c r="R16" s="17">
        <v>13.4</v>
      </c>
      <c r="S16" s="17">
        <v>13.4</v>
      </c>
      <c r="T16" s="17">
        <v>13.4</v>
      </c>
      <c r="U16" s="17">
        <v>13.4</v>
      </c>
      <c r="V16" s="17">
        <v>13.4</v>
      </c>
    </row>
    <row r="17" spans="1:22" x14ac:dyDescent="0.25">
      <c r="A17" s="6">
        <v>3800</v>
      </c>
      <c r="B17" s="17">
        <v>13.5</v>
      </c>
      <c r="C17" s="17">
        <v>13.5</v>
      </c>
      <c r="D17" s="17">
        <v>13.5</v>
      </c>
      <c r="E17" s="17">
        <v>13.5</v>
      </c>
      <c r="F17" s="17">
        <v>13.5</v>
      </c>
      <c r="G17" s="17">
        <v>13.5</v>
      </c>
      <c r="H17" s="17">
        <v>13.5</v>
      </c>
      <c r="I17" s="17">
        <v>13.5</v>
      </c>
      <c r="J17" s="17">
        <v>13.5</v>
      </c>
      <c r="K17" s="17">
        <v>13.5</v>
      </c>
      <c r="L17" s="17">
        <v>13.5</v>
      </c>
      <c r="M17" s="17">
        <v>13.5</v>
      </c>
      <c r="N17" s="17">
        <v>13.5</v>
      </c>
      <c r="O17" s="17">
        <v>13.5</v>
      </c>
      <c r="P17" s="17">
        <v>13.5</v>
      </c>
      <c r="Q17" s="17">
        <v>13.5</v>
      </c>
      <c r="R17" s="17">
        <v>13.5</v>
      </c>
      <c r="S17" s="17">
        <v>13.5</v>
      </c>
      <c r="T17" s="17">
        <v>13.4</v>
      </c>
      <c r="U17" s="17">
        <v>13.2</v>
      </c>
      <c r="V17" s="17">
        <v>13.2</v>
      </c>
    </row>
    <row r="18" spans="1:22" x14ac:dyDescent="0.25">
      <c r="A18" s="6">
        <v>4000</v>
      </c>
      <c r="B18" s="17">
        <v>13.5</v>
      </c>
      <c r="C18" s="17">
        <v>13.5</v>
      </c>
      <c r="D18" s="17">
        <v>13.5</v>
      </c>
      <c r="E18" s="17">
        <v>13.5</v>
      </c>
      <c r="F18" s="17">
        <v>13.5</v>
      </c>
      <c r="G18" s="17">
        <v>13.5</v>
      </c>
      <c r="H18" s="17">
        <v>13.5</v>
      </c>
      <c r="I18" s="17">
        <v>13.5</v>
      </c>
      <c r="J18" s="17">
        <v>13.5</v>
      </c>
      <c r="K18" s="17">
        <v>13.5</v>
      </c>
      <c r="L18" s="17">
        <v>13.5</v>
      </c>
      <c r="M18" s="17">
        <v>13.5</v>
      </c>
      <c r="N18" s="17">
        <v>13.5</v>
      </c>
      <c r="O18" s="17">
        <v>13.5</v>
      </c>
      <c r="P18" s="17">
        <v>13.5</v>
      </c>
      <c r="Q18" s="17">
        <v>13.5</v>
      </c>
      <c r="R18" s="17">
        <v>13.5</v>
      </c>
      <c r="S18" s="17">
        <v>13.5</v>
      </c>
      <c r="T18" s="17">
        <v>13.4</v>
      </c>
      <c r="U18" s="17">
        <v>13.2</v>
      </c>
      <c r="V18" s="17">
        <v>13.2</v>
      </c>
    </row>
    <row r="19" spans="1:22" x14ac:dyDescent="0.25">
      <c r="A19" s="6">
        <v>4200</v>
      </c>
      <c r="B19" s="17">
        <v>13.4</v>
      </c>
      <c r="C19" s="17">
        <v>13.4</v>
      </c>
      <c r="D19" s="17">
        <v>13.4</v>
      </c>
      <c r="E19" s="17">
        <v>13.5</v>
      </c>
      <c r="F19" s="17">
        <v>13.5</v>
      </c>
      <c r="G19" s="17">
        <v>13.5</v>
      </c>
      <c r="H19" s="17">
        <v>13.5</v>
      </c>
      <c r="I19" s="17">
        <v>13.6</v>
      </c>
      <c r="J19" s="17">
        <v>13.6</v>
      </c>
      <c r="K19" s="17">
        <v>13.6</v>
      </c>
      <c r="L19" s="17">
        <v>13.6</v>
      </c>
      <c r="M19" s="17">
        <v>13.6</v>
      </c>
      <c r="N19" s="17">
        <v>13.6</v>
      </c>
      <c r="O19" s="17">
        <v>13.6</v>
      </c>
      <c r="P19" s="17">
        <v>13.5</v>
      </c>
      <c r="Q19" s="17">
        <v>13.5</v>
      </c>
      <c r="R19" s="17">
        <v>13.5</v>
      </c>
      <c r="S19" s="17">
        <v>13.5</v>
      </c>
      <c r="T19" s="17">
        <v>13.4</v>
      </c>
      <c r="U19" s="17">
        <v>13.2</v>
      </c>
      <c r="V19" s="17">
        <v>13.2</v>
      </c>
    </row>
    <row r="20" spans="1:22" x14ac:dyDescent="0.25">
      <c r="A20" s="6">
        <v>4400</v>
      </c>
      <c r="B20" s="17">
        <v>13.4</v>
      </c>
      <c r="C20" s="17">
        <v>13.4</v>
      </c>
      <c r="D20" s="17">
        <v>13.4</v>
      </c>
      <c r="E20" s="17">
        <v>13.5</v>
      </c>
      <c r="F20" s="17">
        <v>13.5</v>
      </c>
      <c r="G20" s="17">
        <v>13.5</v>
      </c>
      <c r="H20" s="17">
        <v>13.5</v>
      </c>
      <c r="I20" s="17">
        <v>13.6</v>
      </c>
      <c r="J20" s="17">
        <v>13.6</v>
      </c>
      <c r="K20" s="17">
        <v>13.6</v>
      </c>
      <c r="L20" s="17">
        <v>13.6</v>
      </c>
      <c r="M20" s="17">
        <v>13.6</v>
      </c>
      <c r="N20" s="17">
        <v>13.6</v>
      </c>
      <c r="O20" s="17">
        <v>13.6</v>
      </c>
      <c r="P20" s="17">
        <v>13.5</v>
      </c>
      <c r="Q20" s="17">
        <v>13.5</v>
      </c>
      <c r="R20" s="17">
        <v>13.5</v>
      </c>
      <c r="S20" s="17">
        <v>13.4</v>
      </c>
      <c r="T20" s="17">
        <v>13.2</v>
      </c>
      <c r="U20" s="17">
        <v>13.2</v>
      </c>
      <c r="V20" s="17">
        <v>13.2</v>
      </c>
    </row>
    <row r="21" spans="1:22" x14ac:dyDescent="0.25">
      <c r="A21" s="6">
        <v>4600</v>
      </c>
      <c r="B21" s="17">
        <v>13.2</v>
      </c>
      <c r="C21" s="17">
        <v>13.4</v>
      </c>
      <c r="D21" s="17">
        <v>13.4</v>
      </c>
      <c r="E21" s="17">
        <v>13.5</v>
      </c>
      <c r="F21" s="17">
        <v>13.5</v>
      </c>
      <c r="G21" s="17">
        <v>13.5</v>
      </c>
      <c r="H21" s="17">
        <v>13.5</v>
      </c>
      <c r="I21" s="17">
        <v>13.6</v>
      </c>
      <c r="J21" s="17">
        <v>13.6</v>
      </c>
      <c r="K21" s="17">
        <v>13.6</v>
      </c>
      <c r="L21" s="17">
        <v>13.6</v>
      </c>
      <c r="M21" s="17">
        <v>13.6</v>
      </c>
      <c r="N21" s="17">
        <v>13.6</v>
      </c>
      <c r="O21" s="17">
        <v>13.6</v>
      </c>
      <c r="P21" s="17">
        <v>13.5</v>
      </c>
      <c r="Q21" s="17">
        <v>13.5</v>
      </c>
      <c r="R21" s="17">
        <v>13.5</v>
      </c>
      <c r="S21" s="17">
        <v>13.4</v>
      </c>
      <c r="T21" s="17">
        <v>13.2</v>
      </c>
      <c r="U21" s="17">
        <v>13.2</v>
      </c>
      <c r="V21" s="17">
        <v>13.2</v>
      </c>
    </row>
    <row r="22" spans="1:22" x14ac:dyDescent="0.25">
      <c r="A22" s="6">
        <v>4800</v>
      </c>
      <c r="B22" s="17">
        <v>13.2</v>
      </c>
      <c r="C22" s="17">
        <v>13.2</v>
      </c>
      <c r="D22" s="17">
        <v>13.4</v>
      </c>
      <c r="E22" s="17">
        <v>13.5</v>
      </c>
      <c r="F22" s="17">
        <v>13.5</v>
      </c>
      <c r="G22" s="17">
        <v>13.5</v>
      </c>
      <c r="H22" s="17">
        <v>13.5</v>
      </c>
      <c r="I22" s="17">
        <v>13.6</v>
      </c>
      <c r="J22" s="17">
        <v>13.6</v>
      </c>
      <c r="K22" s="17">
        <v>13.6</v>
      </c>
      <c r="L22" s="17">
        <v>13.6</v>
      </c>
      <c r="M22" s="17">
        <v>13.6</v>
      </c>
      <c r="N22" s="17">
        <v>13.6</v>
      </c>
      <c r="O22" s="17">
        <v>13.6</v>
      </c>
      <c r="P22" s="17">
        <v>13.5</v>
      </c>
      <c r="Q22" s="17">
        <v>13.5</v>
      </c>
      <c r="R22" s="17">
        <v>13.5</v>
      </c>
      <c r="S22" s="17">
        <v>13.4</v>
      </c>
      <c r="T22" s="17">
        <v>13.2</v>
      </c>
      <c r="U22" s="17">
        <v>13.2</v>
      </c>
      <c r="V22" s="17">
        <v>13.2</v>
      </c>
    </row>
    <row r="23" spans="1:22" x14ac:dyDescent="0.25">
      <c r="A23" s="6">
        <v>5000</v>
      </c>
      <c r="B23" s="17">
        <v>13.2</v>
      </c>
      <c r="C23" s="17">
        <v>13.2</v>
      </c>
      <c r="D23" s="17">
        <v>13.4</v>
      </c>
      <c r="E23" s="17">
        <v>13.5</v>
      </c>
      <c r="F23" s="17">
        <v>13.5</v>
      </c>
      <c r="G23" s="17">
        <v>13.5</v>
      </c>
      <c r="H23" s="17">
        <v>13.5</v>
      </c>
      <c r="I23" s="17">
        <v>13.6</v>
      </c>
      <c r="J23" s="17">
        <v>13.6</v>
      </c>
      <c r="K23" s="17">
        <v>13.6</v>
      </c>
      <c r="L23" s="17">
        <v>13.6</v>
      </c>
      <c r="M23" s="17">
        <v>13.6</v>
      </c>
      <c r="N23" s="17">
        <v>13.6</v>
      </c>
      <c r="O23" s="17">
        <v>13.6</v>
      </c>
      <c r="P23" s="17">
        <v>13.5</v>
      </c>
      <c r="Q23" s="17">
        <v>13.5</v>
      </c>
      <c r="R23" s="17">
        <v>13.5</v>
      </c>
      <c r="S23" s="17">
        <v>13.4</v>
      </c>
      <c r="T23" s="17">
        <v>13.2</v>
      </c>
      <c r="U23" s="17">
        <v>13.2</v>
      </c>
      <c r="V23" s="17">
        <v>13.2</v>
      </c>
    </row>
    <row r="24" spans="1:22" x14ac:dyDescent="0.25">
      <c r="A24" s="6">
        <v>5200</v>
      </c>
      <c r="B24" s="17">
        <v>13.2</v>
      </c>
      <c r="C24" s="17">
        <v>13.2</v>
      </c>
      <c r="D24" s="17">
        <v>13.4</v>
      </c>
      <c r="E24" s="17">
        <v>13.4</v>
      </c>
      <c r="F24" s="17">
        <v>13.5</v>
      </c>
      <c r="G24" s="17">
        <v>13.5</v>
      </c>
      <c r="H24" s="17">
        <v>13.5</v>
      </c>
      <c r="I24" s="17">
        <v>13.6</v>
      </c>
      <c r="J24" s="17">
        <v>13.6</v>
      </c>
      <c r="K24" s="17">
        <v>13.6</v>
      </c>
      <c r="L24" s="17">
        <v>13.6</v>
      </c>
      <c r="M24" s="17">
        <v>13.6</v>
      </c>
      <c r="N24" s="17">
        <v>13.6</v>
      </c>
      <c r="O24" s="17">
        <v>13.6</v>
      </c>
      <c r="P24" s="17">
        <v>13.5</v>
      </c>
      <c r="Q24" s="17">
        <v>13.5</v>
      </c>
      <c r="R24" s="17">
        <v>13.5</v>
      </c>
      <c r="S24" s="17">
        <v>13.4</v>
      </c>
      <c r="T24" s="17">
        <v>13.2</v>
      </c>
      <c r="U24" s="17">
        <v>13.2</v>
      </c>
      <c r="V24" s="17">
        <v>13.2</v>
      </c>
    </row>
    <row r="25" spans="1:22" x14ac:dyDescent="0.25">
      <c r="A25" s="6">
        <v>5600</v>
      </c>
      <c r="B25" s="17">
        <v>13.2</v>
      </c>
      <c r="C25" s="17">
        <v>13.2</v>
      </c>
      <c r="D25" s="17">
        <v>13.2</v>
      </c>
      <c r="E25" s="17">
        <v>13.4</v>
      </c>
      <c r="F25" s="17">
        <v>13.4</v>
      </c>
      <c r="G25" s="17">
        <v>13.4</v>
      </c>
      <c r="H25" s="17">
        <v>13.4</v>
      </c>
      <c r="I25" s="17">
        <v>13.4</v>
      </c>
      <c r="J25" s="17">
        <v>13.4</v>
      </c>
      <c r="K25" s="17">
        <v>13.4</v>
      </c>
      <c r="L25" s="17">
        <v>13.5</v>
      </c>
      <c r="M25" s="17">
        <v>13.5</v>
      </c>
      <c r="N25" s="17">
        <v>13.5</v>
      </c>
      <c r="O25" s="17">
        <v>13.5</v>
      </c>
      <c r="P25" s="17">
        <v>13.4</v>
      </c>
      <c r="Q25" s="17">
        <v>13.4</v>
      </c>
      <c r="R25" s="17">
        <v>13.4</v>
      </c>
      <c r="S25" s="17">
        <v>13.4</v>
      </c>
      <c r="T25" s="17">
        <v>13.2</v>
      </c>
      <c r="U25" s="17">
        <v>13.2</v>
      </c>
      <c r="V25" s="17">
        <v>13.2</v>
      </c>
    </row>
    <row r="26" spans="1:22" x14ac:dyDescent="0.25">
      <c r="A26" s="6">
        <v>6000</v>
      </c>
      <c r="B26" s="17">
        <v>13.2</v>
      </c>
      <c r="C26" s="17">
        <v>13.2</v>
      </c>
      <c r="D26" s="17">
        <v>13.2</v>
      </c>
      <c r="E26" s="17">
        <v>13.2</v>
      </c>
      <c r="F26" s="17">
        <v>13.2</v>
      </c>
      <c r="G26" s="17">
        <v>13.2</v>
      </c>
      <c r="H26" s="17">
        <v>13.2</v>
      </c>
      <c r="I26" s="17">
        <v>13.2</v>
      </c>
      <c r="J26" s="17">
        <v>13.2</v>
      </c>
      <c r="K26" s="17">
        <v>13.4</v>
      </c>
      <c r="L26" s="17">
        <v>13.4</v>
      </c>
      <c r="M26" s="17">
        <v>13.4</v>
      </c>
      <c r="N26" s="17">
        <v>13.4</v>
      </c>
      <c r="O26" s="17">
        <v>13.4</v>
      </c>
      <c r="P26" s="17">
        <v>13.4</v>
      </c>
      <c r="Q26" s="17">
        <v>13.2</v>
      </c>
      <c r="R26" s="17">
        <v>13.2</v>
      </c>
      <c r="S26" s="17">
        <v>13.2</v>
      </c>
      <c r="T26" s="17">
        <v>13.2</v>
      </c>
      <c r="U26" s="17">
        <v>13.2</v>
      </c>
      <c r="V26" s="17">
        <v>13.2</v>
      </c>
    </row>
    <row r="27" spans="1:22" x14ac:dyDescent="0.25">
      <c r="A27" s="6">
        <v>6400</v>
      </c>
      <c r="B27" s="17">
        <v>13.2</v>
      </c>
      <c r="C27" s="17">
        <v>13.2</v>
      </c>
      <c r="D27" s="17">
        <v>13.2</v>
      </c>
      <c r="E27" s="17">
        <v>13.2</v>
      </c>
      <c r="F27" s="17">
        <v>13.2</v>
      </c>
      <c r="G27" s="17">
        <v>13.2</v>
      </c>
      <c r="H27" s="17">
        <v>13.2</v>
      </c>
      <c r="I27" s="17">
        <v>13.2</v>
      </c>
      <c r="J27" s="17">
        <v>13.2</v>
      </c>
      <c r="K27" s="17">
        <v>13.2</v>
      </c>
      <c r="L27" s="17">
        <v>13.2</v>
      </c>
      <c r="M27" s="17">
        <v>13.2</v>
      </c>
      <c r="N27" s="17">
        <v>13.2</v>
      </c>
      <c r="O27" s="17">
        <v>13.2</v>
      </c>
      <c r="P27" s="17">
        <v>13.2</v>
      </c>
      <c r="Q27" s="17">
        <v>13.2</v>
      </c>
      <c r="R27" s="17">
        <v>13.2</v>
      </c>
      <c r="S27" s="17">
        <v>13.2</v>
      </c>
      <c r="T27" s="17">
        <v>13.2</v>
      </c>
      <c r="U27" s="17">
        <v>13.2</v>
      </c>
      <c r="V27" s="17">
        <v>13.2</v>
      </c>
    </row>
    <row r="28" spans="1:22" x14ac:dyDescent="0.25">
      <c r="A28" s="6">
        <v>6800</v>
      </c>
      <c r="B28" s="17">
        <v>13.2</v>
      </c>
      <c r="C28" s="17">
        <v>13.2</v>
      </c>
      <c r="D28" s="17">
        <v>13.2</v>
      </c>
      <c r="E28" s="17">
        <v>13.2</v>
      </c>
      <c r="F28" s="17">
        <v>13.2</v>
      </c>
      <c r="G28" s="17">
        <v>13.2</v>
      </c>
      <c r="H28" s="17">
        <v>13.2</v>
      </c>
      <c r="I28" s="17">
        <v>13.2</v>
      </c>
      <c r="J28" s="17">
        <v>13.2</v>
      </c>
      <c r="K28" s="17">
        <v>13.2</v>
      </c>
      <c r="L28" s="17">
        <v>13.2</v>
      </c>
      <c r="M28" s="17">
        <v>13.2</v>
      </c>
      <c r="N28" s="17">
        <v>13.2</v>
      </c>
      <c r="O28" s="17">
        <v>13.2</v>
      </c>
      <c r="P28" s="17">
        <v>13.2</v>
      </c>
      <c r="Q28" s="17">
        <v>13.2</v>
      </c>
      <c r="R28" s="17">
        <v>13.2</v>
      </c>
      <c r="S28" s="17">
        <v>13.2</v>
      </c>
      <c r="T28" s="17">
        <v>13.2</v>
      </c>
      <c r="U28" s="17">
        <v>13.2</v>
      </c>
      <c r="V28" s="17">
        <v>13.2</v>
      </c>
    </row>
    <row r="29" spans="1:22" x14ac:dyDescent="0.25">
      <c r="A29" s="6">
        <v>7200</v>
      </c>
      <c r="B29" s="17">
        <v>13.2</v>
      </c>
      <c r="C29" s="17">
        <v>13.2</v>
      </c>
      <c r="D29" s="17">
        <v>13.2</v>
      </c>
      <c r="E29" s="17">
        <v>13.2</v>
      </c>
      <c r="F29" s="17">
        <v>13.2</v>
      </c>
      <c r="G29" s="17">
        <v>13.2</v>
      </c>
      <c r="H29" s="17">
        <v>13.2</v>
      </c>
      <c r="I29" s="17">
        <v>13.2</v>
      </c>
      <c r="J29" s="17">
        <v>13.2</v>
      </c>
      <c r="K29" s="17">
        <v>13.2</v>
      </c>
      <c r="L29" s="17">
        <v>13.2</v>
      </c>
      <c r="M29" s="17">
        <v>13.2</v>
      </c>
      <c r="N29" s="17">
        <v>13.2</v>
      </c>
      <c r="O29" s="17">
        <v>13.2</v>
      </c>
      <c r="P29" s="17">
        <v>13.2</v>
      </c>
      <c r="Q29" s="17">
        <v>13.2</v>
      </c>
      <c r="R29" s="17">
        <v>13.2</v>
      </c>
      <c r="S29" s="17">
        <v>13.2</v>
      </c>
      <c r="T29" s="17">
        <v>13.2</v>
      </c>
      <c r="U29" s="17">
        <v>13.2</v>
      </c>
      <c r="V29" s="17">
        <v>13.2</v>
      </c>
    </row>
    <row r="30" spans="1:22" x14ac:dyDescent="0.25">
      <c r="A30" s="6">
        <v>7600</v>
      </c>
      <c r="B30" s="17">
        <v>13.2</v>
      </c>
      <c r="C30" s="17">
        <v>13.2</v>
      </c>
      <c r="D30" s="17">
        <v>13.2</v>
      </c>
      <c r="E30" s="17">
        <v>13.2</v>
      </c>
      <c r="F30" s="17">
        <v>13.2</v>
      </c>
      <c r="G30" s="17">
        <v>13.2</v>
      </c>
      <c r="H30" s="17">
        <v>13.2</v>
      </c>
      <c r="I30" s="17">
        <v>13.2</v>
      </c>
      <c r="J30" s="17">
        <v>13.2</v>
      </c>
      <c r="K30" s="17">
        <v>13.2</v>
      </c>
      <c r="L30" s="17">
        <v>13.2</v>
      </c>
      <c r="M30" s="17">
        <v>13.2</v>
      </c>
      <c r="N30" s="17">
        <v>13.2</v>
      </c>
      <c r="O30" s="17">
        <v>13.2</v>
      </c>
      <c r="P30" s="17">
        <v>13.2</v>
      </c>
      <c r="Q30" s="17">
        <v>13.2</v>
      </c>
      <c r="R30" s="17">
        <v>13.2</v>
      </c>
      <c r="S30" s="17">
        <v>13.2</v>
      </c>
      <c r="T30" s="17">
        <v>13.2</v>
      </c>
      <c r="U30" s="17">
        <v>13.2</v>
      </c>
      <c r="V30" s="17">
        <v>13.2</v>
      </c>
    </row>
    <row r="31" spans="1:22" x14ac:dyDescent="0.25">
      <c r="A31" s="6">
        <v>8000</v>
      </c>
      <c r="B31" s="17">
        <v>13.2</v>
      </c>
      <c r="C31" s="17">
        <v>13.2</v>
      </c>
      <c r="D31" s="17">
        <v>13.2</v>
      </c>
      <c r="E31" s="17">
        <v>13.2</v>
      </c>
      <c r="F31" s="17">
        <v>13.2</v>
      </c>
      <c r="G31" s="17">
        <v>13.2</v>
      </c>
      <c r="H31" s="17">
        <v>13.2</v>
      </c>
      <c r="I31" s="17">
        <v>13.2</v>
      </c>
      <c r="J31" s="17">
        <v>13.2</v>
      </c>
      <c r="K31" s="17">
        <v>13.2</v>
      </c>
      <c r="L31" s="17">
        <v>13.2</v>
      </c>
      <c r="M31" s="17">
        <v>13.2</v>
      </c>
      <c r="N31" s="17">
        <v>13.2</v>
      </c>
      <c r="O31" s="17">
        <v>13.2</v>
      </c>
      <c r="P31" s="17">
        <v>13.2</v>
      </c>
      <c r="Q31" s="17">
        <v>13.2</v>
      </c>
      <c r="R31" s="17">
        <v>13.2</v>
      </c>
      <c r="S31" s="17">
        <v>13.2</v>
      </c>
      <c r="T31" s="17">
        <v>13.2</v>
      </c>
      <c r="U31" s="17">
        <v>13.2</v>
      </c>
      <c r="V31" s="17">
        <v>13.2</v>
      </c>
    </row>
    <row r="32" spans="1:22" x14ac:dyDescent="0.25">
      <c r="A32" s="6">
        <v>8400</v>
      </c>
      <c r="B32" s="17">
        <v>13.2</v>
      </c>
      <c r="C32" s="17">
        <v>13.2</v>
      </c>
      <c r="D32" s="17">
        <v>13.2</v>
      </c>
      <c r="E32" s="17">
        <v>13.2</v>
      </c>
      <c r="F32" s="17">
        <v>13.2</v>
      </c>
      <c r="G32" s="17">
        <v>13.2</v>
      </c>
      <c r="H32" s="17">
        <v>13.2</v>
      </c>
      <c r="I32" s="17">
        <v>13.2</v>
      </c>
      <c r="J32" s="17">
        <v>13.2</v>
      </c>
      <c r="K32" s="17">
        <v>13.2</v>
      </c>
      <c r="L32" s="17">
        <v>13.2</v>
      </c>
      <c r="M32" s="17">
        <v>13.2</v>
      </c>
      <c r="N32" s="17">
        <v>13.2</v>
      </c>
      <c r="O32" s="17">
        <v>13.2</v>
      </c>
      <c r="P32" s="17">
        <v>13.2</v>
      </c>
      <c r="Q32" s="17">
        <v>13.2</v>
      </c>
      <c r="R32" s="17">
        <v>13.2</v>
      </c>
      <c r="S32" s="17">
        <v>13.2</v>
      </c>
      <c r="T32" s="17">
        <v>13.2</v>
      </c>
      <c r="U32" s="17">
        <v>13.2</v>
      </c>
      <c r="V32" s="17">
        <v>13.2</v>
      </c>
    </row>
    <row r="33" spans="1:22" x14ac:dyDescent="0.25">
      <c r="A33" s="6">
        <v>8800</v>
      </c>
      <c r="B33" s="17">
        <v>13.2</v>
      </c>
      <c r="C33" s="17">
        <v>13.2</v>
      </c>
      <c r="D33" s="17">
        <v>13.2</v>
      </c>
      <c r="E33" s="17">
        <v>13.2</v>
      </c>
      <c r="F33" s="17">
        <v>13.2</v>
      </c>
      <c r="G33" s="17">
        <v>13.2</v>
      </c>
      <c r="H33" s="17">
        <v>13.2</v>
      </c>
      <c r="I33" s="17">
        <v>13.2</v>
      </c>
      <c r="J33" s="17">
        <v>13.2</v>
      </c>
      <c r="K33" s="17">
        <v>13.2</v>
      </c>
      <c r="L33" s="17">
        <v>13.2</v>
      </c>
      <c r="M33" s="17">
        <v>13.2</v>
      </c>
      <c r="N33" s="17">
        <v>13.2</v>
      </c>
      <c r="O33" s="17">
        <v>13.2</v>
      </c>
      <c r="P33" s="17">
        <v>13.2</v>
      </c>
      <c r="Q33" s="17">
        <v>13.2</v>
      </c>
      <c r="R33" s="17">
        <v>13.2</v>
      </c>
      <c r="S33" s="17">
        <v>13.2</v>
      </c>
      <c r="T33" s="17">
        <v>13.2</v>
      </c>
      <c r="U33" s="17">
        <v>13.2</v>
      </c>
      <c r="V33" s="17">
        <v>13.2</v>
      </c>
    </row>
    <row r="34" spans="1:22" x14ac:dyDescent="0.25">
      <c r="A34" s="6">
        <v>9200</v>
      </c>
      <c r="B34" s="17">
        <v>13.2</v>
      </c>
      <c r="C34" s="17">
        <v>13.2</v>
      </c>
      <c r="D34" s="17">
        <v>13.2</v>
      </c>
      <c r="E34" s="17">
        <v>13.2</v>
      </c>
      <c r="F34" s="17">
        <v>13.2</v>
      </c>
      <c r="G34" s="17">
        <v>13.2</v>
      </c>
      <c r="H34" s="17">
        <v>13.2</v>
      </c>
      <c r="I34" s="17">
        <v>13.2</v>
      </c>
      <c r="J34" s="17">
        <v>13.2</v>
      </c>
      <c r="K34" s="17">
        <v>13.2</v>
      </c>
      <c r="L34" s="17">
        <v>13.2</v>
      </c>
      <c r="M34" s="17">
        <v>13.2</v>
      </c>
      <c r="N34" s="17">
        <v>13.2</v>
      </c>
      <c r="O34" s="17">
        <v>13.2</v>
      </c>
      <c r="P34" s="17">
        <v>13.2</v>
      </c>
      <c r="Q34" s="17">
        <v>13.2</v>
      </c>
      <c r="R34" s="17">
        <v>13.2</v>
      </c>
      <c r="S34" s="17">
        <v>13.2</v>
      </c>
      <c r="T34" s="17">
        <v>13.2</v>
      </c>
      <c r="U34" s="17">
        <v>13.2</v>
      </c>
      <c r="V34" s="17">
        <v>13.2</v>
      </c>
    </row>
    <row r="35" spans="1:22" x14ac:dyDescent="0.25">
      <c r="A35" s="6">
        <v>9600</v>
      </c>
      <c r="B35" s="17">
        <v>13.2</v>
      </c>
      <c r="C35" s="17">
        <v>13.2</v>
      </c>
      <c r="D35" s="17">
        <v>13.2</v>
      </c>
      <c r="E35" s="17">
        <v>13.2</v>
      </c>
      <c r="F35" s="17">
        <v>13.2</v>
      </c>
      <c r="G35" s="17">
        <v>13.2</v>
      </c>
      <c r="H35" s="17">
        <v>13.2</v>
      </c>
      <c r="I35" s="17">
        <v>13.2</v>
      </c>
      <c r="J35" s="17">
        <v>13.2</v>
      </c>
      <c r="K35" s="17">
        <v>13.2</v>
      </c>
      <c r="L35" s="17">
        <v>13.2</v>
      </c>
      <c r="M35" s="17">
        <v>13.2</v>
      </c>
      <c r="N35" s="17">
        <v>13.2</v>
      </c>
      <c r="O35" s="17">
        <v>13.2</v>
      </c>
      <c r="P35" s="17">
        <v>13.2</v>
      </c>
      <c r="Q35" s="17">
        <v>13.2</v>
      </c>
      <c r="R35" s="17">
        <v>13.2</v>
      </c>
      <c r="S35" s="17">
        <v>13.2</v>
      </c>
      <c r="T35" s="17">
        <v>13.2</v>
      </c>
      <c r="U35" s="17">
        <v>13.2</v>
      </c>
      <c r="V35" s="17">
        <v>13.2</v>
      </c>
    </row>
    <row r="36" spans="1:22" x14ac:dyDescent="0.25">
      <c r="A36" s="6">
        <v>10000</v>
      </c>
      <c r="B36" s="17">
        <v>13.2</v>
      </c>
      <c r="C36" s="17">
        <v>13.2</v>
      </c>
      <c r="D36" s="17">
        <v>13.2</v>
      </c>
      <c r="E36" s="17">
        <v>13.2</v>
      </c>
      <c r="F36" s="17">
        <v>13.2</v>
      </c>
      <c r="G36" s="17">
        <v>13.2</v>
      </c>
      <c r="H36" s="17">
        <v>13.2</v>
      </c>
      <c r="I36" s="17">
        <v>13.2</v>
      </c>
      <c r="J36" s="17">
        <v>13.2</v>
      </c>
      <c r="K36" s="17">
        <v>13.2</v>
      </c>
      <c r="L36" s="17">
        <v>13.2</v>
      </c>
      <c r="M36" s="17">
        <v>13.2</v>
      </c>
      <c r="N36" s="17">
        <v>13.2</v>
      </c>
      <c r="O36" s="17">
        <v>13.2</v>
      </c>
      <c r="P36" s="17">
        <v>13.2</v>
      </c>
      <c r="Q36" s="17">
        <v>13.2</v>
      </c>
      <c r="R36" s="17">
        <v>13.2</v>
      </c>
      <c r="S36" s="17">
        <v>13.2</v>
      </c>
      <c r="T36" s="17">
        <v>13.2</v>
      </c>
      <c r="U36" s="17">
        <v>13.2</v>
      </c>
      <c r="V36" s="17">
        <v>13.2</v>
      </c>
    </row>
    <row r="37" spans="1:22" x14ac:dyDescent="0.25">
      <c r="A37" s="6">
        <v>10400</v>
      </c>
      <c r="B37" s="17">
        <v>13.2</v>
      </c>
      <c r="C37" s="17">
        <v>13.2</v>
      </c>
      <c r="D37" s="17">
        <v>13.2</v>
      </c>
      <c r="E37" s="17">
        <v>13.2</v>
      </c>
      <c r="F37" s="17">
        <v>13.2</v>
      </c>
      <c r="G37" s="17">
        <v>13.2</v>
      </c>
      <c r="H37" s="17">
        <v>13.2</v>
      </c>
      <c r="I37" s="17">
        <v>13.2</v>
      </c>
      <c r="J37" s="17">
        <v>13.2</v>
      </c>
      <c r="K37" s="17">
        <v>13.2</v>
      </c>
      <c r="L37" s="17">
        <v>13.2</v>
      </c>
      <c r="M37" s="17">
        <v>13.2</v>
      </c>
      <c r="N37" s="17">
        <v>13.2</v>
      </c>
      <c r="O37" s="17">
        <v>13.2</v>
      </c>
      <c r="P37" s="17">
        <v>13.2</v>
      </c>
      <c r="Q37" s="17">
        <v>13.2</v>
      </c>
      <c r="R37" s="17">
        <v>13.2</v>
      </c>
      <c r="S37" s="17">
        <v>13.2</v>
      </c>
      <c r="T37" s="17">
        <v>13.2</v>
      </c>
      <c r="U37" s="17">
        <v>13.2</v>
      </c>
      <c r="V37" s="17">
        <v>13.2</v>
      </c>
    </row>
    <row r="38" spans="1:22" x14ac:dyDescent="0.25">
      <c r="A38" s="6">
        <v>10800</v>
      </c>
      <c r="B38" s="17">
        <v>13.2</v>
      </c>
      <c r="C38" s="17">
        <v>13.2</v>
      </c>
      <c r="D38" s="17">
        <v>13.2</v>
      </c>
      <c r="E38" s="17">
        <v>13.2</v>
      </c>
      <c r="F38" s="17">
        <v>13.2</v>
      </c>
      <c r="G38" s="17">
        <v>13.2</v>
      </c>
      <c r="H38" s="17">
        <v>13.2</v>
      </c>
      <c r="I38" s="17">
        <v>13.2</v>
      </c>
      <c r="J38" s="17">
        <v>13.2</v>
      </c>
      <c r="K38" s="17">
        <v>13.2</v>
      </c>
      <c r="L38" s="17">
        <v>13.2</v>
      </c>
      <c r="M38" s="17">
        <v>13.2</v>
      </c>
      <c r="N38" s="17">
        <v>13.2</v>
      </c>
      <c r="O38" s="17">
        <v>13.2</v>
      </c>
      <c r="P38" s="17">
        <v>13.2</v>
      </c>
      <c r="Q38" s="17">
        <v>13.2</v>
      </c>
      <c r="R38" s="17">
        <v>13.2</v>
      </c>
      <c r="S38" s="17">
        <v>13.2</v>
      </c>
      <c r="T38" s="17">
        <v>13.2</v>
      </c>
      <c r="U38" s="17">
        <v>13.2</v>
      </c>
      <c r="V38" s="17">
        <v>13.2</v>
      </c>
    </row>
    <row r="39" spans="1:22" x14ac:dyDescent="0.25">
      <c r="A39" s="6">
        <v>11200</v>
      </c>
      <c r="B39" s="17">
        <v>13.2</v>
      </c>
      <c r="C39" s="17">
        <v>13.2</v>
      </c>
      <c r="D39" s="17">
        <v>13.2</v>
      </c>
      <c r="E39" s="17">
        <v>13.2</v>
      </c>
      <c r="F39" s="17">
        <v>13.2</v>
      </c>
      <c r="G39" s="17">
        <v>13.2</v>
      </c>
      <c r="H39" s="17">
        <v>13.2</v>
      </c>
      <c r="I39" s="17">
        <v>13.2</v>
      </c>
      <c r="J39" s="17">
        <v>13.2</v>
      </c>
      <c r="K39" s="17">
        <v>13.2</v>
      </c>
      <c r="L39" s="17">
        <v>13.2</v>
      </c>
      <c r="M39" s="17">
        <v>13.2</v>
      </c>
      <c r="N39" s="17">
        <v>13.2</v>
      </c>
      <c r="O39" s="17">
        <v>13.2</v>
      </c>
      <c r="P39" s="17">
        <v>13.2</v>
      </c>
      <c r="Q39" s="17">
        <v>13.2</v>
      </c>
      <c r="R39" s="17">
        <v>13.2</v>
      </c>
      <c r="S39" s="17">
        <v>13.2</v>
      </c>
      <c r="T39" s="17">
        <v>13.2</v>
      </c>
      <c r="U39" s="17">
        <v>13.2</v>
      </c>
      <c r="V39" s="17">
        <v>13.2</v>
      </c>
    </row>
    <row r="40" spans="1:22" x14ac:dyDescent="0.25">
      <c r="A40" s="6">
        <v>11600</v>
      </c>
      <c r="B40" s="17">
        <v>13.2</v>
      </c>
      <c r="C40" s="17">
        <v>13.2</v>
      </c>
      <c r="D40" s="17">
        <v>13.2</v>
      </c>
      <c r="E40" s="17">
        <v>13.2</v>
      </c>
      <c r="F40" s="17">
        <v>13.2</v>
      </c>
      <c r="G40" s="17">
        <v>13.2</v>
      </c>
      <c r="H40" s="17">
        <v>13.2</v>
      </c>
      <c r="I40" s="17">
        <v>13.2</v>
      </c>
      <c r="J40" s="17">
        <v>13.2</v>
      </c>
      <c r="K40" s="17">
        <v>13.2</v>
      </c>
      <c r="L40" s="17">
        <v>13.2</v>
      </c>
      <c r="M40" s="17">
        <v>13.2</v>
      </c>
      <c r="N40" s="17">
        <v>13.2</v>
      </c>
      <c r="O40" s="17">
        <v>13.2</v>
      </c>
      <c r="P40" s="17">
        <v>13.2</v>
      </c>
      <c r="Q40" s="17">
        <v>13.2</v>
      </c>
      <c r="R40" s="17">
        <v>13.2</v>
      </c>
      <c r="S40" s="17">
        <v>13.2</v>
      </c>
      <c r="T40" s="17">
        <v>13.2</v>
      </c>
      <c r="U40" s="17">
        <v>13.2</v>
      </c>
      <c r="V40" s="17">
        <v>13.2</v>
      </c>
    </row>
    <row r="41" spans="1:22" x14ac:dyDescent="0.25">
      <c r="A41" s="6">
        <v>12000</v>
      </c>
      <c r="B41" s="17">
        <v>13.2</v>
      </c>
      <c r="C41" s="17">
        <v>13.2</v>
      </c>
      <c r="D41" s="17">
        <v>13.2</v>
      </c>
      <c r="E41" s="17">
        <v>13.2</v>
      </c>
      <c r="F41" s="17">
        <v>13.2</v>
      </c>
      <c r="G41" s="17">
        <v>13.2</v>
      </c>
      <c r="H41" s="17">
        <v>13.2</v>
      </c>
      <c r="I41" s="17">
        <v>13.2</v>
      </c>
      <c r="J41" s="17">
        <v>13.2</v>
      </c>
      <c r="K41" s="17">
        <v>13.2</v>
      </c>
      <c r="L41" s="17">
        <v>13.2</v>
      </c>
      <c r="M41" s="17">
        <v>13.2</v>
      </c>
      <c r="N41" s="17">
        <v>13.2</v>
      </c>
      <c r="O41" s="17">
        <v>13.2</v>
      </c>
      <c r="P41" s="17">
        <v>13.2</v>
      </c>
      <c r="Q41" s="17">
        <v>13.2</v>
      </c>
      <c r="R41" s="17">
        <v>13.2</v>
      </c>
      <c r="S41" s="17">
        <v>13.2</v>
      </c>
      <c r="T41" s="17">
        <v>13.2</v>
      </c>
      <c r="U41" s="17">
        <v>13.2</v>
      </c>
      <c r="V41" s="17">
        <v>13.2</v>
      </c>
    </row>
    <row r="42" spans="1:22" x14ac:dyDescent="0.25">
      <c r="A42" s="6">
        <v>12400</v>
      </c>
      <c r="B42" s="17">
        <v>13.2</v>
      </c>
      <c r="C42" s="17">
        <v>13.2</v>
      </c>
      <c r="D42" s="17">
        <v>13.2</v>
      </c>
      <c r="E42" s="17">
        <v>13.2</v>
      </c>
      <c r="F42" s="17">
        <v>13.2</v>
      </c>
      <c r="G42" s="17">
        <v>13.2</v>
      </c>
      <c r="H42" s="17">
        <v>13.2</v>
      </c>
      <c r="I42" s="17">
        <v>13.2</v>
      </c>
      <c r="J42" s="17">
        <v>13.2</v>
      </c>
      <c r="K42" s="17">
        <v>13.2</v>
      </c>
      <c r="L42" s="17">
        <v>13.2</v>
      </c>
      <c r="M42" s="17">
        <v>13.2</v>
      </c>
      <c r="N42" s="17">
        <v>13.2</v>
      </c>
      <c r="O42" s="17">
        <v>13.2</v>
      </c>
      <c r="P42" s="17">
        <v>13.2</v>
      </c>
      <c r="Q42" s="17">
        <v>13.2</v>
      </c>
      <c r="R42" s="17">
        <v>13.2</v>
      </c>
      <c r="S42" s="17">
        <v>13.2</v>
      </c>
      <c r="T42" s="17">
        <v>13.2</v>
      </c>
      <c r="U42" s="17">
        <v>13.2</v>
      </c>
      <c r="V42" s="17">
        <v>13.2</v>
      </c>
    </row>
    <row r="43" spans="1:22" ht="13.8" thickBot="1" x14ac:dyDescent="0.3">
      <c r="A43" s="7">
        <v>12800</v>
      </c>
      <c r="B43" s="19">
        <v>13.2</v>
      </c>
      <c r="C43" s="19">
        <v>13.2</v>
      </c>
      <c r="D43" s="19">
        <v>13.2</v>
      </c>
      <c r="E43" s="19">
        <v>13.2</v>
      </c>
      <c r="F43" s="19">
        <v>13.2</v>
      </c>
      <c r="G43" s="19">
        <v>13.2</v>
      </c>
      <c r="H43" s="19">
        <v>13.2</v>
      </c>
      <c r="I43" s="19">
        <v>13.2</v>
      </c>
      <c r="J43" s="19">
        <v>13.2</v>
      </c>
      <c r="K43" s="19">
        <v>13.2</v>
      </c>
      <c r="L43" s="19">
        <v>13.2</v>
      </c>
      <c r="M43" s="19">
        <v>13.2</v>
      </c>
      <c r="N43" s="19">
        <v>13.2</v>
      </c>
      <c r="O43" s="19">
        <v>13.2</v>
      </c>
      <c r="P43" s="19">
        <v>13.2</v>
      </c>
      <c r="Q43" s="19">
        <v>13.2</v>
      </c>
      <c r="R43" s="19">
        <v>13.2</v>
      </c>
      <c r="S43" s="19">
        <v>13.2</v>
      </c>
      <c r="T43" s="19">
        <v>13.2</v>
      </c>
      <c r="U43" s="19">
        <v>13.2</v>
      </c>
      <c r="V43" s="19">
        <v>13.2</v>
      </c>
    </row>
  </sheetData>
  <conditionalFormatting sqref="B2:V43">
    <cfRule type="colorScale" priority="2">
      <colorScale>
        <cfvo type="min"/>
        <cfvo type="percentile" val="50"/>
        <cfvo type="max"/>
        <color rgb="FFF8696B"/>
        <color rgb="FFFCFCFF"/>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X43"/>
  <sheetViews>
    <sheetView zoomScale="70" zoomScaleNormal="70" workbookViewId="0">
      <selection activeCell="V48" sqref="V48"/>
    </sheetView>
  </sheetViews>
  <sheetFormatPr defaultRowHeight="13.2" x14ac:dyDescent="0.25"/>
  <cols>
    <col min="1" max="1" width="6.6640625" bestFit="1" customWidth="1"/>
    <col min="2" max="12" width="4.44140625" bestFit="1" customWidth="1"/>
    <col min="13" max="13" width="5" bestFit="1" customWidth="1"/>
    <col min="14" max="23" width="4.88671875" bestFit="1" customWidth="1"/>
    <col min="24" max="24" width="4.44140625" bestFit="1" customWidth="1"/>
  </cols>
  <sheetData>
    <row r="1" spans="1:24" x14ac:dyDescent="0.25">
      <c r="A1" s="12" t="s">
        <v>0</v>
      </c>
      <c r="B1" s="13">
        <v>0</v>
      </c>
      <c r="C1" s="13">
        <v>0.6</v>
      </c>
      <c r="D1" s="13">
        <v>1.2</v>
      </c>
      <c r="E1" s="13">
        <v>1.9</v>
      </c>
      <c r="F1" s="13">
        <v>2.5</v>
      </c>
      <c r="G1" s="13">
        <v>3.1</v>
      </c>
      <c r="H1" s="13">
        <v>3.7</v>
      </c>
      <c r="I1" s="13">
        <v>4.4000000000000004</v>
      </c>
      <c r="J1" s="13">
        <v>5.6</v>
      </c>
      <c r="K1" s="13">
        <v>6.8</v>
      </c>
      <c r="L1" s="13">
        <v>8.1</v>
      </c>
      <c r="M1" s="13">
        <v>9.3000000000000007</v>
      </c>
      <c r="N1" s="13">
        <v>10.6</v>
      </c>
      <c r="O1" s="13">
        <v>15.5</v>
      </c>
      <c r="P1" s="13">
        <v>20.5</v>
      </c>
      <c r="Q1" s="13">
        <v>25.5</v>
      </c>
      <c r="R1" s="13">
        <v>30.5</v>
      </c>
      <c r="S1" s="13">
        <v>40.4</v>
      </c>
      <c r="T1" s="13">
        <v>50.4</v>
      </c>
      <c r="U1" s="13">
        <v>60.3</v>
      </c>
      <c r="V1" s="13">
        <v>70.3</v>
      </c>
      <c r="W1" s="13">
        <v>90.2</v>
      </c>
      <c r="X1" s="14">
        <v>100</v>
      </c>
    </row>
    <row r="2" spans="1:24" x14ac:dyDescent="0.25">
      <c r="A2" s="15">
        <v>800</v>
      </c>
      <c r="B2" s="21" t="str">
        <f>IF(ISNUMBER('TPS data'!B2),('TPS data'!B2/'Des TPS AFR'!B2)-1,"")</f>
        <v/>
      </c>
      <c r="C2" s="21" t="str">
        <f>IF(ISNUMBER('TPS data'!C2),('TPS data'!C2/'Des TPS AFR'!C2)-1,"")</f>
        <v/>
      </c>
      <c r="D2" s="21" t="str">
        <f>IF(ISNUMBER('TPS data'!D2),('TPS data'!D2/'Des TPS AFR'!D2)-1,"")</f>
        <v/>
      </c>
      <c r="E2" s="21" t="str">
        <f>IF(ISNUMBER('TPS data'!E2),('TPS data'!E2/'Des TPS AFR'!E2)-1,"")</f>
        <v/>
      </c>
      <c r="F2" s="21" t="str">
        <f>IF(ISNUMBER('TPS data'!F2),('TPS data'!F2/'Des TPS AFR'!F2)-1,"")</f>
        <v/>
      </c>
      <c r="G2" s="21" t="str">
        <f>IF(ISNUMBER('TPS data'!G2),('TPS data'!G2/'Des TPS AFR'!G2)-1,"")</f>
        <v/>
      </c>
      <c r="H2" s="21" t="str">
        <f>IF(ISNUMBER('TPS data'!H2),('TPS data'!H2/'Des TPS AFR'!H2)-1,"")</f>
        <v/>
      </c>
      <c r="I2" s="21" t="str">
        <f>IF(ISNUMBER('TPS data'!I2),('TPS data'!I2/'Des TPS AFR'!I2)-1,"")</f>
        <v/>
      </c>
      <c r="J2" s="21" t="str">
        <f>IF(ISNUMBER('TPS data'!J2),('TPS data'!J2/'Des TPS AFR'!J2)-1,"")</f>
        <v/>
      </c>
      <c r="K2" s="21" t="str">
        <f>IF(ISNUMBER('TPS data'!K2),('TPS data'!K2/'Des TPS AFR'!K2)-1,"")</f>
        <v/>
      </c>
      <c r="L2" s="21" t="str">
        <f>IF(ISNUMBER('TPS data'!L2),('TPS data'!L2/'Des TPS AFR'!L2)-1,"")</f>
        <v/>
      </c>
      <c r="M2" s="21" t="str">
        <f>IF(ISNUMBER('TPS data'!M2),('TPS data'!M2/'Des TPS AFR'!M2)-1,"")</f>
        <v/>
      </c>
      <c r="N2" s="21" t="str">
        <f>IF(ISNUMBER('TPS data'!N2),('TPS data'!N2/'Des TPS AFR'!N2)-1,"")</f>
        <v/>
      </c>
      <c r="O2" s="21" t="str">
        <f>IF(ISNUMBER('TPS data'!O2),('TPS data'!O2/'Des TPS AFR'!O2)-1,"")</f>
        <v/>
      </c>
      <c r="P2" s="21" t="str">
        <f>IF(ISNUMBER('TPS data'!P2),('TPS data'!P2/'Des TPS AFR'!P2)-1,"")</f>
        <v/>
      </c>
      <c r="Q2" s="21" t="str">
        <f>IF(ISNUMBER('TPS data'!Q2),('TPS data'!Q2/'Des TPS AFR'!Q2)-1,"")</f>
        <v/>
      </c>
      <c r="R2" s="21" t="str">
        <f>IF(ISNUMBER('TPS data'!R2),('TPS data'!R2/'Des TPS AFR'!R2)-1,"")</f>
        <v/>
      </c>
      <c r="S2" s="21" t="str">
        <f>IF(ISNUMBER('TPS data'!S2),('TPS data'!S2/'Des TPS AFR'!S2)-1,"")</f>
        <v/>
      </c>
      <c r="T2" s="21" t="str">
        <f>IF(ISNUMBER('TPS data'!T2),('TPS data'!T2/'Des TPS AFR'!T2)-1,"")</f>
        <v/>
      </c>
      <c r="U2" s="21" t="str">
        <f>IF(ISNUMBER('TPS data'!U2),('TPS data'!U2/'Des TPS AFR'!U2)-1,"")</f>
        <v/>
      </c>
      <c r="V2" s="21" t="str">
        <f>IF(ISNUMBER('TPS data'!V2),('TPS data'!V2/'Des TPS AFR'!V2)-1,"")</f>
        <v/>
      </c>
      <c r="W2" s="21" t="str">
        <f>IF(ISNUMBER('TPS data'!W2),('TPS data'!W2/'Des TPS AFR'!W2)-1,"")</f>
        <v/>
      </c>
      <c r="X2" s="21" t="str">
        <f>IF(ISNUMBER('TPS data'!X2),('TPS data'!X2/'Des TPS AFR'!X2)-1,"")</f>
        <v/>
      </c>
    </row>
    <row r="3" spans="1:24" x14ac:dyDescent="0.25">
      <c r="A3" s="15">
        <v>1000</v>
      </c>
      <c r="B3" s="21" t="str">
        <f>IF(ISNUMBER('TPS data'!B3),('TPS data'!B3/'Des TPS AFR'!B3)-1,"")</f>
        <v/>
      </c>
      <c r="C3" s="21" t="str">
        <f>IF(ISNUMBER('TPS data'!C3),('TPS data'!C3/'Des TPS AFR'!C3)-1,"")</f>
        <v/>
      </c>
      <c r="D3" s="21" t="str">
        <f>IF(ISNUMBER('TPS data'!D3),('TPS data'!D3/'Des TPS AFR'!D3)-1,"")</f>
        <v/>
      </c>
      <c r="E3" s="21" t="str">
        <f>IF(ISNUMBER('TPS data'!E3),('TPS data'!E3/'Des TPS AFR'!E3)-1,"")</f>
        <v/>
      </c>
      <c r="F3" s="21" t="str">
        <f>IF(ISNUMBER('TPS data'!F3),('TPS data'!F3/'Des TPS AFR'!F3)-1,"")</f>
        <v/>
      </c>
      <c r="G3" s="21" t="str">
        <f>IF(ISNUMBER('TPS data'!G3),('TPS data'!G3/'Des TPS AFR'!G3)-1,"")</f>
        <v/>
      </c>
      <c r="H3" s="21" t="str">
        <f>IF(ISNUMBER('TPS data'!H3),('TPS data'!H3/'Des TPS AFR'!H3)-1,"")</f>
        <v/>
      </c>
      <c r="I3" s="21" t="str">
        <f>IF(ISNUMBER('TPS data'!I3),('TPS data'!I3/'Des TPS AFR'!I3)-1,"")</f>
        <v/>
      </c>
      <c r="J3" s="21" t="str">
        <f>IF(ISNUMBER('TPS data'!J3),('TPS data'!J3/'Des TPS AFR'!J3)-1,"")</f>
        <v/>
      </c>
      <c r="K3" s="21" t="str">
        <f>IF(ISNUMBER('TPS data'!K3),('TPS data'!K3/'Des TPS AFR'!K3)-1,"")</f>
        <v/>
      </c>
      <c r="L3" s="21" t="str">
        <f>IF(ISNUMBER('TPS data'!L3),('TPS data'!L3/'Des TPS AFR'!L3)-1,"")</f>
        <v/>
      </c>
      <c r="M3" s="21" t="str">
        <f>IF(ISNUMBER('TPS data'!M3),('TPS data'!M3/'Des TPS AFR'!M3)-1,"")</f>
        <v/>
      </c>
      <c r="N3" s="21" t="str">
        <f>IF(ISNUMBER('TPS data'!N3),('TPS data'!N3/'Des TPS AFR'!N3)-1,"")</f>
        <v/>
      </c>
      <c r="O3" s="21" t="str">
        <f>IF(ISNUMBER('TPS data'!O3),('TPS data'!O3/'Des TPS AFR'!O3)-1,"")</f>
        <v/>
      </c>
      <c r="P3" s="21" t="str">
        <f>IF(ISNUMBER('TPS data'!P3),('TPS data'!P3/'Des TPS AFR'!P3)-1,"")</f>
        <v/>
      </c>
      <c r="Q3" s="21" t="str">
        <f>IF(ISNUMBER('TPS data'!Q3),('TPS data'!Q3/'Des TPS AFR'!Q3)-1,"")</f>
        <v/>
      </c>
      <c r="R3" s="21" t="str">
        <f>IF(ISNUMBER('TPS data'!R3),('TPS data'!R3/'Des TPS AFR'!R3)-1,"")</f>
        <v/>
      </c>
      <c r="S3" s="21" t="str">
        <f>IF(ISNUMBER('TPS data'!S3),('TPS data'!S3/'Des TPS AFR'!S3)-1,"")</f>
        <v/>
      </c>
      <c r="T3" s="21" t="str">
        <f>IF(ISNUMBER('TPS data'!T3),('TPS data'!T3/'Des TPS AFR'!T3)-1,"")</f>
        <v/>
      </c>
      <c r="U3" s="21" t="str">
        <f>IF(ISNUMBER('TPS data'!U3),('TPS data'!U3/'Des TPS AFR'!U3)-1,"")</f>
        <v/>
      </c>
      <c r="V3" s="21" t="str">
        <f>IF(ISNUMBER('TPS data'!V3),('TPS data'!V3/'Des TPS AFR'!V3)-1,"")</f>
        <v/>
      </c>
      <c r="W3" s="21" t="str">
        <f>IF(ISNUMBER('TPS data'!W3),('TPS data'!W3/'Des TPS AFR'!W3)-1,"")</f>
        <v/>
      </c>
      <c r="X3" s="21" t="str">
        <f>IF(ISNUMBER('TPS data'!X3),('TPS data'!X3/'Des TPS AFR'!X3)-1,"")</f>
        <v/>
      </c>
    </row>
    <row r="4" spans="1:24" x14ac:dyDescent="0.25">
      <c r="A4" s="15">
        <v>1200</v>
      </c>
      <c r="B4" s="21" t="str">
        <f>IF(ISNUMBER('TPS data'!B4),('TPS data'!B4/'Des TPS AFR'!B4)-1,"")</f>
        <v/>
      </c>
      <c r="C4" s="21" t="str">
        <f>IF(ISNUMBER('TPS data'!C4),('TPS data'!C4/'Des TPS AFR'!C4)-1,"")</f>
        <v/>
      </c>
      <c r="D4" s="21" t="str">
        <f>IF(ISNUMBER('TPS data'!D4),('TPS data'!D4/'Des TPS AFR'!D4)-1,"")</f>
        <v/>
      </c>
      <c r="E4" s="21" t="str">
        <f>IF(ISNUMBER('TPS data'!E4),('TPS data'!E4/'Des TPS AFR'!E4)-1,"")</f>
        <v/>
      </c>
      <c r="F4" s="21" t="str">
        <f>IF(ISNUMBER('TPS data'!F4),('TPS data'!F4/'Des TPS AFR'!F4)-1,"")</f>
        <v/>
      </c>
      <c r="G4" s="21" t="str">
        <f>IF(ISNUMBER('TPS data'!G4),('TPS data'!G4/'Des TPS AFR'!G4)-1,"")</f>
        <v/>
      </c>
      <c r="H4" s="21" t="str">
        <f>IF(ISNUMBER('TPS data'!H4),('TPS data'!H4/'Des TPS AFR'!H4)-1,"")</f>
        <v/>
      </c>
      <c r="I4" s="21" t="str">
        <f>IF(ISNUMBER('TPS data'!I4),('TPS data'!I4/'Des TPS AFR'!I4)-1,"")</f>
        <v/>
      </c>
      <c r="J4" s="21" t="str">
        <f>IF(ISNUMBER('TPS data'!J4),('TPS data'!J4/'Des TPS AFR'!J4)-1,"")</f>
        <v/>
      </c>
      <c r="K4" s="21" t="str">
        <f>IF(ISNUMBER('TPS data'!K4),('TPS data'!K4/'Des TPS AFR'!K4)-1,"")</f>
        <v/>
      </c>
      <c r="L4" s="21" t="str">
        <f>IF(ISNUMBER('TPS data'!L4),('TPS data'!L4/'Des TPS AFR'!L4)-1,"")</f>
        <v/>
      </c>
      <c r="M4" s="21" t="str">
        <f>IF(ISNUMBER('TPS data'!M4),('TPS data'!M4/'Des TPS AFR'!M4)-1,"")</f>
        <v/>
      </c>
      <c r="N4" s="21" t="str">
        <f>IF(ISNUMBER('TPS data'!N4),('TPS data'!N4/'Des TPS AFR'!N4)-1,"")</f>
        <v/>
      </c>
      <c r="O4" s="21" t="str">
        <f>IF(ISNUMBER('TPS data'!O4),('TPS data'!O4/'Des TPS AFR'!O4)-1,"")</f>
        <v/>
      </c>
      <c r="P4" s="21" t="str">
        <f>IF(ISNUMBER('TPS data'!P4),('TPS data'!P4/'Des TPS AFR'!P4)-1,"")</f>
        <v/>
      </c>
      <c r="Q4" s="21" t="str">
        <f>IF(ISNUMBER('TPS data'!Q4),('TPS data'!Q4/'Des TPS AFR'!Q4)-1,"")</f>
        <v/>
      </c>
      <c r="R4" s="21" t="str">
        <f>IF(ISNUMBER('TPS data'!R4),('TPS data'!R4/'Des TPS AFR'!R4)-1,"")</f>
        <v/>
      </c>
      <c r="S4" s="21" t="str">
        <f>IF(ISNUMBER('TPS data'!S4),('TPS data'!S4/'Des TPS AFR'!S4)-1,"")</f>
        <v/>
      </c>
      <c r="T4" s="21" t="str">
        <f>IF(ISNUMBER('TPS data'!T4),('TPS data'!T4/'Des TPS AFR'!T4)-1,"")</f>
        <v/>
      </c>
      <c r="U4" s="21" t="str">
        <f>IF(ISNUMBER('TPS data'!U4),('TPS data'!U4/'Des TPS AFR'!U4)-1,"")</f>
        <v/>
      </c>
      <c r="V4" s="21" t="str">
        <f>IF(ISNUMBER('TPS data'!V4),('TPS data'!V4/'Des TPS AFR'!V4)-1,"")</f>
        <v/>
      </c>
      <c r="W4" s="21" t="str">
        <f>IF(ISNUMBER('TPS data'!W4),('TPS data'!W4/'Des TPS AFR'!W4)-1,"")</f>
        <v/>
      </c>
      <c r="X4" s="21" t="str">
        <f>IF(ISNUMBER('TPS data'!X4),('TPS data'!X4/'Des TPS AFR'!X4)-1,"")</f>
        <v/>
      </c>
    </row>
    <row r="5" spans="1:24" x14ac:dyDescent="0.25">
      <c r="A5" s="15">
        <v>1400</v>
      </c>
      <c r="B5" s="21" t="str">
        <f>IF(ISNUMBER('TPS data'!B5),('TPS data'!B5/'Des TPS AFR'!B5)-1,"")</f>
        <v/>
      </c>
      <c r="C5" s="21" t="str">
        <f>IF(ISNUMBER('TPS data'!C5),('TPS data'!C5/'Des TPS AFR'!C5)-1,"")</f>
        <v/>
      </c>
      <c r="D5" s="21" t="str">
        <f>IF(ISNUMBER('TPS data'!D5),('TPS data'!D5/'Des TPS AFR'!D5)-1,"")</f>
        <v/>
      </c>
      <c r="E5" s="21" t="str">
        <f>IF(ISNUMBER('TPS data'!E5),('TPS data'!E5/'Des TPS AFR'!E5)-1,"")</f>
        <v/>
      </c>
      <c r="F5" s="21" t="str">
        <f>IF(ISNUMBER('TPS data'!F5),('TPS data'!F5/'Des TPS AFR'!F5)-1,"")</f>
        <v/>
      </c>
      <c r="G5" s="21" t="str">
        <f>IF(ISNUMBER('TPS data'!G5),('TPS data'!G5/'Des TPS AFR'!G5)-1,"")</f>
        <v/>
      </c>
      <c r="H5" s="21" t="str">
        <f>IF(ISNUMBER('TPS data'!H5),('TPS data'!H5/'Des TPS AFR'!H5)-1,"")</f>
        <v/>
      </c>
      <c r="I5" s="21" t="str">
        <f>IF(ISNUMBER('TPS data'!I5),('TPS data'!I5/'Des TPS AFR'!I5)-1,"")</f>
        <v/>
      </c>
      <c r="J5" s="21" t="str">
        <f>IF(ISNUMBER('TPS data'!J5),('TPS data'!J5/'Des TPS AFR'!J5)-1,"")</f>
        <v/>
      </c>
      <c r="K5" s="21" t="str">
        <f>IF(ISNUMBER('TPS data'!K5),('TPS data'!K5/'Des TPS AFR'!K5)-1,"")</f>
        <v/>
      </c>
      <c r="L5" s="21" t="str">
        <f>IF(ISNUMBER('TPS data'!L5),('TPS data'!L5/'Des TPS AFR'!L5)-1,"")</f>
        <v/>
      </c>
      <c r="M5" s="21" t="str">
        <f>IF(ISNUMBER('TPS data'!M5),('TPS data'!M5/'Des TPS AFR'!M5)-1,"")</f>
        <v/>
      </c>
      <c r="N5" s="21" t="str">
        <f>IF(ISNUMBER('TPS data'!N5),('TPS data'!N5/'Des TPS AFR'!N5)-1,"")</f>
        <v/>
      </c>
      <c r="O5" s="21" t="str">
        <f>IF(ISNUMBER('TPS data'!O5),('TPS data'!O5/'Des TPS AFR'!O5)-1,"")</f>
        <v/>
      </c>
      <c r="P5" s="21" t="str">
        <f>IF(ISNUMBER('TPS data'!P5),('TPS data'!P5/'Des TPS AFR'!P5)-1,"")</f>
        <v/>
      </c>
      <c r="Q5" s="21" t="str">
        <f>IF(ISNUMBER('TPS data'!Q5),('TPS data'!Q5/'Des TPS AFR'!Q5)-1,"")</f>
        <v/>
      </c>
      <c r="R5" s="21" t="str">
        <f>IF(ISNUMBER('TPS data'!R5),('TPS data'!R5/'Des TPS AFR'!R5)-1,"")</f>
        <v/>
      </c>
      <c r="S5" s="21" t="str">
        <f>IF(ISNUMBER('TPS data'!S5),('TPS data'!S5/'Des TPS AFR'!S5)-1,"")</f>
        <v/>
      </c>
      <c r="T5" s="21" t="str">
        <f>IF(ISNUMBER('TPS data'!T5),('TPS data'!T5/'Des TPS AFR'!T5)-1,"")</f>
        <v/>
      </c>
      <c r="U5" s="21" t="str">
        <f>IF(ISNUMBER('TPS data'!U5),('TPS data'!U5/'Des TPS AFR'!U5)-1,"")</f>
        <v/>
      </c>
      <c r="V5" s="21" t="str">
        <f>IF(ISNUMBER('TPS data'!V5),('TPS data'!V5/'Des TPS AFR'!V5)-1,"")</f>
        <v/>
      </c>
      <c r="W5" s="21" t="str">
        <f>IF(ISNUMBER('TPS data'!W5),('TPS data'!W5/'Des TPS AFR'!W5)-1,"")</f>
        <v/>
      </c>
      <c r="X5" s="21" t="str">
        <f>IF(ISNUMBER('TPS data'!X5),('TPS data'!X5/'Des TPS AFR'!X5)-1,"")</f>
        <v/>
      </c>
    </row>
    <row r="6" spans="1:24" x14ac:dyDescent="0.25">
      <c r="A6" s="15">
        <v>1600</v>
      </c>
      <c r="B6" s="21" t="str">
        <f>IF(ISNUMBER('TPS data'!B6),('TPS data'!B6/'Des TPS AFR'!B6)-1,"")</f>
        <v/>
      </c>
      <c r="C6" s="21" t="str">
        <f>IF(ISNUMBER('TPS data'!C6),('TPS data'!C6/'Des TPS AFR'!C6)-1,"")</f>
        <v/>
      </c>
      <c r="D6" s="21" t="str">
        <f>IF(ISNUMBER('TPS data'!D6),('TPS data'!D6/'Des TPS AFR'!D6)-1,"")</f>
        <v/>
      </c>
      <c r="E6" s="21" t="str">
        <f>IF(ISNUMBER('TPS data'!E6),('TPS data'!E6/'Des TPS AFR'!E6)-1,"")</f>
        <v/>
      </c>
      <c r="F6" s="21" t="str">
        <f>IF(ISNUMBER('TPS data'!F6),('TPS data'!F6/'Des TPS AFR'!F6)-1,"")</f>
        <v/>
      </c>
      <c r="G6" s="21" t="str">
        <f>IF(ISNUMBER('TPS data'!G6),('TPS data'!G6/'Des TPS AFR'!G6)-1,"")</f>
        <v/>
      </c>
      <c r="H6" s="21" t="str">
        <f>IF(ISNUMBER('TPS data'!H6),('TPS data'!H6/'Des TPS AFR'!H6)-1,"")</f>
        <v/>
      </c>
      <c r="I6" s="21" t="str">
        <f>IF(ISNUMBER('TPS data'!I6),('TPS data'!I6/'Des TPS AFR'!I6)-1,"")</f>
        <v/>
      </c>
      <c r="J6" s="21" t="str">
        <f>IF(ISNUMBER('TPS data'!J6),('TPS data'!J6/'Des TPS AFR'!J6)-1,"")</f>
        <v/>
      </c>
      <c r="K6" s="21" t="str">
        <f>IF(ISNUMBER('TPS data'!K6),('TPS data'!K6/'Des TPS AFR'!K6)-1,"")</f>
        <v/>
      </c>
      <c r="L6" s="21" t="str">
        <f>IF(ISNUMBER('TPS data'!L6),('TPS data'!L6/'Des TPS AFR'!L6)-1,"")</f>
        <v/>
      </c>
      <c r="M6" s="21" t="str">
        <f>IF(ISNUMBER('TPS data'!M6),('TPS data'!M6/'Des TPS AFR'!M6)-1,"")</f>
        <v/>
      </c>
      <c r="N6" s="21" t="str">
        <f>IF(ISNUMBER('TPS data'!N6),('TPS data'!N6/'Des TPS AFR'!N6)-1,"")</f>
        <v/>
      </c>
      <c r="O6" s="21" t="str">
        <f>IF(ISNUMBER('TPS data'!O6),('TPS data'!O6/'Des TPS AFR'!O6)-1,"")</f>
        <v/>
      </c>
      <c r="P6" s="21" t="str">
        <f>IF(ISNUMBER('TPS data'!P6),('TPS data'!P6/'Des TPS AFR'!P6)-1,"")</f>
        <v/>
      </c>
      <c r="Q6" s="21" t="str">
        <f>IF(ISNUMBER('TPS data'!Q6),('TPS data'!Q6/'Des TPS AFR'!Q6)-1,"")</f>
        <v/>
      </c>
      <c r="R6" s="21" t="str">
        <f>IF(ISNUMBER('TPS data'!R6),('TPS data'!R6/'Des TPS AFR'!R6)-1,"")</f>
        <v/>
      </c>
      <c r="S6" s="21" t="str">
        <f>IF(ISNUMBER('TPS data'!S6),('TPS data'!S6/'Des TPS AFR'!S6)-1,"")</f>
        <v/>
      </c>
      <c r="T6" s="21" t="str">
        <f>IF(ISNUMBER('TPS data'!T6),('TPS data'!T6/'Des TPS AFR'!T6)-1,"")</f>
        <v/>
      </c>
      <c r="U6" s="21" t="str">
        <f>IF(ISNUMBER('TPS data'!U6),('TPS data'!U6/'Des TPS AFR'!U6)-1,"")</f>
        <v/>
      </c>
      <c r="V6" s="21" t="str">
        <f>IF(ISNUMBER('TPS data'!V6),('TPS data'!V6/'Des TPS AFR'!V6)-1,"")</f>
        <v/>
      </c>
      <c r="W6" s="21" t="str">
        <f>IF(ISNUMBER('TPS data'!W6),('TPS data'!W6/'Des TPS AFR'!W6)-1,"")</f>
        <v/>
      </c>
      <c r="X6" s="21" t="str">
        <f>IF(ISNUMBER('TPS data'!X6),('TPS data'!X6/'Des TPS AFR'!X6)-1,"")</f>
        <v/>
      </c>
    </row>
    <row r="7" spans="1:24" x14ac:dyDescent="0.25">
      <c r="A7" s="15">
        <v>1800</v>
      </c>
      <c r="B7" s="21" t="str">
        <f>IF(ISNUMBER('TPS data'!B7),('TPS data'!B7/'Des TPS AFR'!B7)-1,"")</f>
        <v/>
      </c>
      <c r="C7" s="21" t="str">
        <f>IF(ISNUMBER('TPS data'!C7),('TPS data'!C7/'Des TPS AFR'!C7)-1,"")</f>
        <v/>
      </c>
      <c r="D7" s="21" t="str">
        <f>IF(ISNUMBER('TPS data'!D7),('TPS data'!D7/'Des TPS AFR'!D7)-1,"")</f>
        <v/>
      </c>
      <c r="E7" s="21" t="str">
        <f>IF(ISNUMBER('TPS data'!E7),('TPS data'!E7/'Des TPS AFR'!E7)-1,"")</f>
        <v/>
      </c>
      <c r="F7" s="21" t="str">
        <f>IF(ISNUMBER('TPS data'!F7),('TPS data'!F7/'Des TPS AFR'!F7)-1,"")</f>
        <v/>
      </c>
      <c r="G7" s="21" t="str">
        <f>IF(ISNUMBER('TPS data'!G7),('TPS data'!G7/'Des TPS AFR'!G7)-1,"")</f>
        <v/>
      </c>
      <c r="H7" s="21" t="str">
        <f>IF(ISNUMBER('TPS data'!H7),('TPS data'!H7/'Des TPS AFR'!H7)-1,"")</f>
        <v/>
      </c>
      <c r="I7" s="21" t="str">
        <f>IF(ISNUMBER('TPS data'!I7),('TPS data'!I7/'Des TPS AFR'!I7)-1,"")</f>
        <v/>
      </c>
      <c r="J7" s="21" t="str">
        <f>IF(ISNUMBER('TPS data'!J7),('TPS data'!J7/'Des TPS AFR'!J7)-1,"")</f>
        <v/>
      </c>
      <c r="K7" s="21" t="str">
        <f>IF(ISNUMBER('TPS data'!K7),('TPS data'!K7/'Des TPS AFR'!K7)-1,"")</f>
        <v/>
      </c>
      <c r="L7" s="21" t="str">
        <f>IF(ISNUMBER('TPS data'!L7),('TPS data'!L7/'Des TPS AFR'!L7)-1,"")</f>
        <v/>
      </c>
      <c r="M7" s="21" t="str">
        <f>IF(ISNUMBER('TPS data'!M7),('TPS data'!M7/'Des TPS AFR'!M7)-1,"")</f>
        <v/>
      </c>
      <c r="N7" s="21" t="str">
        <f>IF(ISNUMBER('TPS data'!N7),('TPS data'!N7/'Des TPS AFR'!N7)-1,"")</f>
        <v/>
      </c>
      <c r="O7" s="21" t="str">
        <f>IF(ISNUMBER('TPS data'!O7),('TPS data'!O7/'Des TPS AFR'!O7)-1,"")</f>
        <v/>
      </c>
      <c r="P7" s="21" t="str">
        <f>IF(ISNUMBER('TPS data'!P7),('TPS data'!P7/'Des TPS AFR'!P7)-1,"")</f>
        <v/>
      </c>
      <c r="Q7" s="21" t="str">
        <f>IF(ISNUMBER('TPS data'!Q7),('TPS data'!Q7/'Des TPS AFR'!Q7)-1,"")</f>
        <v/>
      </c>
      <c r="R7" s="21" t="str">
        <f>IF(ISNUMBER('TPS data'!R7),('TPS data'!R7/'Des TPS AFR'!R7)-1,"")</f>
        <v/>
      </c>
      <c r="S7" s="21" t="str">
        <f>IF(ISNUMBER('TPS data'!S7),('TPS data'!S7/'Des TPS AFR'!S7)-1,"")</f>
        <v/>
      </c>
      <c r="T7" s="21" t="str">
        <f>IF(ISNUMBER('TPS data'!T7),('TPS data'!T7/'Des TPS AFR'!T7)-1,"")</f>
        <v/>
      </c>
      <c r="U7" s="21" t="str">
        <f>IF(ISNUMBER('TPS data'!U7),('TPS data'!U7/'Des TPS AFR'!U7)-1,"")</f>
        <v/>
      </c>
      <c r="V7" s="21" t="str">
        <f>IF(ISNUMBER('TPS data'!V7),('TPS data'!V7/'Des TPS AFR'!V7)-1,"")</f>
        <v/>
      </c>
      <c r="W7" s="21" t="str">
        <f>IF(ISNUMBER('TPS data'!W7),('TPS data'!W7/'Des TPS AFR'!W7)-1,"")</f>
        <v/>
      </c>
      <c r="X7" s="21" t="str">
        <f>IF(ISNUMBER('TPS data'!X7),('TPS data'!X7/'Des TPS AFR'!X7)-1,"")</f>
        <v/>
      </c>
    </row>
    <row r="8" spans="1:24" x14ac:dyDescent="0.25">
      <c r="A8" s="15">
        <v>2000</v>
      </c>
      <c r="B8" s="21" t="str">
        <f>IF(ISNUMBER('TPS data'!B8),('TPS data'!B8/'Des TPS AFR'!B8)-1,"")</f>
        <v/>
      </c>
      <c r="C8" s="21" t="str">
        <f>IF(ISNUMBER('TPS data'!C8),('TPS data'!C8/'Des TPS AFR'!C8)-1,"")</f>
        <v/>
      </c>
      <c r="D8" s="21" t="str">
        <f>IF(ISNUMBER('TPS data'!D8),('TPS data'!D8/'Des TPS AFR'!D8)-1,"")</f>
        <v/>
      </c>
      <c r="E8" s="21" t="str">
        <f>IF(ISNUMBER('TPS data'!E8),('TPS data'!E8/'Des TPS AFR'!E8)-1,"")</f>
        <v/>
      </c>
      <c r="F8" s="21" t="str">
        <f>IF(ISNUMBER('TPS data'!F8),('TPS data'!F8/'Des TPS AFR'!F8)-1,"")</f>
        <v/>
      </c>
      <c r="G8" s="21" t="str">
        <f>IF(ISNUMBER('TPS data'!G8),('TPS data'!G8/'Des TPS AFR'!G8)-1,"")</f>
        <v/>
      </c>
      <c r="H8" s="21" t="str">
        <f>IF(ISNUMBER('TPS data'!H8),('TPS data'!H8/'Des TPS AFR'!H8)-1,"")</f>
        <v/>
      </c>
      <c r="I8" s="21" t="str">
        <f>IF(ISNUMBER('TPS data'!I8),('TPS data'!I8/'Des TPS AFR'!I8)-1,"")</f>
        <v/>
      </c>
      <c r="J8" s="21" t="str">
        <f>IF(ISNUMBER('TPS data'!J8),('TPS data'!J8/'Des TPS AFR'!J8)-1,"")</f>
        <v/>
      </c>
      <c r="K8" s="21" t="str">
        <f>IF(ISNUMBER('TPS data'!K8),('TPS data'!K8/'Des TPS AFR'!K8)-1,"")</f>
        <v/>
      </c>
      <c r="L8" s="21" t="str">
        <f>IF(ISNUMBER('TPS data'!L8),('TPS data'!L8/'Des TPS AFR'!L8)-1,"")</f>
        <v/>
      </c>
      <c r="M8" s="21" t="str">
        <f>IF(ISNUMBER('TPS data'!M8),('TPS data'!M8/'Des TPS AFR'!M8)-1,"")</f>
        <v/>
      </c>
      <c r="N8" s="21" t="str">
        <f>IF(ISNUMBER('TPS data'!N8),('TPS data'!N8/'Des TPS AFR'!N8)-1,"")</f>
        <v/>
      </c>
      <c r="O8" s="21" t="str">
        <f>IF(ISNUMBER('TPS data'!O8),('TPS data'!O8/'Des TPS AFR'!O8)-1,"")</f>
        <v/>
      </c>
      <c r="P8" s="21" t="str">
        <f>IF(ISNUMBER('TPS data'!P8),('TPS data'!P8/'Des TPS AFR'!P8)-1,"")</f>
        <v/>
      </c>
      <c r="Q8" s="21" t="str">
        <f>IF(ISNUMBER('TPS data'!Q8),('TPS data'!Q8/'Des TPS AFR'!Q8)-1,"")</f>
        <v/>
      </c>
      <c r="R8" s="21" t="str">
        <f>IF(ISNUMBER('TPS data'!R8),('TPS data'!R8/'Des TPS AFR'!R8)-1,"")</f>
        <v/>
      </c>
      <c r="S8" s="21" t="str">
        <f>IF(ISNUMBER('TPS data'!S8),('TPS data'!S8/'Des TPS AFR'!S8)-1,"")</f>
        <v/>
      </c>
      <c r="T8" s="21" t="str">
        <f>IF(ISNUMBER('TPS data'!T8),('TPS data'!T8/'Des TPS AFR'!T8)-1,"")</f>
        <v/>
      </c>
      <c r="U8" s="21" t="str">
        <f>IF(ISNUMBER('TPS data'!U8),('TPS data'!U8/'Des TPS AFR'!U8)-1,"")</f>
        <v/>
      </c>
      <c r="V8" s="21" t="str">
        <f>IF(ISNUMBER('TPS data'!V8),('TPS data'!V8/'Des TPS AFR'!V8)-1,"")</f>
        <v/>
      </c>
      <c r="W8" s="21" t="str">
        <f>IF(ISNUMBER('TPS data'!W8),('TPS data'!W8/'Des TPS AFR'!W8)-1,"")</f>
        <v/>
      </c>
      <c r="X8" s="21" t="str">
        <f>IF(ISNUMBER('TPS data'!X8),('TPS data'!X8/'Des TPS AFR'!X8)-1,"")</f>
        <v/>
      </c>
    </row>
    <row r="9" spans="1:24" x14ac:dyDescent="0.25">
      <c r="A9" s="15">
        <v>2200</v>
      </c>
      <c r="B9" s="21" t="str">
        <f>IF(ISNUMBER('TPS data'!B9),('TPS data'!B9/'Des TPS AFR'!B9)-1,"")</f>
        <v/>
      </c>
      <c r="C9" s="21" t="str">
        <f>IF(ISNUMBER('TPS data'!C9),('TPS data'!C9/'Des TPS AFR'!C9)-1,"")</f>
        <v/>
      </c>
      <c r="D9" s="21" t="str">
        <f>IF(ISNUMBER('TPS data'!D9),('TPS data'!D9/'Des TPS AFR'!D9)-1,"")</f>
        <v/>
      </c>
      <c r="E9" s="21" t="str">
        <f>IF(ISNUMBER('TPS data'!E9),('TPS data'!E9/'Des TPS AFR'!E9)-1,"")</f>
        <v/>
      </c>
      <c r="F9" s="21" t="str">
        <f>IF(ISNUMBER('TPS data'!F9),('TPS data'!F9/'Des TPS AFR'!F9)-1,"")</f>
        <v/>
      </c>
      <c r="G9" s="21" t="str">
        <f>IF(ISNUMBER('TPS data'!G9),('TPS data'!G9/'Des TPS AFR'!G9)-1,"")</f>
        <v/>
      </c>
      <c r="H9" s="21" t="str">
        <f>IF(ISNUMBER('TPS data'!H9),('TPS data'!H9/'Des TPS AFR'!H9)-1,"")</f>
        <v/>
      </c>
      <c r="I9" s="21" t="str">
        <f>IF(ISNUMBER('TPS data'!I9),('TPS data'!I9/'Des TPS AFR'!I9)-1,"")</f>
        <v/>
      </c>
      <c r="J9" s="21" t="str">
        <f>IF(ISNUMBER('TPS data'!J9),('TPS data'!J9/'Des TPS AFR'!J9)-1,"")</f>
        <v/>
      </c>
      <c r="K9" s="21" t="str">
        <f>IF(ISNUMBER('TPS data'!K9),('TPS data'!K9/'Des TPS AFR'!K9)-1,"")</f>
        <v/>
      </c>
      <c r="L9" s="21" t="str">
        <f>IF(ISNUMBER('TPS data'!L9),('TPS data'!L9/'Des TPS AFR'!L9)-1,"")</f>
        <v/>
      </c>
      <c r="M9" s="21" t="str">
        <f>IF(ISNUMBER('TPS data'!M9),('TPS data'!M9/'Des TPS AFR'!M9)-1,"")</f>
        <v/>
      </c>
      <c r="N9" s="21" t="str">
        <f>IF(ISNUMBER('TPS data'!N9),('TPS data'!N9/'Des TPS AFR'!N9)-1,"")</f>
        <v/>
      </c>
      <c r="O9" s="21" t="str">
        <f>IF(ISNUMBER('TPS data'!O9),('TPS data'!O9/'Des TPS AFR'!O9)-1,"")</f>
        <v/>
      </c>
      <c r="P9" s="21" t="str">
        <f>IF(ISNUMBER('TPS data'!P9),('TPS data'!P9/'Des TPS AFR'!P9)-1,"")</f>
        <v/>
      </c>
      <c r="Q9" s="21" t="str">
        <f>IF(ISNUMBER('TPS data'!Q9),('TPS data'!Q9/'Des TPS AFR'!Q9)-1,"")</f>
        <v/>
      </c>
      <c r="R9" s="21" t="str">
        <f>IF(ISNUMBER('TPS data'!R9),('TPS data'!R9/'Des TPS AFR'!R9)-1,"")</f>
        <v/>
      </c>
      <c r="S9" s="21" t="str">
        <f>IF(ISNUMBER('TPS data'!S9),('TPS data'!S9/'Des TPS AFR'!S9)-1,"")</f>
        <v/>
      </c>
      <c r="T9" s="21" t="str">
        <f>IF(ISNUMBER('TPS data'!T9),('TPS data'!T9/'Des TPS AFR'!T9)-1,"")</f>
        <v/>
      </c>
      <c r="U9" s="21" t="str">
        <f>IF(ISNUMBER('TPS data'!U9),('TPS data'!U9/'Des TPS AFR'!U9)-1,"")</f>
        <v/>
      </c>
      <c r="V9" s="21" t="str">
        <f>IF(ISNUMBER('TPS data'!V9),('TPS data'!V9/'Des TPS AFR'!V9)-1,"")</f>
        <v/>
      </c>
      <c r="W9" s="21" t="str">
        <f>IF(ISNUMBER('TPS data'!W9),('TPS data'!W9/'Des TPS AFR'!W9)-1,"")</f>
        <v/>
      </c>
      <c r="X9" s="21" t="str">
        <f>IF(ISNUMBER('TPS data'!X9),('TPS data'!X9/'Des TPS AFR'!X9)-1,"")</f>
        <v/>
      </c>
    </row>
    <row r="10" spans="1:24" x14ac:dyDescent="0.25">
      <c r="A10" s="15">
        <v>2400</v>
      </c>
      <c r="B10" s="21" t="str">
        <f>IF(ISNUMBER('TPS data'!B10),('TPS data'!B10/'Des TPS AFR'!B10)-1,"")</f>
        <v/>
      </c>
      <c r="C10" s="21" t="str">
        <f>IF(ISNUMBER('TPS data'!C10),('TPS data'!C10/'Des TPS AFR'!C10)-1,"")</f>
        <v/>
      </c>
      <c r="D10" s="21" t="str">
        <f>IF(ISNUMBER('TPS data'!D10),('TPS data'!D10/'Des TPS AFR'!D10)-1,"")</f>
        <v/>
      </c>
      <c r="E10" s="21" t="str">
        <f>IF(ISNUMBER('TPS data'!E10),('TPS data'!E10/'Des TPS AFR'!E10)-1,"")</f>
        <v/>
      </c>
      <c r="F10" s="21" t="str">
        <f>IF(ISNUMBER('TPS data'!F10),('TPS data'!F10/'Des TPS AFR'!F10)-1,"")</f>
        <v/>
      </c>
      <c r="G10" s="21" t="str">
        <f>IF(ISNUMBER('TPS data'!G10),('TPS data'!G10/'Des TPS AFR'!G10)-1,"")</f>
        <v/>
      </c>
      <c r="H10" s="21" t="str">
        <f>IF(ISNUMBER('TPS data'!H10),('TPS data'!H10/'Des TPS AFR'!H10)-1,"")</f>
        <v/>
      </c>
      <c r="I10" s="21" t="str">
        <f>IF(ISNUMBER('TPS data'!I10),('TPS data'!I10/'Des TPS AFR'!I10)-1,"")</f>
        <v/>
      </c>
      <c r="J10" s="21" t="str">
        <f>IF(ISNUMBER('TPS data'!J10),('TPS data'!J10/'Des TPS AFR'!J10)-1,"")</f>
        <v/>
      </c>
      <c r="K10" s="21" t="str">
        <f>IF(ISNUMBER('TPS data'!K10),('TPS data'!K10/'Des TPS AFR'!K10)-1,"")</f>
        <v/>
      </c>
      <c r="L10" s="21" t="str">
        <f>IF(ISNUMBER('TPS data'!L10),('TPS data'!L10/'Des TPS AFR'!L10)-1,"")</f>
        <v/>
      </c>
      <c r="M10" s="21" t="str">
        <f>IF(ISNUMBER('TPS data'!M10),('TPS data'!M10/'Des TPS AFR'!M10)-1,"")</f>
        <v/>
      </c>
      <c r="N10" s="21" t="str">
        <f>IF(ISNUMBER('TPS data'!N10),('TPS data'!N10/'Des TPS AFR'!N10)-1,"")</f>
        <v/>
      </c>
      <c r="O10" s="21" t="str">
        <f>IF(ISNUMBER('TPS data'!O10),('TPS data'!O10/'Des TPS AFR'!O10)-1,"")</f>
        <v/>
      </c>
      <c r="P10" s="21" t="str">
        <f>IF(ISNUMBER('TPS data'!P10),('TPS data'!P10/'Des TPS AFR'!P10)-1,"")</f>
        <v/>
      </c>
      <c r="Q10" s="21" t="str">
        <f>IF(ISNUMBER('TPS data'!Q10),('TPS data'!Q10/'Des TPS AFR'!Q10)-1,"")</f>
        <v/>
      </c>
      <c r="R10" s="21" t="str">
        <f>IF(ISNUMBER('TPS data'!R10),('TPS data'!R10/'Des TPS AFR'!R10)-1,"")</f>
        <v/>
      </c>
      <c r="S10" s="21" t="str">
        <f>IF(ISNUMBER('TPS data'!S10),('TPS data'!S10/'Des TPS AFR'!S10)-1,"")</f>
        <v/>
      </c>
      <c r="T10" s="21" t="str">
        <f>IF(ISNUMBER('TPS data'!T10),('TPS data'!T10/'Des TPS AFR'!T10)-1,"")</f>
        <v/>
      </c>
      <c r="U10" s="21" t="str">
        <f>IF(ISNUMBER('TPS data'!U10),('TPS data'!U10/'Des TPS AFR'!U10)-1,"")</f>
        <v/>
      </c>
      <c r="V10" s="21" t="str">
        <f>IF(ISNUMBER('TPS data'!V10),('TPS data'!V10/'Des TPS AFR'!V10)-1,"")</f>
        <v/>
      </c>
      <c r="W10" s="21" t="str">
        <f>IF(ISNUMBER('TPS data'!W10),('TPS data'!W10/'Des TPS AFR'!W10)-1,"")</f>
        <v/>
      </c>
      <c r="X10" s="21" t="str">
        <f>IF(ISNUMBER('TPS data'!X10),('TPS data'!X10/'Des TPS AFR'!X10)-1,"")</f>
        <v/>
      </c>
    </row>
    <row r="11" spans="1:24" x14ac:dyDescent="0.25">
      <c r="A11" s="15">
        <v>2600</v>
      </c>
      <c r="B11" s="21" t="str">
        <f>IF(ISNUMBER('TPS data'!B11),('TPS data'!B11/'Des TPS AFR'!B11)-1,"")</f>
        <v/>
      </c>
      <c r="C11" s="21" t="str">
        <f>IF(ISNUMBER('TPS data'!C11),('TPS data'!C11/'Des TPS AFR'!C11)-1,"")</f>
        <v/>
      </c>
      <c r="D11" s="21" t="str">
        <f>IF(ISNUMBER('TPS data'!D11),('TPS data'!D11/'Des TPS AFR'!D11)-1,"")</f>
        <v/>
      </c>
      <c r="E11" s="21" t="str">
        <f>IF(ISNUMBER('TPS data'!E11),('TPS data'!E11/'Des TPS AFR'!E11)-1,"")</f>
        <v/>
      </c>
      <c r="F11" s="21" t="str">
        <f>IF(ISNUMBER('TPS data'!F11),('TPS data'!F11/'Des TPS AFR'!F11)-1,"")</f>
        <v/>
      </c>
      <c r="G11" s="21" t="str">
        <f>IF(ISNUMBER('TPS data'!G11),('TPS data'!G11/'Des TPS AFR'!G11)-1,"")</f>
        <v/>
      </c>
      <c r="H11" s="21" t="str">
        <f>IF(ISNUMBER('TPS data'!H11),('TPS data'!H11/'Des TPS AFR'!H11)-1,"")</f>
        <v/>
      </c>
      <c r="I11" s="21" t="str">
        <f>IF(ISNUMBER('TPS data'!I11),('TPS data'!I11/'Des TPS AFR'!I11)-1,"")</f>
        <v/>
      </c>
      <c r="J11" s="21" t="str">
        <f>IF(ISNUMBER('TPS data'!J11),('TPS data'!J11/'Des TPS AFR'!J11)-1,"")</f>
        <v/>
      </c>
      <c r="K11" s="21" t="str">
        <f>IF(ISNUMBER('TPS data'!K11),('TPS data'!K11/'Des TPS AFR'!K11)-1,"")</f>
        <v/>
      </c>
      <c r="L11" s="21" t="str">
        <f>IF(ISNUMBER('TPS data'!L11),('TPS data'!L11/'Des TPS AFR'!L11)-1,"")</f>
        <v/>
      </c>
      <c r="M11" s="21" t="str">
        <f>IF(ISNUMBER('TPS data'!M11),('TPS data'!M11/'Des TPS AFR'!M11)-1,"")</f>
        <v/>
      </c>
      <c r="N11" s="21" t="str">
        <f>IF(ISNUMBER('TPS data'!N11),('TPS data'!N11/'Des TPS AFR'!N11)-1,"")</f>
        <v/>
      </c>
      <c r="O11" s="21" t="str">
        <f>IF(ISNUMBER('TPS data'!O11),('TPS data'!O11/'Des TPS AFR'!O11)-1,"")</f>
        <v/>
      </c>
      <c r="P11" s="21" t="str">
        <f>IF(ISNUMBER('TPS data'!P11),('TPS data'!P11/'Des TPS AFR'!P11)-1,"")</f>
        <v/>
      </c>
      <c r="Q11" s="21" t="str">
        <f>IF(ISNUMBER('TPS data'!Q11),('TPS data'!Q11/'Des TPS AFR'!Q11)-1,"")</f>
        <v/>
      </c>
      <c r="R11" s="21" t="str">
        <f>IF(ISNUMBER('TPS data'!R11),('TPS data'!R11/'Des TPS AFR'!R11)-1,"")</f>
        <v/>
      </c>
      <c r="S11" s="21" t="str">
        <f>IF(ISNUMBER('TPS data'!S11),('TPS data'!S11/'Des TPS AFR'!S11)-1,"")</f>
        <v/>
      </c>
      <c r="T11" s="21" t="str">
        <f>IF(ISNUMBER('TPS data'!T11),('TPS data'!T11/'Des TPS AFR'!T11)-1,"")</f>
        <v/>
      </c>
      <c r="U11" s="21" t="str">
        <f>IF(ISNUMBER('TPS data'!U11),('TPS data'!U11/'Des TPS AFR'!U11)-1,"")</f>
        <v/>
      </c>
      <c r="V11" s="21" t="str">
        <f>IF(ISNUMBER('TPS data'!V11),('TPS data'!V11/'Des TPS AFR'!V11)-1,"")</f>
        <v/>
      </c>
      <c r="W11" s="21" t="str">
        <f>IF(ISNUMBER('TPS data'!W11),('TPS data'!W11/'Des TPS AFR'!W11)-1,"")</f>
        <v/>
      </c>
      <c r="X11" s="21" t="str">
        <f>IF(ISNUMBER('TPS data'!X11),('TPS data'!X11/'Des TPS AFR'!X11)-1,"")</f>
        <v/>
      </c>
    </row>
    <row r="12" spans="1:24" x14ac:dyDescent="0.25">
      <c r="A12" s="15">
        <v>2800</v>
      </c>
      <c r="B12" s="21" t="str">
        <f>IF(ISNUMBER('TPS data'!B12),('TPS data'!B12/'Des TPS AFR'!B12)-1,"")</f>
        <v/>
      </c>
      <c r="C12" s="21" t="str">
        <f>IF(ISNUMBER('TPS data'!C12),('TPS data'!C12/'Des TPS AFR'!C12)-1,"")</f>
        <v/>
      </c>
      <c r="D12" s="21" t="str">
        <f>IF(ISNUMBER('TPS data'!D12),('TPS data'!D12/'Des TPS AFR'!D12)-1,"")</f>
        <v/>
      </c>
      <c r="E12" s="21" t="str">
        <f>IF(ISNUMBER('TPS data'!E12),('TPS data'!E12/'Des TPS AFR'!E12)-1,"")</f>
        <v/>
      </c>
      <c r="F12" s="21" t="str">
        <f>IF(ISNUMBER('TPS data'!F12),('TPS data'!F12/'Des TPS AFR'!F12)-1,"")</f>
        <v/>
      </c>
      <c r="G12" s="21" t="str">
        <f>IF(ISNUMBER('TPS data'!G12),('TPS data'!G12/'Des TPS AFR'!G12)-1,"")</f>
        <v/>
      </c>
      <c r="H12" s="21" t="str">
        <f>IF(ISNUMBER('TPS data'!H12),('TPS data'!H12/'Des TPS AFR'!H12)-1,"")</f>
        <v/>
      </c>
      <c r="I12" s="21" t="str">
        <f>IF(ISNUMBER('TPS data'!I12),('TPS data'!I12/'Des TPS AFR'!I12)-1,"")</f>
        <v/>
      </c>
      <c r="J12" s="21" t="str">
        <f>IF(ISNUMBER('TPS data'!J12),('TPS data'!J12/'Des TPS AFR'!J12)-1,"")</f>
        <v/>
      </c>
      <c r="K12" s="21" t="str">
        <f>IF(ISNUMBER('TPS data'!K12),('TPS data'!K12/'Des TPS AFR'!K12)-1,"")</f>
        <v/>
      </c>
      <c r="L12" s="21" t="str">
        <f>IF(ISNUMBER('TPS data'!L12),('TPS data'!L12/'Des TPS AFR'!L12)-1,"")</f>
        <v/>
      </c>
      <c r="M12" s="21" t="str">
        <f>IF(ISNUMBER('TPS data'!M12),('TPS data'!M12/'Des TPS AFR'!M12)-1,"")</f>
        <v/>
      </c>
      <c r="N12" s="21" t="str">
        <f>IF(ISNUMBER('TPS data'!N12),('TPS data'!N12/'Des TPS AFR'!N12)-1,"")</f>
        <v/>
      </c>
      <c r="O12" s="21" t="str">
        <f>IF(ISNUMBER('TPS data'!O12),('TPS data'!O12/'Des TPS AFR'!O12)-1,"")</f>
        <v/>
      </c>
      <c r="P12" s="21" t="str">
        <f>IF(ISNUMBER('TPS data'!P12),('TPS data'!P12/'Des TPS AFR'!P12)-1,"")</f>
        <v/>
      </c>
      <c r="Q12" s="21" t="str">
        <f>IF(ISNUMBER('TPS data'!Q12),('TPS data'!Q12/'Des TPS AFR'!Q12)-1,"")</f>
        <v/>
      </c>
      <c r="R12" s="21" t="str">
        <f>IF(ISNUMBER('TPS data'!R12),('TPS data'!R12/'Des TPS AFR'!R12)-1,"")</f>
        <v/>
      </c>
      <c r="S12" s="21" t="str">
        <f>IF(ISNUMBER('TPS data'!S12),('TPS data'!S12/'Des TPS AFR'!S12)-1,"")</f>
        <v/>
      </c>
      <c r="T12" s="21" t="str">
        <f>IF(ISNUMBER('TPS data'!T12),('TPS data'!T12/'Des TPS AFR'!T12)-1,"")</f>
        <v/>
      </c>
      <c r="U12" s="21" t="str">
        <f>IF(ISNUMBER('TPS data'!U12),('TPS data'!U12/'Des TPS AFR'!U12)-1,"")</f>
        <v/>
      </c>
      <c r="V12" s="21" t="str">
        <f>IF(ISNUMBER('TPS data'!V12),('TPS data'!V12/'Des TPS AFR'!V12)-1,"")</f>
        <v/>
      </c>
      <c r="W12" s="21" t="str">
        <f>IF(ISNUMBER('TPS data'!W12),('TPS data'!W12/'Des TPS AFR'!W12)-1,"")</f>
        <v/>
      </c>
      <c r="X12" s="21" t="str">
        <f>IF(ISNUMBER('TPS data'!X12),('TPS data'!X12/'Des TPS AFR'!X12)-1,"")</f>
        <v/>
      </c>
    </row>
    <row r="13" spans="1:24" x14ac:dyDescent="0.25">
      <c r="A13" s="15">
        <v>3000</v>
      </c>
      <c r="B13" s="21" t="str">
        <f>IF(ISNUMBER('TPS data'!B13),('TPS data'!B13/'Des TPS AFR'!B13)-1,"")</f>
        <v/>
      </c>
      <c r="C13" s="21" t="str">
        <f>IF(ISNUMBER('TPS data'!C13),('TPS data'!C13/'Des TPS AFR'!C13)-1,"")</f>
        <v/>
      </c>
      <c r="D13" s="21" t="str">
        <f>IF(ISNUMBER('TPS data'!D13),('TPS data'!D13/'Des TPS AFR'!D13)-1,"")</f>
        <v/>
      </c>
      <c r="E13" s="21" t="str">
        <f>IF(ISNUMBER('TPS data'!E13),('TPS data'!E13/'Des TPS AFR'!E13)-1,"")</f>
        <v/>
      </c>
      <c r="F13" s="21" t="str">
        <f>IF(ISNUMBER('TPS data'!F13),('TPS data'!F13/'Des TPS AFR'!F13)-1,"")</f>
        <v/>
      </c>
      <c r="G13" s="21" t="str">
        <f>IF(ISNUMBER('TPS data'!G13),('TPS data'!G13/'Des TPS AFR'!G13)-1,"")</f>
        <v/>
      </c>
      <c r="H13" s="21" t="str">
        <f>IF(ISNUMBER('TPS data'!H13),('TPS data'!H13/'Des TPS AFR'!H13)-1,"")</f>
        <v/>
      </c>
      <c r="I13" s="21" t="str">
        <f>IF(ISNUMBER('TPS data'!I13),('TPS data'!I13/'Des TPS AFR'!I13)-1,"")</f>
        <v/>
      </c>
      <c r="J13" s="21" t="str">
        <f>IF(ISNUMBER('TPS data'!J13),('TPS data'!J13/'Des TPS AFR'!J13)-1,"")</f>
        <v/>
      </c>
      <c r="K13" s="21" t="str">
        <f>IF(ISNUMBER('TPS data'!K13),('TPS data'!K13/'Des TPS AFR'!K13)-1,"")</f>
        <v/>
      </c>
      <c r="L13" s="21" t="str">
        <f>IF(ISNUMBER('TPS data'!L13),('TPS data'!L13/'Des TPS AFR'!L13)-1,"")</f>
        <v/>
      </c>
      <c r="M13" s="21" t="str">
        <f>IF(ISNUMBER('TPS data'!M13),('TPS data'!M13/'Des TPS AFR'!M13)-1,"")</f>
        <v/>
      </c>
      <c r="N13" s="21" t="str">
        <f>IF(ISNUMBER('TPS data'!N13),('TPS data'!N13/'Des TPS AFR'!N13)-1,"")</f>
        <v/>
      </c>
      <c r="O13" s="21" t="str">
        <f>IF(ISNUMBER('TPS data'!O13),('TPS data'!O13/'Des TPS AFR'!O13)-1,"")</f>
        <v/>
      </c>
      <c r="P13" s="21" t="str">
        <f>IF(ISNUMBER('TPS data'!P13),('TPS data'!P13/'Des TPS AFR'!P13)-1,"")</f>
        <v/>
      </c>
      <c r="Q13" s="21" t="str">
        <f>IF(ISNUMBER('TPS data'!Q13),('TPS data'!Q13/'Des TPS AFR'!Q13)-1,"")</f>
        <v/>
      </c>
      <c r="R13" s="21" t="str">
        <f>IF(ISNUMBER('TPS data'!R13),('TPS data'!R13/'Des TPS AFR'!R13)-1,"")</f>
        <v/>
      </c>
      <c r="S13" s="21" t="str">
        <f>IF(ISNUMBER('TPS data'!S13),('TPS data'!S13/'Des TPS AFR'!S13)-1,"")</f>
        <v/>
      </c>
      <c r="T13" s="21" t="str">
        <f>IF(ISNUMBER('TPS data'!T13),('TPS data'!T13/'Des TPS AFR'!T13)-1,"")</f>
        <v/>
      </c>
      <c r="U13" s="21" t="str">
        <f>IF(ISNUMBER('TPS data'!U13),('TPS data'!U13/'Des TPS AFR'!U13)-1,"")</f>
        <v/>
      </c>
      <c r="V13" s="21" t="str">
        <f>IF(ISNUMBER('TPS data'!V13),('TPS data'!V13/'Des TPS AFR'!V13)-1,"")</f>
        <v/>
      </c>
      <c r="W13" s="21" t="str">
        <f>IF(ISNUMBER('TPS data'!W13),('TPS data'!W13/'Des TPS AFR'!W13)-1,"")</f>
        <v/>
      </c>
      <c r="X13" s="21" t="str">
        <f>IF(ISNUMBER('TPS data'!X13),('TPS data'!X13/'Des TPS AFR'!X13)-1,"")</f>
        <v/>
      </c>
    </row>
    <row r="14" spans="1:24" x14ac:dyDescent="0.25">
      <c r="A14" s="15">
        <v>3200</v>
      </c>
      <c r="B14" s="21" t="str">
        <f>IF(ISNUMBER('TPS data'!B14),('TPS data'!B14/'Des TPS AFR'!B14)-1,"")</f>
        <v/>
      </c>
      <c r="C14" s="21" t="str">
        <f>IF(ISNUMBER('TPS data'!C14),('TPS data'!C14/'Des TPS AFR'!C14)-1,"")</f>
        <v/>
      </c>
      <c r="D14" s="21" t="str">
        <f>IF(ISNUMBER('TPS data'!D14),('TPS data'!D14/'Des TPS AFR'!D14)-1,"")</f>
        <v/>
      </c>
      <c r="E14" s="21" t="str">
        <f>IF(ISNUMBER('TPS data'!E14),('TPS data'!E14/'Des TPS AFR'!E14)-1,"")</f>
        <v/>
      </c>
      <c r="F14" s="21" t="str">
        <f>IF(ISNUMBER('TPS data'!F14),('TPS data'!F14/'Des TPS AFR'!F14)-1,"")</f>
        <v/>
      </c>
      <c r="G14" s="21" t="str">
        <f>IF(ISNUMBER('TPS data'!G14),('TPS data'!G14/'Des TPS AFR'!G14)-1,"")</f>
        <v/>
      </c>
      <c r="H14" s="21" t="str">
        <f>IF(ISNUMBER('TPS data'!H14),('TPS data'!H14/'Des TPS AFR'!H14)-1,"")</f>
        <v/>
      </c>
      <c r="I14" s="21" t="str">
        <f>IF(ISNUMBER('TPS data'!I14),('TPS data'!I14/'Des TPS AFR'!I14)-1,"")</f>
        <v/>
      </c>
      <c r="J14" s="21" t="str">
        <f>IF(ISNUMBER('TPS data'!J14),('TPS data'!J14/'Des TPS AFR'!J14)-1,"")</f>
        <v/>
      </c>
      <c r="K14" s="21" t="str">
        <f>IF(ISNUMBER('TPS data'!K14),('TPS data'!K14/'Des TPS AFR'!K14)-1,"")</f>
        <v/>
      </c>
      <c r="L14" s="21" t="str">
        <f>IF(ISNUMBER('TPS data'!L14),('TPS data'!L14/'Des TPS AFR'!L14)-1,"")</f>
        <v/>
      </c>
      <c r="M14" s="21" t="str">
        <f>IF(ISNUMBER('TPS data'!M14),('TPS data'!M14/'Des TPS AFR'!M14)-1,"")</f>
        <v/>
      </c>
      <c r="N14" s="21" t="str">
        <f>IF(ISNUMBER('TPS data'!N14),('TPS data'!N14/'Des TPS AFR'!N14)-1,"")</f>
        <v/>
      </c>
      <c r="O14" s="21" t="str">
        <f>IF(ISNUMBER('TPS data'!O14),('TPS data'!O14/'Des TPS AFR'!O14)-1,"")</f>
        <v/>
      </c>
      <c r="P14" s="21" t="str">
        <f>IF(ISNUMBER('TPS data'!P14),('TPS data'!P14/'Des TPS AFR'!P14)-1,"")</f>
        <v/>
      </c>
      <c r="Q14" s="21" t="str">
        <f>IF(ISNUMBER('TPS data'!Q14),('TPS data'!Q14/'Des TPS AFR'!Q14)-1,"")</f>
        <v/>
      </c>
      <c r="R14" s="21" t="str">
        <f>IF(ISNUMBER('TPS data'!R14),('TPS data'!R14/'Des TPS AFR'!R14)-1,"")</f>
        <v/>
      </c>
      <c r="S14" s="21" t="str">
        <f>IF(ISNUMBER('TPS data'!S14),('TPS data'!S14/'Des TPS AFR'!S14)-1,"")</f>
        <v/>
      </c>
      <c r="T14" s="21" t="str">
        <f>IF(ISNUMBER('TPS data'!T14),('TPS data'!T14/'Des TPS AFR'!T14)-1,"")</f>
        <v/>
      </c>
      <c r="U14" s="21" t="str">
        <f>IF(ISNUMBER('TPS data'!U14),('TPS data'!U14/'Des TPS AFR'!U14)-1,"")</f>
        <v/>
      </c>
      <c r="V14" s="21" t="str">
        <f>IF(ISNUMBER('TPS data'!V14),('TPS data'!V14/'Des TPS AFR'!V14)-1,"")</f>
        <v/>
      </c>
      <c r="W14" s="21" t="str">
        <f>IF(ISNUMBER('TPS data'!W14),('TPS data'!W14/'Des TPS AFR'!W14)-1,"")</f>
        <v/>
      </c>
      <c r="X14" s="21" t="str">
        <f>IF(ISNUMBER('TPS data'!X14),('TPS data'!X14/'Des TPS AFR'!X14)-1,"")</f>
        <v/>
      </c>
    </row>
    <row r="15" spans="1:24" x14ac:dyDescent="0.25">
      <c r="A15" s="15">
        <v>3400</v>
      </c>
      <c r="B15" s="21" t="str">
        <f>IF(ISNUMBER('TPS data'!B15),('TPS data'!B15/'Des TPS AFR'!B15)-1,"")</f>
        <v/>
      </c>
      <c r="C15" s="21" t="str">
        <f>IF(ISNUMBER('TPS data'!C15),('TPS data'!C15/'Des TPS AFR'!C15)-1,"")</f>
        <v/>
      </c>
      <c r="D15" s="21" t="str">
        <f>IF(ISNUMBER('TPS data'!D15),('TPS data'!D15/'Des TPS AFR'!D15)-1,"")</f>
        <v/>
      </c>
      <c r="E15" s="21" t="str">
        <f>IF(ISNUMBER('TPS data'!E15),('TPS data'!E15/'Des TPS AFR'!E15)-1,"")</f>
        <v/>
      </c>
      <c r="F15" s="21" t="str">
        <f>IF(ISNUMBER('TPS data'!F15),('TPS data'!F15/'Des TPS AFR'!F15)-1,"")</f>
        <v/>
      </c>
      <c r="G15" s="21" t="str">
        <f>IF(ISNUMBER('TPS data'!G15),('TPS data'!G15/'Des TPS AFR'!G15)-1,"")</f>
        <v/>
      </c>
      <c r="H15" s="21" t="str">
        <f>IF(ISNUMBER('TPS data'!H15),('TPS data'!H15/'Des TPS AFR'!H15)-1,"")</f>
        <v/>
      </c>
      <c r="I15" s="21" t="str">
        <f>IF(ISNUMBER('TPS data'!I15),('TPS data'!I15/'Des TPS AFR'!I15)-1,"")</f>
        <v/>
      </c>
      <c r="J15" s="21" t="str">
        <f>IF(ISNUMBER('TPS data'!J15),('TPS data'!J15/'Des TPS AFR'!J15)-1,"")</f>
        <v/>
      </c>
      <c r="K15" s="21" t="str">
        <f>IF(ISNUMBER('TPS data'!K15),('TPS data'!K15/'Des TPS AFR'!K15)-1,"")</f>
        <v/>
      </c>
      <c r="L15" s="21" t="str">
        <f>IF(ISNUMBER('TPS data'!L15),('TPS data'!L15/'Des TPS AFR'!L15)-1,"")</f>
        <v/>
      </c>
      <c r="M15" s="21" t="str">
        <f>IF(ISNUMBER('TPS data'!M15),('TPS data'!M15/'Des TPS AFR'!M15)-1,"")</f>
        <v/>
      </c>
      <c r="N15" s="21" t="str">
        <f>IF(ISNUMBER('TPS data'!N15),('TPS data'!N15/'Des TPS AFR'!N15)-1,"")</f>
        <v/>
      </c>
      <c r="O15" s="21" t="str">
        <f>IF(ISNUMBER('TPS data'!O15),('TPS data'!O15/'Des TPS AFR'!O15)-1,"")</f>
        <v/>
      </c>
      <c r="P15" s="21" t="str">
        <f>IF(ISNUMBER('TPS data'!P15),('TPS data'!P15/'Des TPS AFR'!P15)-1,"")</f>
        <v/>
      </c>
      <c r="Q15" s="21" t="str">
        <f>IF(ISNUMBER('TPS data'!Q15),('TPS data'!Q15/'Des TPS AFR'!Q15)-1,"")</f>
        <v/>
      </c>
      <c r="R15" s="21" t="str">
        <f>IF(ISNUMBER('TPS data'!R15),('TPS data'!R15/'Des TPS AFR'!R15)-1,"")</f>
        <v/>
      </c>
      <c r="S15" s="21" t="str">
        <f>IF(ISNUMBER('TPS data'!S15),('TPS data'!S15/'Des TPS AFR'!S15)-1,"")</f>
        <v/>
      </c>
      <c r="T15" s="21" t="str">
        <f>IF(ISNUMBER('TPS data'!T15),('TPS data'!T15/'Des TPS AFR'!T15)-1,"")</f>
        <v/>
      </c>
      <c r="U15" s="21" t="str">
        <f>IF(ISNUMBER('TPS data'!U15),('TPS data'!U15/'Des TPS AFR'!U15)-1,"")</f>
        <v/>
      </c>
      <c r="V15" s="21" t="str">
        <f>IF(ISNUMBER('TPS data'!V15),('TPS data'!V15/'Des TPS AFR'!V15)-1,"")</f>
        <v/>
      </c>
      <c r="W15" s="21" t="str">
        <f>IF(ISNUMBER('TPS data'!W15),('TPS data'!W15/'Des TPS AFR'!W15)-1,"")</f>
        <v/>
      </c>
      <c r="X15" s="21" t="str">
        <f>IF(ISNUMBER('TPS data'!X15),('TPS data'!X15/'Des TPS AFR'!X15)-1,"")</f>
        <v/>
      </c>
    </row>
    <row r="16" spans="1:24" x14ac:dyDescent="0.25">
      <c r="A16" s="15">
        <v>3600</v>
      </c>
      <c r="B16" s="21" t="str">
        <f>IF(ISNUMBER('TPS data'!B16),('TPS data'!B16/'Des TPS AFR'!B16)-1,"")</f>
        <v/>
      </c>
      <c r="C16" s="21" t="str">
        <f>IF(ISNUMBER('TPS data'!C16),('TPS data'!C16/'Des TPS AFR'!C16)-1,"")</f>
        <v/>
      </c>
      <c r="D16" s="21" t="str">
        <f>IF(ISNUMBER('TPS data'!D16),('TPS data'!D16/'Des TPS AFR'!D16)-1,"")</f>
        <v/>
      </c>
      <c r="E16" s="21" t="str">
        <f>IF(ISNUMBER('TPS data'!E16),('TPS data'!E16/'Des TPS AFR'!E16)-1,"")</f>
        <v/>
      </c>
      <c r="F16" s="21" t="str">
        <f>IF(ISNUMBER('TPS data'!F16),('TPS data'!F16/'Des TPS AFR'!F16)-1,"")</f>
        <v/>
      </c>
      <c r="G16" s="21" t="str">
        <f>IF(ISNUMBER('TPS data'!G16),('TPS data'!G16/'Des TPS AFR'!G16)-1,"")</f>
        <v/>
      </c>
      <c r="H16" s="21" t="str">
        <f>IF(ISNUMBER('TPS data'!H16),('TPS data'!H16/'Des TPS AFR'!H16)-1,"")</f>
        <v/>
      </c>
      <c r="I16" s="21" t="str">
        <f>IF(ISNUMBER('TPS data'!I16),('TPS data'!I16/'Des TPS AFR'!I16)-1,"")</f>
        <v/>
      </c>
      <c r="J16" s="21" t="str">
        <f>IF(ISNUMBER('TPS data'!J16),('TPS data'!J16/'Des TPS AFR'!J16)-1,"")</f>
        <v/>
      </c>
      <c r="K16" s="21" t="str">
        <f>IF(ISNUMBER('TPS data'!K16),('TPS data'!K16/'Des TPS AFR'!K16)-1,"")</f>
        <v/>
      </c>
      <c r="L16" s="21" t="str">
        <f>IF(ISNUMBER('TPS data'!L16),('TPS data'!L16/'Des TPS AFR'!L16)-1,"")</f>
        <v/>
      </c>
      <c r="M16" s="21" t="str">
        <f>IF(ISNUMBER('TPS data'!M16),('TPS data'!M16/'Des TPS AFR'!M16)-1,"")</f>
        <v/>
      </c>
      <c r="N16" s="21" t="str">
        <f>IF(ISNUMBER('TPS data'!N16),('TPS data'!N16/'Des TPS AFR'!N16)-1,"")</f>
        <v/>
      </c>
      <c r="O16" s="21" t="str">
        <f>IF(ISNUMBER('TPS data'!O16),('TPS data'!O16/'Des TPS AFR'!O16)-1,"")</f>
        <v/>
      </c>
      <c r="P16" s="21" t="str">
        <f>IF(ISNUMBER('TPS data'!P16),('TPS data'!P16/'Des TPS AFR'!P16)-1,"")</f>
        <v/>
      </c>
      <c r="Q16" s="21" t="str">
        <f>IF(ISNUMBER('TPS data'!Q16),('TPS data'!Q16/'Des TPS AFR'!Q16)-1,"")</f>
        <v/>
      </c>
      <c r="R16" s="21" t="str">
        <f>IF(ISNUMBER('TPS data'!R16),('TPS data'!R16/'Des TPS AFR'!R16)-1,"")</f>
        <v/>
      </c>
      <c r="S16" s="21" t="str">
        <f>IF(ISNUMBER('TPS data'!S16),('TPS data'!S16/'Des TPS AFR'!S16)-1,"")</f>
        <v/>
      </c>
      <c r="T16" s="21" t="str">
        <f>IF(ISNUMBER('TPS data'!T16),('TPS data'!T16/'Des TPS AFR'!T16)-1,"")</f>
        <v/>
      </c>
      <c r="U16" s="21" t="str">
        <f>IF(ISNUMBER('TPS data'!U16),('TPS data'!U16/'Des TPS AFR'!U16)-1,"")</f>
        <v/>
      </c>
      <c r="V16" s="21" t="str">
        <f>IF(ISNUMBER('TPS data'!V16),('TPS data'!V16/'Des TPS AFR'!V16)-1,"")</f>
        <v/>
      </c>
      <c r="W16" s="21" t="str">
        <f>IF(ISNUMBER('TPS data'!W16),('TPS data'!W16/'Des TPS AFR'!W16)-1,"")</f>
        <v/>
      </c>
      <c r="X16" s="21" t="str">
        <f>IF(ISNUMBER('TPS data'!X16),('TPS data'!X16/'Des TPS AFR'!X16)-1,"")</f>
        <v/>
      </c>
    </row>
    <row r="17" spans="1:24" x14ac:dyDescent="0.25">
      <c r="A17" s="15">
        <v>3800</v>
      </c>
      <c r="B17" s="21" t="str">
        <f>IF(ISNUMBER('TPS data'!B17),('TPS data'!B17/'Des TPS AFR'!B17)-1,"")</f>
        <v/>
      </c>
      <c r="C17" s="21" t="str">
        <f>IF(ISNUMBER('TPS data'!C17),('TPS data'!C17/'Des TPS AFR'!C17)-1,"")</f>
        <v/>
      </c>
      <c r="D17" s="21" t="str">
        <f>IF(ISNUMBER('TPS data'!D17),('TPS data'!D17/'Des TPS AFR'!D17)-1,"")</f>
        <v/>
      </c>
      <c r="E17" s="21" t="str">
        <f>IF(ISNUMBER('TPS data'!E17),('TPS data'!E17/'Des TPS AFR'!E17)-1,"")</f>
        <v/>
      </c>
      <c r="F17" s="21" t="str">
        <f>IF(ISNUMBER('TPS data'!F17),('TPS data'!F17/'Des TPS AFR'!F17)-1,"")</f>
        <v/>
      </c>
      <c r="G17" s="21" t="str">
        <f>IF(ISNUMBER('TPS data'!G17),('TPS data'!G17/'Des TPS AFR'!G17)-1,"")</f>
        <v/>
      </c>
      <c r="H17" s="21" t="str">
        <f>IF(ISNUMBER('TPS data'!H17),('TPS data'!H17/'Des TPS AFR'!H17)-1,"")</f>
        <v/>
      </c>
      <c r="I17" s="21" t="str">
        <f>IF(ISNUMBER('TPS data'!I17),('TPS data'!I17/'Des TPS AFR'!I17)-1,"")</f>
        <v/>
      </c>
      <c r="J17" s="21" t="str">
        <f>IF(ISNUMBER('TPS data'!J17),('TPS data'!J17/'Des TPS AFR'!J17)-1,"")</f>
        <v/>
      </c>
      <c r="K17" s="21" t="str">
        <f>IF(ISNUMBER('TPS data'!K17),('TPS data'!K17/'Des TPS AFR'!K17)-1,"")</f>
        <v/>
      </c>
      <c r="L17" s="21" t="str">
        <f>IF(ISNUMBER('TPS data'!L17),('TPS data'!L17/'Des TPS AFR'!L17)-1,"")</f>
        <v/>
      </c>
      <c r="M17" s="21" t="str">
        <f>IF(ISNUMBER('TPS data'!M17),('TPS data'!M17/'Des TPS AFR'!M17)-1,"")</f>
        <v/>
      </c>
      <c r="N17" s="21" t="str">
        <f>IF(ISNUMBER('TPS data'!N17),('TPS data'!N17/'Des TPS AFR'!N17)-1,"")</f>
        <v/>
      </c>
      <c r="O17" s="21" t="str">
        <f>IF(ISNUMBER('TPS data'!O17),('TPS data'!O17/'Des TPS AFR'!O17)-1,"")</f>
        <v/>
      </c>
      <c r="P17" s="21" t="str">
        <f>IF(ISNUMBER('TPS data'!P17),('TPS data'!P17/'Des TPS AFR'!P17)-1,"")</f>
        <v/>
      </c>
      <c r="Q17" s="21" t="str">
        <f>IF(ISNUMBER('TPS data'!Q17),('TPS data'!Q17/'Des TPS AFR'!Q17)-1,"")</f>
        <v/>
      </c>
      <c r="R17" s="21" t="str">
        <f>IF(ISNUMBER('TPS data'!R17),('TPS data'!R17/'Des TPS AFR'!R17)-1,"")</f>
        <v/>
      </c>
      <c r="S17" s="21" t="str">
        <f>IF(ISNUMBER('TPS data'!S17),('TPS data'!S17/'Des TPS AFR'!S17)-1,"")</f>
        <v/>
      </c>
      <c r="T17" s="21" t="str">
        <f>IF(ISNUMBER('TPS data'!T17),('TPS data'!T17/'Des TPS AFR'!T17)-1,"")</f>
        <v/>
      </c>
      <c r="U17" s="21" t="str">
        <f>IF(ISNUMBER('TPS data'!U17),('TPS data'!U17/'Des TPS AFR'!U17)-1,"")</f>
        <v/>
      </c>
      <c r="V17" s="21" t="str">
        <f>IF(ISNUMBER('TPS data'!V17),('TPS data'!V17/'Des TPS AFR'!V17)-1,"")</f>
        <v/>
      </c>
      <c r="W17" s="21" t="str">
        <f>IF(ISNUMBER('TPS data'!W17),('TPS data'!W17/'Des TPS AFR'!W17)-1,"")</f>
        <v/>
      </c>
      <c r="X17" s="21" t="str">
        <f>IF(ISNUMBER('TPS data'!X17),('TPS data'!X17/'Des TPS AFR'!X17)-1,"")</f>
        <v/>
      </c>
    </row>
    <row r="18" spans="1:24" x14ac:dyDescent="0.25">
      <c r="A18" s="15">
        <v>4000</v>
      </c>
      <c r="B18" s="21" t="str">
        <f>IF(ISNUMBER('TPS data'!B18),('TPS data'!B18/'Des TPS AFR'!B18)-1,"")</f>
        <v/>
      </c>
      <c r="C18" s="21" t="str">
        <f>IF(ISNUMBER('TPS data'!C18),('TPS data'!C18/'Des TPS AFR'!C18)-1,"")</f>
        <v/>
      </c>
      <c r="D18" s="21" t="str">
        <f>IF(ISNUMBER('TPS data'!D18),('TPS data'!D18/'Des TPS AFR'!D18)-1,"")</f>
        <v/>
      </c>
      <c r="E18" s="21" t="str">
        <f>IF(ISNUMBER('TPS data'!E18),('TPS data'!E18/'Des TPS AFR'!E18)-1,"")</f>
        <v/>
      </c>
      <c r="F18" s="21" t="str">
        <f>IF(ISNUMBER('TPS data'!F18),('TPS data'!F18/'Des TPS AFR'!F18)-1,"")</f>
        <v/>
      </c>
      <c r="G18" s="21" t="str">
        <f>IF(ISNUMBER('TPS data'!G18),('TPS data'!G18/'Des TPS AFR'!G18)-1,"")</f>
        <v/>
      </c>
      <c r="H18" s="21" t="str">
        <f>IF(ISNUMBER('TPS data'!H18),('TPS data'!H18/'Des TPS AFR'!H18)-1,"")</f>
        <v/>
      </c>
      <c r="I18" s="21" t="str">
        <f>IF(ISNUMBER('TPS data'!I18),('TPS data'!I18/'Des TPS AFR'!I18)-1,"")</f>
        <v/>
      </c>
      <c r="J18" s="21" t="str">
        <f>IF(ISNUMBER('TPS data'!J18),('TPS data'!J18/'Des TPS AFR'!J18)-1,"")</f>
        <v/>
      </c>
      <c r="K18" s="21" t="str">
        <f>IF(ISNUMBER('TPS data'!K18),('TPS data'!K18/'Des TPS AFR'!K18)-1,"")</f>
        <v/>
      </c>
      <c r="L18" s="21" t="str">
        <f>IF(ISNUMBER('TPS data'!L18),('TPS data'!L18/'Des TPS AFR'!L18)-1,"")</f>
        <v/>
      </c>
      <c r="M18" s="21" t="str">
        <f>IF(ISNUMBER('TPS data'!M18),('TPS data'!M18/'Des TPS AFR'!M18)-1,"")</f>
        <v/>
      </c>
      <c r="N18" s="21" t="str">
        <f>IF(ISNUMBER('TPS data'!N18),('TPS data'!N18/'Des TPS AFR'!N18)-1,"")</f>
        <v/>
      </c>
      <c r="O18" s="21" t="str">
        <f>IF(ISNUMBER('TPS data'!O18),('TPS data'!O18/'Des TPS AFR'!O18)-1,"")</f>
        <v/>
      </c>
      <c r="P18" s="21" t="str">
        <f>IF(ISNUMBER('TPS data'!P18),('TPS data'!P18/'Des TPS AFR'!P18)-1,"")</f>
        <v/>
      </c>
      <c r="Q18" s="21" t="str">
        <f>IF(ISNUMBER('TPS data'!Q18),('TPS data'!Q18/'Des TPS AFR'!Q18)-1,"")</f>
        <v/>
      </c>
      <c r="R18" s="21" t="str">
        <f>IF(ISNUMBER('TPS data'!R18),('TPS data'!R18/'Des TPS AFR'!R18)-1,"")</f>
        <v/>
      </c>
      <c r="S18" s="21" t="str">
        <f>IF(ISNUMBER('TPS data'!S18),('TPS data'!S18/'Des TPS AFR'!S18)-1,"")</f>
        <v/>
      </c>
      <c r="T18" s="21" t="str">
        <f>IF(ISNUMBER('TPS data'!T18),('TPS data'!T18/'Des TPS AFR'!T18)-1,"")</f>
        <v/>
      </c>
      <c r="U18" s="21" t="str">
        <f>IF(ISNUMBER('TPS data'!U18),('TPS data'!U18/'Des TPS AFR'!U18)-1,"")</f>
        <v/>
      </c>
      <c r="V18" s="21" t="str">
        <f>IF(ISNUMBER('TPS data'!V18),('TPS data'!V18/'Des TPS AFR'!V18)-1,"")</f>
        <v/>
      </c>
      <c r="W18" s="21" t="str">
        <f>IF(ISNUMBER('TPS data'!W18),('TPS data'!W18/'Des TPS AFR'!W18)-1,"")</f>
        <v/>
      </c>
      <c r="X18" s="21" t="str">
        <f>IF(ISNUMBER('TPS data'!X18),('TPS data'!X18/'Des TPS AFR'!X18)-1,"")</f>
        <v/>
      </c>
    </row>
    <row r="19" spans="1:24" x14ac:dyDescent="0.25">
      <c r="A19" s="15">
        <v>4200</v>
      </c>
      <c r="B19" s="21" t="str">
        <f>IF(ISNUMBER('TPS data'!B19),('TPS data'!B19/'Des TPS AFR'!B19)-1,"")</f>
        <v/>
      </c>
      <c r="C19" s="21" t="str">
        <f>IF(ISNUMBER('TPS data'!C19),('TPS data'!C19/'Des TPS AFR'!C19)-1,"")</f>
        <v/>
      </c>
      <c r="D19" s="21" t="str">
        <f>IF(ISNUMBER('TPS data'!D19),('TPS data'!D19/'Des TPS AFR'!D19)-1,"")</f>
        <v/>
      </c>
      <c r="E19" s="21" t="str">
        <f>IF(ISNUMBER('TPS data'!E19),('TPS data'!E19/'Des TPS AFR'!E19)-1,"")</f>
        <v/>
      </c>
      <c r="F19" s="21" t="str">
        <f>IF(ISNUMBER('TPS data'!F19),('TPS data'!F19/'Des TPS AFR'!F19)-1,"")</f>
        <v/>
      </c>
      <c r="G19" s="21" t="str">
        <f>IF(ISNUMBER('TPS data'!G19),('TPS data'!G19/'Des TPS AFR'!G19)-1,"")</f>
        <v/>
      </c>
      <c r="H19" s="21" t="str">
        <f>IF(ISNUMBER('TPS data'!H19),('TPS data'!H19/'Des TPS AFR'!H19)-1,"")</f>
        <v/>
      </c>
      <c r="I19" s="21" t="str">
        <f>IF(ISNUMBER('TPS data'!I19),('TPS data'!I19/'Des TPS AFR'!I19)-1,"")</f>
        <v/>
      </c>
      <c r="J19" s="21" t="str">
        <f>IF(ISNUMBER('TPS data'!J19),('TPS data'!J19/'Des TPS AFR'!J19)-1,"")</f>
        <v/>
      </c>
      <c r="K19" s="21" t="str">
        <f>IF(ISNUMBER('TPS data'!K19),('TPS data'!K19/'Des TPS AFR'!K19)-1,"")</f>
        <v/>
      </c>
      <c r="L19" s="21" t="str">
        <f>IF(ISNUMBER('TPS data'!L19),('TPS data'!L19/'Des TPS AFR'!L19)-1,"")</f>
        <v/>
      </c>
      <c r="M19" s="21" t="str">
        <f>IF(ISNUMBER('TPS data'!M19),('TPS data'!M19/'Des TPS AFR'!M19)-1,"")</f>
        <v/>
      </c>
      <c r="N19" s="21" t="str">
        <f>IF(ISNUMBER('TPS data'!N19),('TPS data'!N19/'Des TPS AFR'!N19)-1,"")</f>
        <v/>
      </c>
      <c r="O19" s="21" t="str">
        <f>IF(ISNUMBER('TPS data'!O19),('TPS data'!O19/'Des TPS AFR'!O19)-1,"")</f>
        <v/>
      </c>
      <c r="P19" s="21" t="str">
        <f>IF(ISNUMBER('TPS data'!P19),('TPS data'!P19/'Des TPS AFR'!P19)-1,"")</f>
        <v/>
      </c>
      <c r="Q19" s="21" t="str">
        <f>IF(ISNUMBER('TPS data'!Q19),('TPS data'!Q19/'Des TPS AFR'!Q19)-1,"")</f>
        <v/>
      </c>
      <c r="R19" s="21" t="str">
        <f>IF(ISNUMBER('TPS data'!R19),('TPS data'!R19/'Des TPS AFR'!R19)-1,"")</f>
        <v/>
      </c>
      <c r="S19" s="21" t="str">
        <f>IF(ISNUMBER('TPS data'!S19),('TPS data'!S19/'Des TPS AFR'!S19)-1,"")</f>
        <v/>
      </c>
      <c r="T19" s="21" t="str">
        <f>IF(ISNUMBER('TPS data'!T19),('TPS data'!T19/'Des TPS AFR'!T19)-1,"")</f>
        <v/>
      </c>
      <c r="U19" s="21" t="str">
        <f>IF(ISNUMBER('TPS data'!U19),('TPS data'!U19/'Des TPS AFR'!U19)-1,"")</f>
        <v/>
      </c>
      <c r="V19" s="21" t="str">
        <f>IF(ISNUMBER('TPS data'!V19),('TPS data'!V19/'Des TPS AFR'!V19)-1,"")</f>
        <v/>
      </c>
      <c r="W19" s="21" t="str">
        <f>IF(ISNUMBER('TPS data'!W19),('TPS data'!W19/'Des TPS AFR'!W19)-1,"")</f>
        <v/>
      </c>
      <c r="X19" s="21" t="str">
        <f>IF(ISNUMBER('TPS data'!X19),('TPS data'!X19/'Des TPS AFR'!X19)-1,"")</f>
        <v/>
      </c>
    </row>
    <row r="20" spans="1:24" x14ac:dyDescent="0.25">
      <c r="A20" s="15">
        <v>4400</v>
      </c>
      <c r="B20" s="21" t="str">
        <f>IF(ISNUMBER('TPS data'!B20),('TPS data'!B20/'Des TPS AFR'!B20)-1,"")</f>
        <v/>
      </c>
      <c r="C20" s="21" t="str">
        <f>IF(ISNUMBER('TPS data'!C20),('TPS data'!C20/'Des TPS AFR'!C20)-1,"")</f>
        <v/>
      </c>
      <c r="D20" s="21" t="str">
        <f>IF(ISNUMBER('TPS data'!D20),('TPS data'!D20/'Des TPS AFR'!D20)-1,"")</f>
        <v/>
      </c>
      <c r="E20" s="21" t="str">
        <f>IF(ISNUMBER('TPS data'!E20),('TPS data'!E20/'Des TPS AFR'!E20)-1,"")</f>
        <v/>
      </c>
      <c r="F20" s="21" t="str">
        <f>IF(ISNUMBER('TPS data'!F20),('TPS data'!F20/'Des TPS AFR'!F20)-1,"")</f>
        <v/>
      </c>
      <c r="G20" s="21" t="str">
        <f>IF(ISNUMBER('TPS data'!G20),('TPS data'!G20/'Des TPS AFR'!G20)-1,"")</f>
        <v/>
      </c>
      <c r="H20" s="21" t="str">
        <f>IF(ISNUMBER('TPS data'!H20),('TPS data'!H20/'Des TPS AFR'!H20)-1,"")</f>
        <v/>
      </c>
      <c r="I20" s="21" t="str">
        <f>IF(ISNUMBER('TPS data'!I20),('TPS data'!I20/'Des TPS AFR'!I20)-1,"")</f>
        <v/>
      </c>
      <c r="J20" s="21" t="str">
        <f>IF(ISNUMBER('TPS data'!J20),('TPS data'!J20/'Des TPS AFR'!J20)-1,"")</f>
        <v/>
      </c>
      <c r="K20" s="21" t="str">
        <f>IF(ISNUMBER('TPS data'!K20),('TPS data'!K20/'Des TPS AFR'!K20)-1,"")</f>
        <v/>
      </c>
      <c r="L20" s="21" t="str">
        <f>IF(ISNUMBER('TPS data'!L20),('TPS data'!L20/'Des TPS AFR'!L20)-1,"")</f>
        <v/>
      </c>
      <c r="M20" s="21" t="str">
        <f>IF(ISNUMBER('TPS data'!M20),('TPS data'!M20/'Des TPS AFR'!M20)-1,"")</f>
        <v/>
      </c>
      <c r="N20" s="21" t="str">
        <f>IF(ISNUMBER('TPS data'!N20),('TPS data'!N20/'Des TPS AFR'!N20)-1,"")</f>
        <v/>
      </c>
      <c r="O20" s="21" t="str">
        <f>IF(ISNUMBER('TPS data'!O20),('TPS data'!O20/'Des TPS AFR'!O20)-1,"")</f>
        <v/>
      </c>
      <c r="P20" s="21" t="str">
        <f>IF(ISNUMBER('TPS data'!P20),('TPS data'!P20/'Des TPS AFR'!P20)-1,"")</f>
        <v/>
      </c>
      <c r="Q20" s="21" t="str">
        <f>IF(ISNUMBER('TPS data'!Q20),('TPS data'!Q20/'Des TPS AFR'!Q20)-1,"")</f>
        <v/>
      </c>
      <c r="R20" s="21" t="str">
        <f>IF(ISNUMBER('TPS data'!R20),('TPS data'!R20/'Des TPS AFR'!R20)-1,"")</f>
        <v/>
      </c>
      <c r="S20" s="21" t="str">
        <f>IF(ISNUMBER('TPS data'!S20),('TPS data'!S20/'Des TPS AFR'!S20)-1,"")</f>
        <v/>
      </c>
      <c r="T20" s="21" t="str">
        <f>IF(ISNUMBER('TPS data'!T20),('TPS data'!T20/'Des TPS AFR'!T20)-1,"")</f>
        <v/>
      </c>
      <c r="U20" s="21" t="str">
        <f>IF(ISNUMBER('TPS data'!U20),('TPS data'!U20/'Des TPS AFR'!U20)-1,"")</f>
        <v/>
      </c>
      <c r="V20" s="21" t="str">
        <f>IF(ISNUMBER('TPS data'!V20),('TPS data'!V20/'Des TPS AFR'!V20)-1,"")</f>
        <v/>
      </c>
      <c r="W20" s="21" t="str">
        <f>IF(ISNUMBER('TPS data'!W20),('TPS data'!W20/'Des TPS AFR'!W20)-1,"")</f>
        <v/>
      </c>
      <c r="X20" s="21" t="str">
        <f>IF(ISNUMBER('TPS data'!X20),('TPS data'!X20/'Des TPS AFR'!X20)-1,"")</f>
        <v/>
      </c>
    </row>
    <row r="21" spans="1:24" x14ac:dyDescent="0.25">
      <c r="A21" s="15">
        <v>4600</v>
      </c>
      <c r="B21" s="21" t="str">
        <f>IF(ISNUMBER('TPS data'!B21),('TPS data'!B21/'Des TPS AFR'!B21)-1,"")</f>
        <v/>
      </c>
      <c r="C21" s="21" t="str">
        <f>IF(ISNUMBER('TPS data'!C21),('TPS data'!C21/'Des TPS AFR'!C21)-1,"")</f>
        <v/>
      </c>
      <c r="D21" s="21" t="str">
        <f>IF(ISNUMBER('TPS data'!D21),('TPS data'!D21/'Des TPS AFR'!D21)-1,"")</f>
        <v/>
      </c>
      <c r="E21" s="21" t="str">
        <f>IF(ISNUMBER('TPS data'!E21),('TPS data'!E21/'Des TPS AFR'!E21)-1,"")</f>
        <v/>
      </c>
      <c r="F21" s="21" t="str">
        <f>IF(ISNUMBER('TPS data'!F21),('TPS data'!F21/'Des TPS AFR'!F21)-1,"")</f>
        <v/>
      </c>
      <c r="G21" s="21" t="str">
        <f>IF(ISNUMBER('TPS data'!G21),('TPS data'!G21/'Des TPS AFR'!G21)-1,"")</f>
        <v/>
      </c>
      <c r="H21" s="21" t="str">
        <f>IF(ISNUMBER('TPS data'!H21),('TPS data'!H21/'Des TPS AFR'!H21)-1,"")</f>
        <v/>
      </c>
      <c r="I21" s="21" t="str">
        <f>IF(ISNUMBER('TPS data'!I21),('TPS data'!I21/'Des TPS AFR'!I21)-1,"")</f>
        <v/>
      </c>
      <c r="J21" s="21" t="str">
        <f>IF(ISNUMBER('TPS data'!J21),('TPS data'!J21/'Des TPS AFR'!J21)-1,"")</f>
        <v/>
      </c>
      <c r="K21" s="21" t="str">
        <f>IF(ISNUMBER('TPS data'!K21),('TPS data'!K21/'Des TPS AFR'!K21)-1,"")</f>
        <v/>
      </c>
      <c r="L21" s="21" t="str">
        <f>IF(ISNUMBER('TPS data'!L21),('TPS data'!L21/'Des TPS AFR'!L21)-1,"")</f>
        <v/>
      </c>
      <c r="M21" s="21" t="str">
        <f>IF(ISNUMBER('TPS data'!M21),('TPS data'!M21/'Des TPS AFR'!M21)-1,"")</f>
        <v/>
      </c>
      <c r="N21" s="21" t="str">
        <f>IF(ISNUMBER('TPS data'!N21),('TPS data'!N21/'Des TPS AFR'!N21)-1,"")</f>
        <v/>
      </c>
      <c r="O21" s="21" t="str">
        <f>IF(ISNUMBER('TPS data'!O21),('TPS data'!O21/'Des TPS AFR'!O21)-1,"")</f>
        <v/>
      </c>
      <c r="P21" s="21" t="str">
        <f>IF(ISNUMBER('TPS data'!P21),('TPS data'!P21/'Des TPS AFR'!P21)-1,"")</f>
        <v/>
      </c>
      <c r="Q21" s="21" t="str">
        <f>IF(ISNUMBER('TPS data'!Q21),('TPS data'!Q21/'Des TPS AFR'!Q21)-1,"")</f>
        <v/>
      </c>
      <c r="R21" s="21" t="str">
        <f>IF(ISNUMBER('TPS data'!R21),('TPS data'!R21/'Des TPS AFR'!R21)-1,"")</f>
        <v/>
      </c>
      <c r="S21" s="21" t="str">
        <f>IF(ISNUMBER('TPS data'!S21),('TPS data'!S21/'Des TPS AFR'!S21)-1,"")</f>
        <v/>
      </c>
      <c r="T21" s="21" t="str">
        <f>IF(ISNUMBER('TPS data'!T21),('TPS data'!T21/'Des TPS AFR'!T21)-1,"")</f>
        <v/>
      </c>
      <c r="U21" s="21" t="str">
        <f>IF(ISNUMBER('TPS data'!U21),('TPS data'!U21/'Des TPS AFR'!U21)-1,"")</f>
        <v/>
      </c>
      <c r="V21" s="21" t="str">
        <f>IF(ISNUMBER('TPS data'!V21),('TPS data'!V21/'Des TPS AFR'!V21)-1,"")</f>
        <v/>
      </c>
      <c r="W21" s="21" t="str">
        <f>IF(ISNUMBER('TPS data'!W21),('TPS data'!W21/'Des TPS AFR'!W21)-1,"")</f>
        <v/>
      </c>
      <c r="X21" s="21" t="str">
        <f>IF(ISNUMBER('TPS data'!X21),('TPS data'!X21/'Des TPS AFR'!X21)-1,"")</f>
        <v/>
      </c>
    </row>
    <row r="22" spans="1:24" x14ac:dyDescent="0.25">
      <c r="A22" s="15">
        <v>4800</v>
      </c>
      <c r="B22" s="21" t="str">
        <f>IF(ISNUMBER('TPS data'!B22),('TPS data'!B22/'Des TPS AFR'!B22)-1,"")</f>
        <v/>
      </c>
      <c r="C22" s="21" t="str">
        <f>IF(ISNUMBER('TPS data'!C22),('TPS data'!C22/'Des TPS AFR'!C22)-1,"")</f>
        <v/>
      </c>
      <c r="D22" s="21" t="str">
        <f>IF(ISNUMBER('TPS data'!D22),('TPS data'!D22/'Des TPS AFR'!D22)-1,"")</f>
        <v/>
      </c>
      <c r="E22" s="21" t="str">
        <f>IF(ISNUMBER('TPS data'!E22),('TPS data'!E22/'Des TPS AFR'!E22)-1,"")</f>
        <v/>
      </c>
      <c r="F22" s="21" t="str">
        <f>IF(ISNUMBER('TPS data'!F22),('TPS data'!F22/'Des TPS AFR'!F22)-1,"")</f>
        <v/>
      </c>
      <c r="G22" s="21" t="str">
        <f>IF(ISNUMBER('TPS data'!G22),('TPS data'!G22/'Des TPS AFR'!G22)-1,"")</f>
        <v/>
      </c>
      <c r="H22" s="21" t="str">
        <f>IF(ISNUMBER('TPS data'!H22),('TPS data'!H22/'Des TPS AFR'!H22)-1,"")</f>
        <v/>
      </c>
      <c r="I22" s="21" t="str">
        <f>IF(ISNUMBER('TPS data'!I22),('TPS data'!I22/'Des TPS AFR'!I22)-1,"")</f>
        <v/>
      </c>
      <c r="J22" s="21" t="str">
        <f>IF(ISNUMBER('TPS data'!J22),('TPS data'!J22/'Des TPS AFR'!J22)-1,"")</f>
        <v/>
      </c>
      <c r="K22" s="21" t="str">
        <f>IF(ISNUMBER('TPS data'!K22),('TPS data'!K22/'Des TPS AFR'!K22)-1,"")</f>
        <v/>
      </c>
      <c r="L22" s="21" t="str">
        <f>IF(ISNUMBER('TPS data'!L22),('TPS data'!L22/'Des TPS AFR'!L22)-1,"")</f>
        <v/>
      </c>
      <c r="M22" s="21" t="str">
        <f>IF(ISNUMBER('TPS data'!M22),('TPS data'!M22/'Des TPS AFR'!M22)-1,"")</f>
        <v/>
      </c>
      <c r="N22" s="21" t="str">
        <f>IF(ISNUMBER('TPS data'!N22),('TPS data'!N22/'Des TPS AFR'!N22)-1,"")</f>
        <v/>
      </c>
      <c r="O22" s="21" t="str">
        <f>IF(ISNUMBER('TPS data'!O22),('TPS data'!O22/'Des TPS AFR'!O22)-1,"")</f>
        <v/>
      </c>
      <c r="P22" s="21" t="str">
        <f>IF(ISNUMBER('TPS data'!P22),('TPS data'!P22/'Des TPS AFR'!P22)-1,"")</f>
        <v/>
      </c>
      <c r="Q22" s="21" t="str">
        <f>IF(ISNUMBER('TPS data'!Q22),('TPS data'!Q22/'Des TPS AFR'!Q22)-1,"")</f>
        <v/>
      </c>
      <c r="R22" s="21" t="str">
        <f>IF(ISNUMBER('TPS data'!R22),('TPS data'!R22/'Des TPS AFR'!R22)-1,"")</f>
        <v/>
      </c>
      <c r="S22" s="21" t="str">
        <f>IF(ISNUMBER('TPS data'!S22),('TPS data'!S22/'Des TPS AFR'!S22)-1,"")</f>
        <v/>
      </c>
      <c r="T22" s="21" t="str">
        <f>IF(ISNUMBER('TPS data'!T22),('TPS data'!T22/'Des TPS AFR'!T22)-1,"")</f>
        <v/>
      </c>
      <c r="U22" s="21" t="str">
        <f>IF(ISNUMBER('TPS data'!U22),('TPS data'!U22/'Des TPS AFR'!U22)-1,"")</f>
        <v/>
      </c>
      <c r="V22" s="21" t="str">
        <f>IF(ISNUMBER('TPS data'!V22),('TPS data'!V22/'Des TPS AFR'!V22)-1,"")</f>
        <v/>
      </c>
      <c r="W22" s="21" t="str">
        <f>IF(ISNUMBER('TPS data'!W22),('TPS data'!W22/'Des TPS AFR'!W22)-1,"")</f>
        <v/>
      </c>
      <c r="X22" s="21" t="str">
        <f>IF(ISNUMBER('TPS data'!X22),('TPS data'!X22/'Des TPS AFR'!X22)-1,"")</f>
        <v/>
      </c>
    </row>
    <row r="23" spans="1:24" x14ac:dyDescent="0.25">
      <c r="A23" s="15">
        <v>5000</v>
      </c>
      <c r="B23" s="21" t="str">
        <f>IF(ISNUMBER('TPS data'!B23),('TPS data'!B23/'Des TPS AFR'!B23)-1,"")</f>
        <v/>
      </c>
      <c r="C23" s="21" t="str">
        <f>IF(ISNUMBER('TPS data'!C23),('TPS data'!C23/'Des TPS AFR'!C23)-1,"")</f>
        <v/>
      </c>
      <c r="D23" s="21" t="str">
        <f>IF(ISNUMBER('TPS data'!D23),('TPS data'!D23/'Des TPS AFR'!D23)-1,"")</f>
        <v/>
      </c>
      <c r="E23" s="21" t="str">
        <f>IF(ISNUMBER('TPS data'!E23),('TPS data'!E23/'Des TPS AFR'!E23)-1,"")</f>
        <v/>
      </c>
      <c r="F23" s="21" t="str">
        <f>IF(ISNUMBER('TPS data'!F23),('TPS data'!F23/'Des TPS AFR'!F23)-1,"")</f>
        <v/>
      </c>
      <c r="G23" s="21" t="str">
        <f>IF(ISNUMBER('TPS data'!G23),('TPS data'!G23/'Des TPS AFR'!G23)-1,"")</f>
        <v/>
      </c>
      <c r="H23" s="21" t="str">
        <f>IF(ISNUMBER('TPS data'!H23),('TPS data'!H23/'Des TPS AFR'!H23)-1,"")</f>
        <v/>
      </c>
      <c r="I23" s="21" t="str">
        <f>IF(ISNUMBER('TPS data'!I23),('TPS data'!I23/'Des TPS AFR'!I23)-1,"")</f>
        <v/>
      </c>
      <c r="J23" s="21" t="str">
        <f>IF(ISNUMBER('TPS data'!J23),('TPS data'!J23/'Des TPS AFR'!J23)-1,"")</f>
        <v/>
      </c>
      <c r="K23" s="21" t="str">
        <f>IF(ISNUMBER('TPS data'!K23),('TPS data'!K23/'Des TPS AFR'!K23)-1,"")</f>
        <v/>
      </c>
      <c r="L23" s="21" t="str">
        <f>IF(ISNUMBER('TPS data'!L23),('TPS data'!L23/'Des TPS AFR'!L23)-1,"")</f>
        <v/>
      </c>
      <c r="M23" s="21" t="str">
        <f>IF(ISNUMBER('TPS data'!M23),('TPS data'!M23/'Des TPS AFR'!M23)-1,"")</f>
        <v/>
      </c>
      <c r="N23" s="21" t="str">
        <f>IF(ISNUMBER('TPS data'!N23),('TPS data'!N23/'Des TPS AFR'!N23)-1,"")</f>
        <v/>
      </c>
      <c r="O23" s="21" t="str">
        <f>IF(ISNUMBER('TPS data'!O23),('TPS data'!O23/'Des TPS AFR'!O23)-1,"")</f>
        <v/>
      </c>
      <c r="P23" s="21" t="str">
        <f>IF(ISNUMBER('TPS data'!P23),('TPS data'!P23/'Des TPS AFR'!P23)-1,"")</f>
        <v/>
      </c>
      <c r="Q23" s="21" t="str">
        <f>IF(ISNUMBER('TPS data'!Q23),('TPS data'!Q23/'Des TPS AFR'!Q23)-1,"")</f>
        <v/>
      </c>
      <c r="R23" s="21" t="str">
        <f>IF(ISNUMBER('TPS data'!R23),('TPS data'!R23/'Des TPS AFR'!R23)-1,"")</f>
        <v/>
      </c>
      <c r="S23" s="21" t="str">
        <f>IF(ISNUMBER('TPS data'!S23),('TPS data'!S23/'Des TPS AFR'!S23)-1,"")</f>
        <v/>
      </c>
      <c r="T23" s="21" t="str">
        <f>IF(ISNUMBER('TPS data'!T23),('TPS data'!T23/'Des TPS AFR'!T23)-1,"")</f>
        <v/>
      </c>
      <c r="U23" s="21" t="str">
        <f>IF(ISNUMBER('TPS data'!U23),('TPS data'!U23/'Des TPS AFR'!U23)-1,"")</f>
        <v/>
      </c>
      <c r="V23" s="21" t="str">
        <f>IF(ISNUMBER('TPS data'!V23),('TPS data'!V23/'Des TPS AFR'!V23)-1,"")</f>
        <v/>
      </c>
      <c r="W23" s="21" t="str">
        <f>IF(ISNUMBER('TPS data'!W23),('TPS data'!W23/'Des TPS AFR'!W23)-1,"")</f>
        <v/>
      </c>
      <c r="X23" s="21" t="str">
        <f>IF(ISNUMBER('TPS data'!X23),('TPS data'!X23/'Des TPS AFR'!X23)-1,"")</f>
        <v/>
      </c>
    </row>
    <row r="24" spans="1:24" x14ac:dyDescent="0.25">
      <c r="A24" s="15">
        <v>5200</v>
      </c>
      <c r="B24" s="21" t="str">
        <f>IF(ISNUMBER('TPS data'!B24),('TPS data'!B24/'Des TPS AFR'!B24)-1,"")</f>
        <v/>
      </c>
      <c r="C24" s="21" t="str">
        <f>IF(ISNUMBER('TPS data'!C24),('TPS data'!C24/'Des TPS AFR'!C24)-1,"")</f>
        <v/>
      </c>
      <c r="D24" s="21" t="str">
        <f>IF(ISNUMBER('TPS data'!D24),('TPS data'!D24/'Des TPS AFR'!D24)-1,"")</f>
        <v/>
      </c>
      <c r="E24" s="21" t="str">
        <f>IF(ISNUMBER('TPS data'!E24),('TPS data'!E24/'Des TPS AFR'!E24)-1,"")</f>
        <v/>
      </c>
      <c r="F24" s="21" t="str">
        <f>IF(ISNUMBER('TPS data'!F24),('TPS data'!F24/'Des TPS AFR'!F24)-1,"")</f>
        <v/>
      </c>
      <c r="G24" s="21" t="str">
        <f>IF(ISNUMBER('TPS data'!G24),('TPS data'!G24/'Des TPS AFR'!G24)-1,"")</f>
        <v/>
      </c>
      <c r="H24" s="21" t="str">
        <f>IF(ISNUMBER('TPS data'!H24),('TPS data'!H24/'Des TPS AFR'!H24)-1,"")</f>
        <v/>
      </c>
      <c r="I24" s="21" t="str">
        <f>IF(ISNUMBER('TPS data'!I24),('TPS data'!I24/'Des TPS AFR'!I24)-1,"")</f>
        <v/>
      </c>
      <c r="J24" s="21" t="str">
        <f>IF(ISNUMBER('TPS data'!J24),('TPS data'!J24/'Des TPS AFR'!J24)-1,"")</f>
        <v/>
      </c>
      <c r="K24" s="21" t="str">
        <f>IF(ISNUMBER('TPS data'!K24),('TPS data'!K24/'Des TPS AFR'!K24)-1,"")</f>
        <v/>
      </c>
      <c r="L24" s="21" t="str">
        <f>IF(ISNUMBER('TPS data'!L24),('TPS data'!L24/'Des TPS AFR'!L24)-1,"")</f>
        <v/>
      </c>
      <c r="M24" s="21" t="str">
        <f>IF(ISNUMBER('TPS data'!M24),('TPS data'!M24/'Des TPS AFR'!M24)-1,"")</f>
        <v/>
      </c>
      <c r="N24" s="21" t="str">
        <f>IF(ISNUMBER('TPS data'!N24),('TPS data'!N24/'Des TPS AFR'!N24)-1,"")</f>
        <v/>
      </c>
      <c r="O24" s="21" t="str">
        <f>IF(ISNUMBER('TPS data'!O24),('TPS data'!O24/'Des TPS AFR'!O24)-1,"")</f>
        <v/>
      </c>
      <c r="P24" s="21" t="str">
        <f>IF(ISNUMBER('TPS data'!P24),('TPS data'!P24/'Des TPS AFR'!P24)-1,"")</f>
        <v/>
      </c>
      <c r="Q24" s="21" t="str">
        <f>IF(ISNUMBER('TPS data'!Q24),('TPS data'!Q24/'Des TPS AFR'!Q24)-1,"")</f>
        <v/>
      </c>
      <c r="R24" s="21" t="str">
        <f>IF(ISNUMBER('TPS data'!R24),('TPS data'!R24/'Des TPS AFR'!R24)-1,"")</f>
        <v/>
      </c>
      <c r="S24" s="21" t="str">
        <f>IF(ISNUMBER('TPS data'!S24),('TPS data'!S24/'Des TPS AFR'!S24)-1,"")</f>
        <v/>
      </c>
      <c r="T24" s="21" t="str">
        <f>IF(ISNUMBER('TPS data'!T24),('TPS data'!T24/'Des TPS AFR'!T24)-1,"")</f>
        <v/>
      </c>
      <c r="U24" s="21" t="str">
        <f>IF(ISNUMBER('TPS data'!U24),('TPS data'!U24/'Des TPS AFR'!U24)-1,"")</f>
        <v/>
      </c>
      <c r="V24" s="21" t="str">
        <f>IF(ISNUMBER('TPS data'!V24),('TPS data'!V24/'Des TPS AFR'!V24)-1,"")</f>
        <v/>
      </c>
      <c r="W24" s="21" t="str">
        <f>IF(ISNUMBER('TPS data'!W24),('TPS data'!W24/'Des TPS AFR'!W24)-1,"")</f>
        <v/>
      </c>
      <c r="X24" s="21" t="str">
        <f>IF(ISNUMBER('TPS data'!X24),('TPS data'!X24/'Des TPS AFR'!X24)-1,"")</f>
        <v/>
      </c>
    </row>
    <row r="25" spans="1:24" x14ac:dyDescent="0.25">
      <c r="A25" s="15">
        <v>5600</v>
      </c>
      <c r="B25" s="21" t="str">
        <f>IF(ISNUMBER('TPS data'!B25),('TPS data'!B25/'Des TPS AFR'!B25)-1,"")</f>
        <v/>
      </c>
      <c r="C25" s="21" t="str">
        <f>IF(ISNUMBER('TPS data'!C25),('TPS data'!C25/'Des TPS AFR'!C25)-1,"")</f>
        <v/>
      </c>
      <c r="D25" s="21" t="str">
        <f>IF(ISNUMBER('TPS data'!D25),('TPS data'!D25/'Des TPS AFR'!D25)-1,"")</f>
        <v/>
      </c>
      <c r="E25" s="21" t="str">
        <f>IF(ISNUMBER('TPS data'!E25),('TPS data'!E25/'Des TPS AFR'!E25)-1,"")</f>
        <v/>
      </c>
      <c r="F25" s="21" t="str">
        <f>IF(ISNUMBER('TPS data'!F25),('TPS data'!F25/'Des TPS AFR'!F25)-1,"")</f>
        <v/>
      </c>
      <c r="G25" s="21" t="str">
        <f>IF(ISNUMBER('TPS data'!G25),('TPS data'!G25/'Des TPS AFR'!G25)-1,"")</f>
        <v/>
      </c>
      <c r="H25" s="21" t="str">
        <f>IF(ISNUMBER('TPS data'!H25),('TPS data'!H25/'Des TPS AFR'!H25)-1,"")</f>
        <v/>
      </c>
      <c r="I25" s="21" t="str">
        <f>IF(ISNUMBER('TPS data'!I25),('TPS data'!I25/'Des TPS AFR'!I25)-1,"")</f>
        <v/>
      </c>
      <c r="J25" s="21" t="str">
        <f>IF(ISNUMBER('TPS data'!J25),('TPS data'!J25/'Des TPS AFR'!J25)-1,"")</f>
        <v/>
      </c>
      <c r="K25" s="21" t="str">
        <f>IF(ISNUMBER('TPS data'!K25),('TPS data'!K25/'Des TPS AFR'!K25)-1,"")</f>
        <v/>
      </c>
      <c r="L25" s="21" t="str">
        <f>IF(ISNUMBER('TPS data'!L25),('TPS data'!L25/'Des TPS AFR'!L25)-1,"")</f>
        <v/>
      </c>
      <c r="M25" s="21" t="str">
        <f>IF(ISNUMBER('TPS data'!M25),('TPS data'!M25/'Des TPS AFR'!M25)-1,"")</f>
        <v/>
      </c>
      <c r="N25" s="21" t="str">
        <f>IF(ISNUMBER('TPS data'!N25),('TPS data'!N25/'Des TPS AFR'!N25)-1,"")</f>
        <v/>
      </c>
      <c r="O25" s="21" t="str">
        <f>IF(ISNUMBER('TPS data'!O25),('TPS data'!O25/'Des TPS AFR'!O25)-1,"")</f>
        <v/>
      </c>
      <c r="P25" s="21" t="str">
        <f>IF(ISNUMBER('TPS data'!P25),('TPS data'!P25/'Des TPS AFR'!P25)-1,"")</f>
        <v/>
      </c>
      <c r="Q25" s="21">
        <f>IF(ISNUMBER('TPS data'!Q25),('TPS data'!Q25/'Des TPS AFR'!Q25)-1,"")</f>
        <v>0.25757575757575779</v>
      </c>
      <c r="R25" s="21" t="str">
        <f>IF(ISNUMBER('TPS data'!R25),('TPS data'!R25/'Des TPS AFR'!R25)-1,"")</f>
        <v/>
      </c>
      <c r="S25" s="21" t="str">
        <f>IF(ISNUMBER('TPS data'!S25),('TPS data'!S25/'Des TPS AFR'!S25)-1,"")</f>
        <v/>
      </c>
      <c r="T25" s="21" t="str">
        <f>IF(ISNUMBER('TPS data'!T25),('TPS data'!T25/'Des TPS AFR'!T25)-1,"")</f>
        <v/>
      </c>
      <c r="U25" s="21" t="str">
        <f>IF(ISNUMBER('TPS data'!U25),('TPS data'!U25/'Des TPS AFR'!U25)-1,"")</f>
        <v/>
      </c>
      <c r="V25" s="21" t="str">
        <f>IF(ISNUMBER('TPS data'!V25),('TPS data'!V25/'Des TPS AFR'!V25)-1,"")</f>
        <v/>
      </c>
      <c r="W25" s="21" t="str">
        <f>IF(ISNUMBER('TPS data'!W25),('TPS data'!W25/'Des TPS AFR'!W25)-1,"")</f>
        <v/>
      </c>
      <c r="X25" s="21" t="str">
        <f>IF(ISNUMBER('TPS data'!X25),('TPS data'!X25/'Des TPS AFR'!X25)-1,"")</f>
        <v/>
      </c>
    </row>
    <row r="26" spans="1:24" x14ac:dyDescent="0.25">
      <c r="A26" s="15">
        <v>6000</v>
      </c>
      <c r="B26" s="21" t="str">
        <f>IF(ISNUMBER('TPS data'!B26),('TPS data'!B26/'Des TPS AFR'!B26)-1,"")</f>
        <v/>
      </c>
      <c r="C26" s="21" t="str">
        <f>IF(ISNUMBER('TPS data'!C26),('TPS data'!C26/'Des TPS AFR'!C26)-1,"")</f>
        <v/>
      </c>
      <c r="D26" s="21" t="str">
        <f>IF(ISNUMBER('TPS data'!D26),('TPS data'!D26/'Des TPS AFR'!D26)-1,"")</f>
        <v/>
      </c>
      <c r="E26" s="21" t="str">
        <f>IF(ISNUMBER('TPS data'!E26),('TPS data'!E26/'Des TPS AFR'!E26)-1,"")</f>
        <v/>
      </c>
      <c r="F26" s="21" t="str">
        <f>IF(ISNUMBER('TPS data'!F26),('TPS data'!F26/'Des TPS AFR'!F26)-1,"")</f>
        <v/>
      </c>
      <c r="G26" s="21" t="str">
        <f>IF(ISNUMBER('TPS data'!G26),('TPS data'!G26/'Des TPS AFR'!G26)-1,"")</f>
        <v/>
      </c>
      <c r="H26" s="21" t="str">
        <f>IF(ISNUMBER('TPS data'!H26),('TPS data'!H26/'Des TPS AFR'!H26)-1,"")</f>
        <v/>
      </c>
      <c r="I26" s="21" t="str">
        <f>IF(ISNUMBER('TPS data'!I26),('TPS data'!I26/'Des TPS AFR'!I26)-1,"")</f>
        <v/>
      </c>
      <c r="J26" s="21" t="str">
        <f>IF(ISNUMBER('TPS data'!J26),('TPS data'!J26/'Des TPS AFR'!J26)-1,"")</f>
        <v/>
      </c>
      <c r="K26" s="21" t="str">
        <f>IF(ISNUMBER('TPS data'!K26),('TPS data'!K26/'Des TPS AFR'!K26)-1,"")</f>
        <v/>
      </c>
      <c r="L26" s="21" t="str">
        <f>IF(ISNUMBER('TPS data'!L26),('TPS data'!L26/'Des TPS AFR'!L26)-1,"")</f>
        <v/>
      </c>
      <c r="M26" s="21" t="str">
        <f>IF(ISNUMBER('TPS data'!M26),('TPS data'!M26/'Des TPS AFR'!M26)-1,"")</f>
        <v/>
      </c>
      <c r="N26" s="21" t="str">
        <f>IF(ISNUMBER('TPS data'!N26),('TPS data'!N26/'Des TPS AFR'!N26)-1,"")</f>
        <v/>
      </c>
      <c r="O26" s="21" t="str">
        <f>IF(ISNUMBER('TPS data'!O26),('TPS data'!O26/'Des TPS AFR'!O26)-1,"")</f>
        <v/>
      </c>
      <c r="P26" s="21" t="str">
        <f>IF(ISNUMBER('TPS data'!P26),('TPS data'!P26/'Des TPS AFR'!P26)-1,"")</f>
        <v/>
      </c>
      <c r="Q26" s="21" t="str">
        <f>IF(ISNUMBER('TPS data'!Q26),('TPS data'!Q26/'Des TPS AFR'!Q26)-1,"")</f>
        <v/>
      </c>
      <c r="R26" s="21" t="str">
        <f>IF(ISNUMBER('TPS data'!R26),('TPS data'!R26/'Des TPS AFR'!R26)-1,"")</f>
        <v/>
      </c>
      <c r="S26" s="21" t="str">
        <f>IF(ISNUMBER('TPS data'!S26),('TPS data'!S26/'Des TPS AFR'!S26)-1,"")</f>
        <v/>
      </c>
      <c r="T26" s="21" t="str">
        <f>IF(ISNUMBER('TPS data'!T26),('TPS data'!T26/'Des TPS AFR'!T26)-1,"")</f>
        <v/>
      </c>
      <c r="U26" s="21" t="str">
        <f>IF(ISNUMBER('TPS data'!U26),('TPS data'!U26/'Des TPS AFR'!U26)-1,"")</f>
        <v/>
      </c>
      <c r="V26" s="21" t="str">
        <f>IF(ISNUMBER('TPS data'!V26),('TPS data'!V26/'Des TPS AFR'!V26)-1,"")</f>
        <v/>
      </c>
      <c r="W26" s="21" t="str">
        <f>IF(ISNUMBER('TPS data'!W26),('TPS data'!W26/'Des TPS AFR'!W26)-1,"")</f>
        <v/>
      </c>
      <c r="X26" s="21" t="str">
        <f>IF(ISNUMBER('TPS data'!X26),('TPS data'!X26/'Des TPS AFR'!X26)-1,"")</f>
        <v/>
      </c>
    </row>
    <row r="27" spans="1:24" x14ac:dyDescent="0.25">
      <c r="A27" s="15">
        <v>6400</v>
      </c>
      <c r="B27" s="21" t="str">
        <f>IF(ISNUMBER('TPS data'!B27),('TPS data'!B27/'Des TPS AFR'!B27)-1,"")</f>
        <v/>
      </c>
      <c r="C27" s="21" t="str">
        <f>IF(ISNUMBER('TPS data'!C27),('TPS data'!C27/'Des TPS AFR'!C27)-1,"")</f>
        <v/>
      </c>
      <c r="D27" s="21" t="str">
        <f>IF(ISNUMBER('TPS data'!D27),('TPS data'!D27/'Des TPS AFR'!D27)-1,"")</f>
        <v/>
      </c>
      <c r="E27" s="21" t="str">
        <f>IF(ISNUMBER('TPS data'!E27),('TPS data'!E27/'Des TPS AFR'!E27)-1,"")</f>
        <v/>
      </c>
      <c r="F27" s="21" t="str">
        <f>IF(ISNUMBER('TPS data'!F27),('TPS data'!F27/'Des TPS AFR'!F27)-1,"")</f>
        <v/>
      </c>
      <c r="G27" s="21" t="str">
        <f>IF(ISNUMBER('TPS data'!G27),('TPS data'!G27/'Des TPS AFR'!G27)-1,"")</f>
        <v/>
      </c>
      <c r="H27" s="21" t="str">
        <f>IF(ISNUMBER('TPS data'!H27),('TPS data'!H27/'Des TPS AFR'!H27)-1,"")</f>
        <v/>
      </c>
      <c r="I27" s="21" t="str">
        <f>IF(ISNUMBER('TPS data'!I27),('TPS data'!I27/'Des TPS AFR'!I27)-1,"")</f>
        <v/>
      </c>
      <c r="J27" s="21" t="str">
        <f>IF(ISNUMBER('TPS data'!J27),('TPS data'!J27/'Des TPS AFR'!J27)-1,"")</f>
        <v/>
      </c>
      <c r="K27" s="21" t="str">
        <f>IF(ISNUMBER('TPS data'!K27),('TPS data'!K27/'Des TPS AFR'!K27)-1,"")</f>
        <v/>
      </c>
      <c r="L27" s="21" t="str">
        <f>IF(ISNUMBER('TPS data'!L27),('TPS data'!L27/'Des TPS AFR'!L27)-1,"")</f>
        <v/>
      </c>
      <c r="M27" s="21" t="str">
        <f>IF(ISNUMBER('TPS data'!M27),('TPS data'!M27/'Des TPS AFR'!M27)-1,"")</f>
        <v/>
      </c>
      <c r="N27" s="21" t="str">
        <f>IF(ISNUMBER('TPS data'!N27),('TPS data'!N27/'Des TPS AFR'!N27)-1,"")</f>
        <v/>
      </c>
      <c r="O27" s="21" t="str">
        <f>IF(ISNUMBER('TPS data'!O27),('TPS data'!O27/'Des TPS AFR'!O27)-1,"")</f>
        <v/>
      </c>
      <c r="P27" s="21" t="str">
        <f>IF(ISNUMBER('TPS data'!P27),('TPS data'!P27/'Des TPS AFR'!P27)-1,"")</f>
        <v/>
      </c>
      <c r="Q27" s="21" t="str">
        <f>IF(ISNUMBER('TPS data'!Q27),('TPS data'!Q27/'Des TPS AFR'!Q27)-1,"")</f>
        <v/>
      </c>
      <c r="R27" s="21" t="str">
        <f>IF(ISNUMBER('TPS data'!R27),('TPS data'!R27/'Des TPS AFR'!R27)-1,"")</f>
        <v/>
      </c>
      <c r="S27" s="21" t="str">
        <f>IF(ISNUMBER('TPS data'!S27),('TPS data'!S27/'Des TPS AFR'!S27)-1,"")</f>
        <v/>
      </c>
      <c r="T27" s="21" t="str">
        <f>IF(ISNUMBER('TPS data'!T27),('TPS data'!T27/'Des TPS AFR'!T27)-1,"")</f>
        <v/>
      </c>
      <c r="U27" s="21" t="str">
        <f>IF(ISNUMBER('TPS data'!U27),('TPS data'!U27/'Des TPS AFR'!U27)-1,"")</f>
        <v/>
      </c>
      <c r="V27" s="21" t="str">
        <f>IF(ISNUMBER('TPS data'!V27),('TPS data'!V27/'Des TPS AFR'!V27)-1,"")</f>
        <v/>
      </c>
      <c r="W27" s="21" t="str">
        <f>IF(ISNUMBER('TPS data'!W27),('TPS data'!W27/'Des TPS AFR'!W27)-1,"")</f>
        <v/>
      </c>
      <c r="X27" s="21" t="str">
        <f>IF(ISNUMBER('TPS data'!X27),('TPS data'!X27/'Des TPS AFR'!X27)-1,"")</f>
        <v/>
      </c>
    </row>
    <row r="28" spans="1:24" x14ac:dyDescent="0.25">
      <c r="A28" s="15">
        <v>6800</v>
      </c>
      <c r="B28" s="21" t="str">
        <f>IF(ISNUMBER('TPS data'!B28),('TPS data'!B28/'Des TPS AFR'!B28)-1,"")</f>
        <v/>
      </c>
      <c r="C28" s="21" t="str">
        <f>IF(ISNUMBER('TPS data'!C28),('TPS data'!C28/'Des TPS AFR'!C28)-1,"")</f>
        <v/>
      </c>
      <c r="D28" s="21" t="str">
        <f>IF(ISNUMBER('TPS data'!D28),('TPS data'!D28/'Des TPS AFR'!D28)-1,"")</f>
        <v/>
      </c>
      <c r="E28" s="21" t="str">
        <f>IF(ISNUMBER('TPS data'!E28),('TPS data'!E28/'Des TPS AFR'!E28)-1,"")</f>
        <v/>
      </c>
      <c r="F28" s="21" t="str">
        <f>IF(ISNUMBER('TPS data'!F28),('TPS data'!F28/'Des TPS AFR'!F28)-1,"")</f>
        <v/>
      </c>
      <c r="G28" s="21" t="str">
        <f>IF(ISNUMBER('TPS data'!G28),('TPS data'!G28/'Des TPS AFR'!G28)-1,"")</f>
        <v/>
      </c>
      <c r="H28" s="21" t="str">
        <f>IF(ISNUMBER('TPS data'!H28),('TPS data'!H28/'Des TPS AFR'!H28)-1,"")</f>
        <v/>
      </c>
      <c r="I28" s="21" t="str">
        <f>IF(ISNUMBER('TPS data'!I28),('TPS data'!I28/'Des TPS AFR'!I28)-1,"")</f>
        <v/>
      </c>
      <c r="J28" s="21" t="str">
        <f>IF(ISNUMBER('TPS data'!J28),('TPS data'!J28/'Des TPS AFR'!J28)-1,"")</f>
        <v/>
      </c>
      <c r="K28" s="21" t="str">
        <f>IF(ISNUMBER('TPS data'!K28),('TPS data'!K28/'Des TPS AFR'!K28)-1,"")</f>
        <v/>
      </c>
      <c r="L28" s="21" t="str">
        <f>IF(ISNUMBER('TPS data'!L28),('TPS data'!L28/'Des TPS AFR'!L28)-1,"")</f>
        <v/>
      </c>
      <c r="M28" s="21" t="str">
        <f>IF(ISNUMBER('TPS data'!M28),('TPS data'!M28/'Des TPS AFR'!M28)-1,"")</f>
        <v/>
      </c>
      <c r="N28" s="21" t="str">
        <f>IF(ISNUMBER('TPS data'!N28),('TPS data'!N28/'Des TPS AFR'!N28)-1,"")</f>
        <v/>
      </c>
      <c r="O28" s="21" t="str">
        <f>IF(ISNUMBER('TPS data'!O28),('TPS data'!O28/'Des TPS AFR'!O28)-1,"")</f>
        <v/>
      </c>
      <c r="P28" s="21" t="str">
        <f>IF(ISNUMBER('TPS data'!P28),('TPS data'!P28/'Des TPS AFR'!P28)-1,"")</f>
        <v/>
      </c>
      <c r="Q28" s="21" t="str">
        <f>IF(ISNUMBER('TPS data'!Q28),('TPS data'!Q28/'Des TPS AFR'!Q28)-1,"")</f>
        <v/>
      </c>
      <c r="R28" s="21" t="str">
        <f>IF(ISNUMBER('TPS data'!R28),('TPS data'!R28/'Des TPS AFR'!R28)-1,"")</f>
        <v/>
      </c>
      <c r="S28" s="21" t="str">
        <f>IF(ISNUMBER('TPS data'!S28),('TPS data'!S28/'Des TPS AFR'!S28)-1,"")</f>
        <v/>
      </c>
      <c r="T28" s="21" t="str">
        <f>IF(ISNUMBER('TPS data'!T28),('TPS data'!T28/'Des TPS AFR'!T28)-1,"")</f>
        <v/>
      </c>
      <c r="U28" s="21" t="str">
        <f>IF(ISNUMBER('TPS data'!U28),('TPS data'!U28/'Des TPS AFR'!U28)-1,"")</f>
        <v/>
      </c>
      <c r="V28" s="21" t="str">
        <f>IF(ISNUMBER('TPS data'!V28),('TPS data'!V28/'Des TPS AFR'!V28)-1,"")</f>
        <v/>
      </c>
      <c r="W28" s="21" t="str">
        <f>IF(ISNUMBER('TPS data'!W28),('TPS data'!W28/'Des TPS AFR'!W28)-1,"")</f>
        <v/>
      </c>
      <c r="X28" s="21" t="str">
        <f>IF(ISNUMBER('TPS data'!X28),('TPS data'!X28/'Des TPS AFR'!X28)-1,"")</f>
        <v/>
      </c>
    </row>
    <row r="29" spans="1:24" x14ac:dyDescent="0.25">
      <c r="A29" s="15">
        <v>7200</v>
      </c>
      <c r="B29" s="21" t="str">
        <f>IF(ISNUMBER('TPS data'!B29),('TPS data'!B29/'Des TPS AFR'!B29)-1,"")</f>
        <v/>
      </c>
      <c r="C29" s="21" t="str">
        <f>IF(ISNUMBER('TPS data'!C29),('TPS data'!C29/'Des TPS AFR'!C29)-1,"")</f>
        <v/>
      </c>
      <c r="D29" s="21" t="str">
        <f>IF(ISNUMBER('TPS data'!D29),('TPS data'!D29/'Des TPS AFR'!D29)-1,"")</f>
        <v/>
      </c>
      <c r="E29" s="21" t="str">
        <f>IF(ISNUMBER('TPS data'!E29),('TPS data'!E29/'Des TPS AFR'!E29)-1,"")</f>
        <v/>
      </c>
      <c r="F29" s="21" t="str">
        <f>IF(ISNUMBER('TPS data'!F29),('TPS data'!F29/'Des TPS AFR'!F29)-1,"")</f>
        <v/>
      </c>
      <c r="G29" s="21" t="str">
        <f>IF(ISNUMBER('TPS data'!G29),('TPS data'!G29/'Des TPS AFR'!G29)-1,"")</f>
        <v/>
      </c>
      <c r="H29" s="21" t="str">
        <f>IF(ISNUMBER('TPS data'!H29),('TPS data'!H29/'Des TPS AFR'!H29)-1,"")</f>
        <v/>
      </c>
      <c r="I29" s="21" t="str">
        <f>IF(ISNUMBER('TPS data'!I29),('TPS data'!I29/'Des TPS AFR'!I29)-1,"")</f>
        <v/>
      </c>
      <c r="J29" s="21" t="str">
        <f>IF(ISNUMBER('TPS data'!J29),('TPS data'!J29/'Des TPS AFR'!J29)-1,"")</f>
        <v/>
      </c>
      <c r="K29" s="21" t="str">
        <f>IF(ISNUMBER('TPS data'!K29),('TPS data'!K29/'Des TPS AFR'!K29)-1,"")</f>
        <v/>
      </c>
      <c r="L29" s="21" t="str">
        <f>IF(ISNUMBER('TPS data'!L29),('TPS data'!L29/'Des TPS AFR'!L29)-1,"")</f>
        <v/>
      </c>
      <c r="M29" s="21" t="str">
        <f>IF(ISNUMBER('TPS data'!M29),('TPS data'!M29/'Des TPS AFR'!M29)-1,"")</f>
        <v/>
      </c>
      <c r="N29" s="21" t="str">
        <f>IF(ISNUMBER('TPS data'!N29),('TPS data'!N29/'Des TPS AFR'!N29)-1,"")</f>
        <v/>
      </c>
      <c r="O29" s="21" t="str">
        <f>IF(ISNUMBER('TPS data'!O29),('TPS data'!O29/'Des TPS AFR'!O29)-1,"")</f>
        <v/>
      </c>
      <c r="P29" s="21" t="str">
        <f>IF(ISNUMBER('TPS data'!P29),('TPS data'!P29/'Des TPS AFR'!P29)-1,"")</f>
        <v/>
      </c>
      <c r="Q29" s="21" t="str">
        <f>IF(ISNUMBER('TPS data'!Q29),('TPS data'!Q29/'Des TPS AFR'!Q29)-1,"")</f>
        <v/>
      </c>
      <c r="R29" s="21" t="str">
        <f>IF(ISNUMBER('TPS data'!R29),('TPS data'!R29/'Des TPS AFR'!R29)-1,"")</f>
        <v/>
      </c>
      <c r="S29" s="21" t="str">
        <f>IF(ISNUMBER('TPS data'!S29),('TPS data'!S29/'Des TPS AFR'!S29)-1,"")</f>
        <v/>
      </c>
      <c r="T29" s="21" t="str">
        <f>IF(ISNUMBER('TPS data'!T29),('TPS data'!T29/'Des TPS AFR'!T29)-1,"")</f>
        <v/>
      </c>
      <c r="U29" s="21" t="str">
        <f>IF(ISNUMBER('TPS data'!U29),('TPS data'!U29/'Des TPS AFR'!U29)-1,"")</f>
        <v/>
      </c>
      <c r="V29" s="21" t="str">
        <f>IF(ISNUMBER('TPS data'!V29),('TPS data'!V29/'Des TPS AFR'!V29)-1,"")</f>
        <v/>
      </c>
      <c r="W29" s="21" t="str">
        <f>IF(ISNUMBER('TPS data'!W29),('TPS data'!W29/'Des TPS AFR'!W29)-1,"")</f>
        <v/>
      </c>
      <c r="X29" s="21" t="str">
        <f>IF(ISNUMBER('TPS data'!X29),('TPS data'!X29/'Des TPS AFR'!X29)-1,"")</f>
        <v/>
      </c>
    </row>
    <row r="30" spans="1:24" x14ac:dyDescent="0.25">
      <c r="A30" s="15">
        <v>7600</v>
      </c>
      <c r="B30" s="21" t="str">
        <f>IF(ISNUMBER('TPS data'!B30),('TPS data'!B30/'Des TPS AFR'!B30)-1,"")</f>
        <v/>
      </c>
      <c r="C30" s="21" t="str">
        <f>IF(ISNUMBER('TPS data'!C30),('TPS data'!C30/'Des TPS AFR'!C30)-1,"")</f>
        <v/>
      </c>
      <c r="D30" s="21" t="str">
        <f>IF(ISNUMBER('TPS data'!D30),('TPS data'!D30/'Des TPS AFR'!D30)-1,"")</f>
        <v/>
      </c>
      <c r="E30" s="21" t="str">
        <f>IF(ISNUMBER('TPS data'!E30),('TPS data'!E30/'Des TPS AFR'!E30)-1,"")</f>
        <v/>
      </c>
      <c r="F30" s="21" t="str">
        <f>IF(ISNUMBER('TPS data'!F30),('TPS data'!F30/'Des TPS AFR'!F30)-1,"")</f>
        <v/>
      </c>
      <c r="G30" s="21" t="str">
        <f>IF(ISNUMBER('TPS data'!G30),('TPS data'!G30/'Des TPS AFR'!G30)-1,"")</f>
        <v/>
      </c>
      <c r="H30" s="21" t="str">
        <f>IF(ISNUMBER('TPS data'!H30),('TPS data'!H30/'Des TPS AFR'!H30)-1,"")</f>
        <v/>
      </c>
      <c r="I30" s="21" t="str">
        <f>IF(ISNUMBER('TPS data'!I30),('TPS data'!I30/'Des TPS AFR'!I30)-1,"")</f>
        <v/>
      </c>
      <c r="J30" s="21" t="str">
        <f>IF(ISNUMBER('TPS data'!J30),('TPS data'!J30/'Des TPS AFR'!J30)-1,"")</f>
        <v/>
      </c>
      <c r="K30" s="21" t="str">
        <f>IF(ISNUMBER('TPS data'!K30),('TPS data'!K30/'Des TPS AFR'!K30)-1,"")</f>
        <v/>
      </c>
      <c r="L30" s="21" t="str">
        <f>IF(ISNUMBER('TPS data'!L30),('TPS data'!L30/'Des TPS AFR'!L30)-1,"")</f>
        <v/>
      </c>
      <c r="M30" s="21" t="str">
        <f>IF(ISNUMBER('TPS data'!M30),('TPS data'!M30/'Des TPS AFR'!M30)-1,"")</f>
        <v/>
      </c>
      <c r="N30" s="21" t="str">
        <f>IF(ISNUMBER('TPS data'!N30),('TPS data'!N30/'Des TPS AFR'!N30)-1,"")</f>
        <v/>
      </c>
      <c r="O30" s="21" t="str">
        <f>IF(ISNUMBER('TPS data'!O30),('TPS data'!O30/'Des TPS AFR'!O30)-1,"")</f>
        <v/>
      </c>
      <c r="P30" s="21" t="str">
        <f>IF(ISNUMBER('TPS data'!P30),('TPS data'!P30/'Des TPS AFR'!P30)-1,"")</f>
        <v/>
      </c>
      <c r="Q30" s="21" t="str">
        <f>IF(ISNUMBER('TPS data'!Q30),('TPS data'!Q30/'Des TPS AFR'!Q30)-1,"")</f>
        <v/>
      </c>
      <c r="R30" s="21" t="str">
        <f>IF(ISNUMBER('TPS data'!R30),('TPS data'!R30/'Des TPS AFR'!R30)-1,"")</f>
        <v/>
      </c>
      <c r="S30" s="21" t="str">
        <f>IF(ISNUMBER('TPS data'!S30),('TPS data'!S30/'Des TPS AFR'!S30)-1,"")</f>
        <v/>
      </c>
      <c r="T30" s="21" t="str">
        <f>IF(ISNUMBER('TPS data'!T30),('TPS data'!T30/'Des TPS AFR'!T30)-1,"")</f>
        <v/>
      </c>
      <c r="U30" s="21" t="str">
        <f>IF(ISNUMBER('TPS data'!U30),('TPS data'!U30/'Des TPS AFR'!U30)-1,"")</f>
        <v/>
      </c>
      <c r="V30" s="21" t="str">
        <f>IF(ISNUMBER('TPS data'!V30),('TPS data'!V30/'Des TPS AFR'!V30)-1,"")</f>
        <v/>
      </c>
      <c r="W30" s="21" t="str">
        <f>IF(ISNUMBER('TPS data'!W30),('TPS data'!W30/'Des TPS AFR'!W30)-1,"")</f>
        <v/>
      </c>
      <c r="X30" s="21" t="str">
        <f>IF(ISNUMBER('TPS data'!X30),('TPS data'!X30/'Des TPS AFR'!X30)-1,"")</f>
        <v/>
      </c>
    </row>
    <row r="31" spans="1:24" x14ac:dyDescent="0.25">
      <c r="A31" s="15">
        <v>8000</v>
      </c>
      <c r="B31" s="21" t="str">
        <f>IF(ISNUMBER('TPS data'!B31),('TPS data'!B31/'Des TPS AFR'!B31)-1,"")</f>
        <v/>
      </c>
      <c r="C31" s="21" t="str">
        <f>IF(ISNUMBER('TPS data'!C31),('TPS data'!C31/'Des TPS AFR'!C31)-1,"")</f>
        <v/>
      </c>
      <c r="D31" s="21" t="str">
        <f>IF(ISNUMBER('TPS data'!D31),('TPS data'!D31/'Des TPS AFR'!D31)-1,"")</f>
        <v/>
      </c>
      <c r="E31" s="21" t="str">
        <f>IF(ISNUMBER('TPS data'!E31),('TPS data'!E31/'Des TPS AFR'!E31)-1,"")</f>
        <v/>
      </c>
      <c r="F31" s="21" t="str">
        <f>IF(ISNUMBER('TPS data'!F31),('TPS data'!F31/'Des TPS AFR'!F31)-1,"")</f>
        <v/>
      </c>
      <c r="G31" s="21" t="str">
        <f>IF(ISNUMBER('TPS data'!G31),('TPS data'!G31/'Des TPS AFR'!G31)-1,"")</f>
        <v/>
      </c>
      <c r="H31" s="21" t="str">
        <f>IF(ISNUMBER('TPS data'!H31),('TPS data'!H31/'Des TPS AFR'!H31)-1,"")</f>
        <v/>
      </c>
      <c r="I31" s="21" t="str">
        <f>IF(ISNUMBER('TPS data'!I31),('TPS data'!I31/'Des TPS AFR'!I31)-1,"")</f>
        <v/>
      </c>
      <c r="J31" s="21" t="str">
        <f>IF(ISNUMBER('TPS data'!J31),('TPS data'!J31/'Des TPS AFR'!J31)-1,"")</f>
        <v/>
      </c>
      <c r="K31" s="21" t="str">
        <f>IF(ISNUMBER('TPS data'!K31),('TPS data'!K31/'Des TPS AFR'!K31)-1,"")</f>
        <v/>
      </c>
      <c r="L31" s="21" t="str">
        <f>IF(ISNUMBER('TPS data'!L31),('TPS data'!L31/'Des TPS AFR'!L31)-1,"")</f>
        <v/>
      </c>
      <c r="M31" s="21" t="str">
        <f>IF(ISNUMBER('TPS data'!M31),('TPS data'!M31/'Des TPS AFR'!M31)-1,"")</f>
        <v/>
      </c>
      <c r="N31" s="21" t="str">
        <f>IF(ISNUMBER('TPS data'!N31),('TPS data'!N31/'Des TPS AFR'!N31)-1,"")</f>
        <v/>
      </c>
      <c r="O31" s="21" t="str">
        <f>IF(ISNUMBER('TPS data'!O31),('TPS data'!O31/'Des TPS AFR'!O31)-1,"")</f>
        <v/>
      </c>
      <c r="P31" s="21" t="str">
        <f>IF(ISNUMBER('TPS data'!P31),('TPS data'!P31/'Des TPS AFR'!P31)-1,"")</f>
        <v/>
      </c>
      <c r="Q31" s="21" t="str">
        <f>IF(ISNUMBER('TPS data'!Q31),('TPS data'!Q31/'Des TPS AFR'!Q31)-1,"")</f>
        <v/>
      </c>
      <c r="R31" s="21" t="str">
        <f>IF(ISNUMBER('TPS data'!R31),('TPS data'!R31/'Des TPS AFR'!R31)-1,"")</f>
        <v/>
      </c>
      <c r="S31" s="21" t="str">
        <f>IF(ISNUMBER('TPS data'!S31),('TPS data'!S31/'Des TPS AFR'!S31)-1,"")</f>
        <v/>
      </c>
      <c r="T31" s="21" t="str">
        <f>IF(ISNUMBER('TPS data'!T31),('TPS data'!T31/'Des TPS AFR'!T31)-1,"")</f>
        <v/>
      </c>
      <c r="U31" s="21" t="str">
        <f>IF(ISNUMBER('TPS data'!U31),('TPS data'!U31/'Des TPS AFR'!U31)-1,"")</f>
        <v/>
      </c>
      <c r="V31" s="21" t="str">
        <f>IF(ISNUMBER('TPS data'!V31),('TPS data'!V31/'Des TPS AFR'!V31)-1,"")</f>
        <v/>
      </c>
      <c r="W31" s="21" t="str">
        <f>IF(ISNUMBER('TPS data'!W31),('TPS data'!W31/'Des TPS AFR'!W31)-1,"")</f>
        <v/>
      </c>
      <c r="X31" s="21" t="str">
        <f>IF(ISNUMBER('TPS data'!X31),('TPS data'!X31/'Des TPS AFR'!X31)-1,"")</f>
        <v/>
      </c>
    </row>
    <row r="32" spans="1:24" x14ac:dyDescent="0.25">
      <c r="A32" s="15">
        <v>8400</v>
      </c>
      <c r="B32" s="21" t="str">
        <f>IF(ISNUMBER('TPS data'!B32),('TPS data'!B32/'Des TPS AFR'!B32)-1,"")</f>
        <v/>
      </c>
      <c r="C32" s="21" t="str">
        <f>IF(ISNUMBER('TPS data'!C32),('TPS data'!C32/'Des TPS AFR'!C32)-1,"")</f>
        <v/>
      </c>
      <c r="D32" s="21" t="str">
        <f>IF(ISNUMBER('TPS data'!D32),('TPS data'!D32/'Des TPS AFR'!D32)-1,"")</f>
        <v/>
      </c>
      <c r="E32" s="21" t="str">
        <f>IF(ISNUMBER('TPS data'!E32),('TPS data'!E32/'Des TPS AFR'!E32)-1,"")</f>
        <v/>
      </c>
      <c r="F32" s="21" t="str">
        <f>IF(ISNUMBER('TPS data'!F32),('TPS data'!F32/'Des TPS AFR'!F32)-1,"")</f>
        <v/>
      </c>
      <c r="G32" s="21" t="str">
        <f>IF(ISNUMBER('TPS data'!G32),('TPS data'!G32/'Des TPS AFR'!G32)-1,"")</f>
        <v/>
      </c>
      <c r="H32" s="21" t="str">
        <f>IF(ISNUMBER('TPS data'!H32),('TPS data'!H32/'Des TPS AFR'!H32)-1,"")</f>
        <v/>
      </c>
      <c r="I32" s="21" t="str">
        <f>IF(ISNUMBER('TPS data'!I32),('TPS data'!I32/'Des TPS AFR'!I32)-1,"")</f>
        <v/>
      </c>
      <c r="J32" s="21" t="str">
        <f>IF(ISNUMBER('TPS data'!J32),('TPS data'!J32/'Des TPS AFR'!J32)-1,"")</f>
        <v/>
      </c>
      <c r="K32" s="21" t="str">
        <f>IF(ISNUMBER('TPS data'!K32),('TPS data'!K32/'Des TPS AFR'!K32)-1,"")</f>
        <v/>
      </c>
      <c r="L32" s="21" t="str">
        <f>IF(ISNUMBER('TPS data'!L32),('TPS data'!L32/'Des TPS AFR'!L32)-1,"")</f>
        <v/>
      </c>
      <c r="M32" s="21" t="str">
        <f>IF(ISNUMBER('TPS data'!M32),('TPS data'!M32/'Des TPS AFR'!M32)-1,"")</f>
        <v/>
      </c>
      <c r="N32" s="21" t="str">
        <f>IF(ISNUMBER('TPS data'!N32),('TPS data'!N32/'Des TPS AFR'!N32)-1,"")</f>
        <v/>
      </c>
      <c r="O32" s="21" t="str">
        <f>IF(ISNUMBER('TPS data'!O32),('TPS data'!O32/'Des TPS AFR'!O32)-1,"")</f>
        <v/>
      </c>
      <c r="P32" s="21" t="str">
        <f>IF(ISNUMBER('TPS data'!P32),('TPS data'!P32/'Des TPS AFR'!P32)-1,"")</f>
        <v/>
      </c>
      <c r="Q32" s="21" t="str">
        <f>IF(ISNUMBER('TPS data'!Q32),('TPS data'!Q32/'Des TPS AFR'!Q32)-1,"")</f>
        <v/>
      </c>
      <c r="R32" s="21" t="str">
        <f>IF(ISNUMBER('TPS data'!R32),('TPS data'!R32/'Des TPS AFR'!R32)-1,"")</f>
        <v/>
      </c>
      <c r="S32" s="21" t="str">
        <f>IF(ISNUMBER('TPS data'!S32),('TPS data'!S32/'Des TPS AFR'!S32)-1,"")</f>
        <v/>
      </c>
      <c r="T32" s="21" t="str">
        <f>IF(ISNUMBER('TPS data'!T32),('TPS data'!T32/'Des TPS AFR'!T32)-1,"")</f>
        <v/>
      </c>
      <c r="U32" s="21" t="str">
        <f>IF(ISNUMBER('TPS data'!U32),('TPS data'!U32/'Des TPS AFR'!U32)-1,"")</f>
        <v/>
      </c>
      <c r="V32" s="21" t="str">
        <f>IF(ISNUMBER('TPS data'!V32),('TPS data'!V32/'Des TPS AFR'!V32)-1,"")</f>
        <v/>
      </c>
      <c r="W32" s="21" t="str">
        <f>IF(ISNUMBER('TPS data'!W32),('TPS data'!W32/'Des TPS AFR'!W32)-1,"")</f>
        <v/>
      </c>
      <c r="X32" s="21" t="str">
        <f>IF(ISNUMBER('TPS data'!X32),('TPS data'!X32/'Des TPS AFR'!X32)-1,"")</f>
        <v/>
      </c>
    </row>
    <row r="33" spans="1:24" x14ac:dyDescent="0.25">
      <c r="A33" s="15">
        <v>8800</v>
      </c>
      <c r="B33" s="21" t="str">
        <f>IF(ISNUMBER('TPS data'!B33),('TPS data'!B33/'Des TPS AFR'!B33)-1,"")</f>
        <v/>
      </c>
      <c r="C33" s="21" t="str">
        <f>IF(ISNUMBER('TPS data'!C33),('TPS data'!C33/'Des TPS AFR'!C33)-1,"")</f>
        <v/>
      </c>
      <c r="D33" s="21" t="str">
        <f>IF(ISNUMBER('TPS data'!D33),('TPS data'!D33/'Des TPS AFR'!D33)-1,"")</f>
        <v/>
      </c>
      <c r="E33" s="21" t="str">
        <f>IF(ISNUMBER('TPS data'!E33),('TPS data'!E33/'Des TPS AFR'!E33)-1,"")</f>
        <v/>
      </c>
      <c r="F33" s="21" t="str">
        <f>IF(ISNUMBER('TPS data'!F33),('TPS data'!F33/'Des TPS AFR'!F33)-1,"")</f>
        <v/>
      </c>
      <c r="G33" s="21" t="str">
        <f>IF(ISNUMBER('TPS data'!G33),('TPS data'!G33/'Des TPS AFR'!G33)-1,"")</f>
        <v/>
      </c>
      <c r="H33" s="21" t="str">
        <f>IF(ISNUMBER('TPS data'!H33),('TPS data'!H33/'Des TPS AFR'!H33)-1,"")</f>
        <v/>
      </c>
      <c r="I33" s="21" t="str">
        <f>IF(ISNUMBER('TPS data'!I33),('TPS data'!I33/'Des TPS AFR'!I33)-1,"")</f>
        <v/>
      </c>
      <c r="J33" s="21" t="str">
        <f>IF(ISNUMBER('TPS data'!J33),('TPS data'!J33/'Des TPS AFR'!J33)-1,"")</f>
        <v/>
      </c>
      <c r="K33" s="21" t="str">
        <f>IF(ISNUMBER('TPS data'!K33),('TPS data'!K33/'Des TPS AFR'!K33)-1,"")</f>
        <v/>
      </c>
      <c r="L33" s="21" t="str">
        <f>IF(ISNUMBER('TPS data'!L33),('TPS data'!L33/'Des TPS AFR'!L33)-1,"")</f>
        <v/>
      </c>
      <c r="M33" s="21" t="str">
        <f>IF(ISNUMBER('TPS data'!M33),('TPS data'!M33/'Des TPS AFR'!M33)-1,"")</f>
        <v/>
      </c>
      <c r="N33" s="21" t="str">
        <f>IF(ISNUMBER('TPS data'!N33),('TPS data'!N33/'Des TPS AFR'!N33)-1,"")</f>
        <v/>
      </c>
      <c r="O33" s="21" t="str">
        <f>IF(ISNUMBER('TPS data'!O33),('TPS data'!O33/'Des TPS AFR'!O33)-1,"")</f>
        <v/>
      </c>
      <c r="P33" s="21" t="str">
        <f>IF(ISNUMBER('TPS data'!P33),('TPS data'!P33/'Des TPS AFR'!P33)-1,"")</f>
        <v/>
      </c>
      <c r="Q33" s="21" t="str">
        <f>IF(ISNUMBER('TPS data'!Q33),('TPS data'!Q33/'Des TPS AFR'!Q33)-1,"")</f>
        <v/>
      </c>
      <c r="R33" s="21" t="str">
        <f>IF(ISNUMBER('TPS data'!R33),('TPS data'!R33/'Des TPS AFR'!R33)-1,"")</f>
        <v/>
      </c>
      <c r="S33" s="21" t="str">
        <f>IF(ISNUMBER('TPS data'!S33),('TPS data'!S33/'Des TPS AFR'!S33)-1,"")</f>
        <v/>
      </c>
      <c r="T33" s="21" t="str">
        <f>IF(ISNUMBER('TPS data'!T33),('TPS data'!T33/'Des TPS AFR'!T33)-1,"")</f>
        <v/>
      </c>
      <c r="U33" s="21" t="str">
        <f>IF(ISNUMBER('TPS data'!U33),('TPS data'!U33/'Des TPS AFR'!U33)-1,"")</f>
        <v/>
      </c>
      <c r="V33" s="21" t="str">
        <f>IF(ISNUMBER('TPS data'!V33),('TPS data'!V33/'Des TPS AFR'!V33)-1,"")</f>
        <v/>
      </c>
      <c r="W33" s="21" t="str">
        <f>IF(ISNUMBER('TPS data'!W33),('TPS data'!W33/'Des TPS AFR'!W33)-1,"")</f>
        <v/>
      </c>
      <c r="X33" s="21" t="str">
        <f>IF(ISNUMBER('TPS data'!X33),('TPS data'!X33/'Des TPS AFR'!X33)-1,"")</f>
        <v/>
      </c>
    </row>
    <row r="34" spans="1:24" x14ac:dyDescent="0.25">
      <c r="A34" s="15">
        <v>9200</v>
      </c>
      <c r="B34" s="21" t="str">
        <f>IF(ISNUMBER('TPS data'!B34),('TPS data'!B34/'Des TPS AFR'!B34)-1,"")</f>
        <v/>
      </c>
      <c r="C34" s="21" t="str">
        <f>IF(ISNUMBER('TPS data'!C34),('TPS data'!C34/'Des TPS AFR'!C34)-1,"")</f>
        <v/>
      </c>
      <c r="D34" s="21" t="str">
        <f>IF(ISNUMBER('TPS data'!D34),('TPS data'!D34/'Des TPS AFR'!D34)-1,"")</f>
        <v/>
      </c>
      <c r="E34" s="21" t="str">
        <f>IF(ISNUMBER('TPS data'!E34),('TPS data'!E34/'Des TPS AFR'!E34)-1,"")</f>
        <v/>
      </c>
      <c r="F34" s="21" t="str">
        <f>IF(ISNUMBER('TPS data'!F34),('TPS data'!F34/'Des TPS AFR'!F34)-1,"")</f>
        <v/>
      </c>
      <c r="G34" s="21" t="str">
        <f>IF(ISNUMBER('TPS data'!G34),('TPS data'!G34/'Des TPS AFR'!G34)-1,"")</f>
        <v/>
      </c>
      <c r="H34" s="21" t="str">
        <f>IF(ISNUMBER('TPS data'!H34),('TPS data'!H34/'Des TPS AFR'!H34)-1,"")</f>
        <v/>
      </c>
      <c r="I34" s="21" t="str">
        <f>IF(ISNUMBER('TPS data'!I34),('TPS data'!I34/'Des TPS AFR'!I34)-1,"")</f>
        <v/>
      </c>
      <c r="J34" s="21" t="str">
        <f>IF(ISNUMBER('TPS data'!J34),('TPS data'!J34/'Des TPS AFR'!J34)-1,"")</f>
        <v/>
      </c>
      <c r="K34" s="21" t="str">
        <f>IF(ISNUMBER('TPS data'!K34),('TPS data'!K34/'Des TPS AFR'!K34)-1,"")</f>
        <v/>
      </c>
      <c r="L34" s="21" t="str">
        <f>IF(ISNUMBER('TPS data'!L34),('TPS data'!L34/'Des TPS AFR'!L34)-1,"")</f>
        <v/>
      </c>
      <c r="M34" s="21" t="str">
        <f>IF(ISNUMBER('TPS data'!M34),('TPS data'!M34/'Des TPS AFR'!M34)-1,"")</f>
        <v/>
      </c>
      <c r="N34" s="21" t="str">
        <f>IF(ISNUMBER('TPS data'!N34),('TPS data'!N34/'Des TPS AFR'!N34)-1,"")</f>
        <v/>
      </c>
      <c r="O34" s="21" t="str">
        <f>IF(ISNUMBER('TPS data'!O34),('TPS data'!O34/'Des TPS AFR'!O34)-1,"")</f>
        <v/>
      </c>
      <c r="P34" s="21" t="str">
        <f>IF(ISNUMBER('TPS data'!P34),('TPS data'!P34/'Des TPS AFR'!P34)-1,"")</f>
        <v/>
      </c>
      <c r="Q34" s="21" t="str">
        <f>IF(ISNUMBER('TPS data'!Q34),('TPS data'!Q34/'Des TPS AFR'!Q34)-1,"")</f>
        <v/>
      </c>
      <c r="R34" s="21" t="str">
        <f>IF(ISNUMBER('TPS data'!R34),('TPS data'!R34/'Des TPS AFR'!R34)-1,"")</f>
        <v/>
      </c>
      <c r="S34" s="21" t="str">
        <f>IF(ISNUMBER('TPS data'!S34),('TPS data'!S34/'Des TPS AFR'!S34)-1,"")</f>
        <v/>
      </c>
      <c r="T34" s="21" t="str">
        <f>IF(ISNUMBER('TPS data'!T34),('TPS data'!T34/'Des TPS AFR'!T34)-1,"")</f>
        <v/>
      </c>
      <c r="U34" s="21" t="str">
        <f>IF(ISNUMBER('TPS data'!U34),('TPS data'!U34/'Des TPS AFR'!U34)-1,"")</f>
        <v/>
      </c>
      <c r="V34" s="21" t="str">
        <f>IF(ISNUMBER('TPS data'!V34),('TPS data'!V34/'Des TPS AFR'!V34)-1,"")</f>
        <v/>
      </c>
      <c r="W34" s="21" t="str">
        <f>IF(ISNUMBER('TPS data'!W34),('TPS data'!W34/'Des TPS AFR'!W34)-1,"")</f>
        <v/>
      </c>
      <c r="X34" s="21" t="str">
        <f>IF(ISNUMBER('TPS data'!X34),('TPS data'!X34/'Des TPS AFR'!X34)-1,"")</f>
        <v/>
      </c>
    </row>
    <row r="35" spans="1:24" x14ac:dyDescent="0.25">
      <c r="A35" s="15">
        <v>9600</v>
      </c>
      <c r="B35" s="21" t="str">
        <f>IF(ISNUMBER('TPS data'!B35),('TPS data'!B35/'Des TPS AFR'!B35)-1,"")</f>
        <v/>
      </c>
      <c r="C35" s="21" t="str">
        <f>IF(ISNUMBER('TPS data'!C35),('TPS data'!C35/'Des TPS AFR'!C35)-1,"")</f>
        <v/>
      </c>
      <c r="D35" s="21" t="str">
        <f>IF(ISNUMBER('TPS data'!D35),('TPS data'!D35/'Des TPS AFR'!D35)-1,"")</f>
        <v/>
      </c>
      <c r="E35" s="21" t="str">
        <f>IF(ISNUMBER('TPS data'!E35),('TPS data'!E35/'Des TPS AFR'!E35)-1,"")</f>
        <v/>
      </c>
      <c r="F35" s="21" t="str">
        <f>IF(ISNUMBER('TPS data'!F35),('TPS data'!F35/'Des TPS AFR'!F35)-1,"")</f>
        <v/>
      </c>
      <c r="G35" s="21" t="str">
        <f>IF(ISNUMBER('TPS data'!G35),('TPS data'!G35/'Des TPS AFR'!G35)-1,"")</f>
        <v/>
      </c>
      <c r="H35" s="21" t="str">
        <f>IF(ISNUMBER('TPS data'!H35),('TPS data'!H35/'Des TPS AFR'!H35)-1,"")</f>
        <v/>
      </c>
      <c r="I35" s="21" t="str">
        <f>IF(ISNUMBER('TPS data'!I35),('TPS data'!I35/'Des TPS AFR'!I35)-1,"")</f>
        <v/>
      </c>
      <c r="J35" s="21" t="str">
        <f>IF(ISNUMBER('TPS data'!J35),('TPS data'!J35/'Des TPS AFR'!J35)-1,"")</f>
        <v/>
      </c>
      <c r="K35" s="21" t="str">
        <f>IF(ISNUMBER('TPS data'!K35),('TPS data'!K35/'Des TPS AFR'!K35)-1,"")</f>
        <v/>
      </c>
      <c r="L35" s="21" t="str">
        <f>IF(ISNUMBER('TPS data'!L35),('TPS data'!L35/'Des TPS AFR'!L35)-1,"")</f>
        <v/>
      </c>
      <c r="M35" s="21" t="str">
        <f>IF(ISNUMBER('TPS data'!M35),('TPS data'!M35/'Des TPS AFR'!M35)-1,"")</f>
        <v/>
      </c>
      <c r="N35" s="21" t="str">
        <f>IF(ISNUMBER('TPS data'!N35),('TPS data'!N35/'Des TPS AFR'!N35)-1,"")</f>
        <v/>
      </c>
      <c r="O35" s="21" t="str">
        <f>IF(ISNUMBER('TPS data'!O35),('TPS data'!O35/'Des TPS AFR'!O35)-1,"")</f>
        <v/>
      </c>
      <c r="P35" s="21" t="str">
        <f>IF(ISNUMBER('TPS data'!P35),('TPS data'!P35/'Des TPS AFR'!P35)-1,"")</f>
        <v/>
      </c>
      <c r="Q35" s="21" t="str">
        <f>IF(ISNUMBER('TPS data'!Q35),('TPS data'!Q35/'Des TPS AFR'!Q35)-1,"")</f>
        <v/>
      </c>
      <c r="R35" s="21" t="str">
        <f>IF(ISNUMBER('TPS data'!R35),('TPS data'!R35/'Des TPS AFR'!R35)-1,"")</f>
        <v/>
      </c>
      <c r="S35" s="21" t="str">
        <f>IF(ISNUMBER('TPS data'!S35),('TPS data'!S35/'Des TPS AFR'!S35)-1,"")</f>
        <v/>
      </c>
      <c r="T35" s="21" t="str">
        <f>IF(ISNUMBER('TPS data'!T35),('TPS data'!T35/'Des TPS AFR'!T35)-1,"")</f>
        <v/>
      </c>
      <c r="U35" s="21" t="str">
        <f>IF(ISNUMBER('TPS data'!U35),('TPS data'!U35/'Des TPS AFR'!U35)-1,"")</f>
        <v/>
      </c>
      <c r="V35" s="21" t="str">
        <f>IF(ISNUMBER('TPS data'!V35),('TPS data'!V35/'Des TPS AFR'!V35)-1,"")</f>
        <v/>
      </c>
      <c r="W35" s="21" t="str">
        <f>IF(ISNUMBER('TPS data'!W35),('TPS data'!W35/'Des TPS AFR'!W35)-1,"")</f>
        <v/>
      </c>
      <c r="X35" s="21" t="str">
        <f>IF(ISNUMBER('TPS data'!X35),('TPS data'!X35/'Des TPS AFR'!X35)-1,"")</f>
        <v/>
      </c>
    </row>
    <row r="36" spans="1:24" x14ac:dyDescent="0.25">
      <c r="A36" s="15">
        <v>10000</v>
      </c>
      <c r="B36" s="21" t="str">
        <f>IF(ISNUMBER('TPS data'!B36),('TPS data'!B36/'Des TPS AFR'!B36)-1,"")</f>
        <v/>
      </c>
      <c r="C36" s="21" t="str">
        <f>IF(ISNUMBER('TPS data'!C36),('TPS data'!C36/'Des TPS AFR'!C36)-1,"")</f>
        <v/>
      </c>
      <c r="D36" s="21" t="str">
        <f>IF(ISNUMBER('TPS data'!D36),('TPS data'!D36/'Des TPS AFR'!D36)-1,"")</f>
        <v/>
      </c>
      <c r="E36" s="21" t="str">
        <f>IF(ISNUMBER('TPS data'!E36),('TPS data'!E36/'Des TPS AFR'!E36)-1,"")</f>
        <v/>
      </c>
      <c r="F36" s="21" t="str">
        <f>IF(ISNUMBER('TPS data'!F36),('TPS data'!F36/'Des TPS AFR'!F36)-1,"")</f>
        <v/>
      </c>
      <c r="G36" s="21" t="str">
        <f>IF(ISNUMBER('TPS data'!G36),('TPS data'!G36/'Des TPS AFR'!G36)-1,"")</f>
        <v/>
      </c>
      <c r="H36" s="21" t="str">
        <f>IF(ISNUMBER('TPS data'!H36),('TPS data'!H36/'Des TPS AFR'!H36)-1,"")</f>
        <v/>
      </c>
      <c r="I36" s="21" t="str">
        <f>IF(ISNUMBER('TPS data'!I36),('TPS data'!I36/'Des TPS AFR'!I36)-1,"")</f>
        <v/>
      </c>
      <c r="J36" s="21" t="str">
        <f>IF(ISNUMBER('TPS data'!J36),('TPS data'!J36/'Des TPS AFR'!J36)-1,"")</f>
        <v/>
      </c>
      <c r="K36" s="21" t="str">
        <f>IF(ISNUMBER('TPS data'!K36),('TPS data'!K36/'Des TPS AFR'!K36)-1,"")</f>
        <v/>
      </c>
      <c r="L36" s="21" t="str">
        <f>IF(ISNUMBER('TPS data'!L36),('TPS data'!L36/'Des TPS AFR'!L36)-1,"")</f>
        <v/>
      </c>
      <c r="M36" s="21" t="str">
        <f>IF(ISNUMBER('TPS data'!M36),('TPS data'!M36/'Des TPS AFR'!M36)-1,"")</f>
        <v/>
      </c>
      <c r="N36" s="21" t="str">
        <f>IF(ISNUMBER('TPS data'!N36),('TPS data'!N36/'Des TPS AFR'!N36)-1,"")</f>
        <v/>
      </c>
      <c r="O36" s="21" t="str">
        <f>IF(ISNUMBER('TPS data'!O36),('TPS data'!O36/'Des TPS AFR'!O36)-1,"")</f>
        <v/>
      </c>
      <c r="P36" s="21" t="str">
        <f>IF(ISNUMBER('TPS data'!P36),('TPS data'!P36/'Des TPS AFR'!P36)-1,"")</f>
        <v/>
      </c>
      <c r="Q36" s="21" t="str">
        <f>IF(ISNUMBER('TPS data'!Q36),('TPS data'!Q36/'Des TPS AFR'!Q36)-1,"")</f>
        <v/>
      </c>
      <c r="R36" s="21" t="str">
        <f>IF(ISNUMBER('TPS data'!R36),('TPS data'!R36/'Des TPS AFR'!R36)-1,"")</f>
        <v/>
      </c>
      <c r="S36" s="21" t="str">
        <f>IF(ISNUMBER('TPS data'!S36),('TPS data'!S36/'Des TPS AFR'!S36)-1,"")</f>
        <v/>
      </c>
      <c r="T36" s="21" t="str">
        <f>IF(ISNUMBER('TPS data'!T36),('TPS data'!T36/'Des TPS AFR'!T36)-1,"")</f>
        <v/>
      </c>
      <c r="U36" s="21" t="str">
        <f>IF(ISNUMBER('TPS data'!U36),('TPS data'!U36/'Des TPS AFR'!U36)-1,"")</f>
        <v/>
      </c>
      <c r="V36" s="21" t="str">
        <f>IF(ISNUMBER('TPS data'!V36),('TPS data'!V36/'Des TPS AFR'!V36)-1,"")</f>
        <v/>
      </c>
      <c r="W36" s="21" t="str">
        <f>IF(ISNUMBER('TPS data'!W36),('TPS data'!W36/'Des TPS AFR'!W36)-1,"")</f>
        <v/>
      </c>
      <c r="X36" s="21" t="str">
        <f>IF(ISNUMBER('TPS data'!X36),('TPS data'!X36/'Des TPS AFR'!X36)-1,"")</f>
        <v/>
      </c>
    </row>
    <row r="37" spans="1:24" x14ac:dyDescent="0.25">
      <c r="A37" s="15">
        <v>10400</v>
      </c>
      <c r="B37" s="21" t="str">
        <f>IF(ISNUMBER('TPS data'!B37),('TPS data'!B37/'Des TPS AFR'!B37)-1,"")</f>
        <v/>
      </c>
      <c r="C37" s="21" t="str">
        <f>IF(ISNUMBER('TPS data'!C37),('TPS data'!C37/'Des TPS AFR'!C37)-1,"")</f>
        <v/>
      </c>
      <c r="D37" s="21" t="str">
        <f>IF(ISNUMBER('TPS data'!D37),('TPS data'!D37/'Des TPS AFR'!D37)-1,"")</f>
        <v/>
      </c>
      <c r="E37" s="21" t="str">
        <f>IF(ISNUMBER('TPS data'!E37),('TPS data'!E37/'Des TPS AFR'!E37)-1,"")</f>
        <v/>
      </c>
      <c r="F37" s="21" t="str">
        <f>IF(ISNUMBER('TPS data'!F37),('TPS data'!F37/'Des TPS AFR'!F37)-1,"")</f>
        <v/>
      </c>
      <c r="G37" s="21" t="str">
        <f>IF(ISNUMBER('TPS data'!G37),('TPS data'!G37/'Des TPS AFR'!G37)-1,"")</f>
        <v/>
      </c>
      <c r="H37" s="21" t="str">
        <f>IF(ISNUMBER('TPS data'!H37),('TPS data'!H37/'Des TPS AFR'!H37)-1,"")</f>
        <v/>
      </c>
      <c r="I37" s="21" t="str">
        <f>IF(ISNUMBER('TPS data'!I37),('TPS data'!I37/'Des TPS AFR'!I37)-1,"")</f>
        <v/>
      </c>
      <c r="J37" s="21" t="str">
        <f>IF(ISNUMBER('TPS data'!J37),('TPS data'!J37/'Des TPS AFR'!J37)-1,"")</f>
        <v/>
      </c>
      <c r="K37" s="21" t="str">
        <f>IF(ISNUMBER('TPS data'!K37),('TPS data'!K37/'Des TPS AFR'!K37)-1,"")</f>
        <v/>
      </c>
      <c r="L37" s="21" t="str">
        <f>IF(ISNUMBER('TPS data'!L37),('TPS data'!L37/'Des TPS AFR'!L37)-1,"")</f>
        <v/>
      </c>
      <c r="M37" s="21" t="str">
        <f>IF(ISNUMBER('TPS data'!M37),('TPS data'!M37/'Des TPS AFR'!M37)-1,"")</f>
        <v/>
      </c>
      <c r="N37" s="21" t="str">
        <f>IF(ISNUMBER('TPS data'!N37),('TPS data'!N37/'Des TPS AFR'!N37)-1,"")</f>
        <v/>
      </c>
      <c r="O37" s="21" t="str">
        <f>IF(ISNUMBER('TPS data'!O37),('TPS data'!O37/'Des TPS AFR'!O37)-1,"")</f>
        <v/>
      </c>
      <c r="P37" s="21" t="str">
        <f>IF(ISNUMBER('TPS data'!P37),('TPS data'!P37/'Des TPS AFR'!P37)-1,"")</f>
        <v/>
      </c>
      <c r="Q37" s="21" t="str">
        <f>IF(ISNUMBER('TPS data'!Q37),('TPS data'!Q37/'Des TPS AFR'!Q37)-1,"")</f>
        <v/>
      </c>
      <c r="R37" s="21" t="str">
        <f>IF(ISNUMBER('TPS data'!R37),('TPS data'!R37/'Des TPS AFR'!R37)-1,"")</f>
        <v/>
      </c>
      <c r="S37" s="21" t="str">
        <f>IF(ISNUMBER('TPS data'!S37),('TPS data'!S37/'Des TPS AFR'!S37)-1,"")</f>
        <v/>
      </c>
      <c r="T37" s="21" t="str">
        <f>IF(ISNUMBER('TPS data'!T37),('TPS data'!T37/'Des TPS AFR'!T37)-1,"")</f>
        <v/>
      </c>
      <c r="U37" s="21" t="str">
        <f>IF(ISNUMBER('TPS data'!U37),('TPS data'!U37/'Des TPS AFR'!U37)-1,"")</f>
        <v/>
      </c>
      <c r="V37" s="21" t="str">
        <f>IF(ISNUMBER('TPS data'!V37),('TPS data'!V37/'Des TPS AFR'!V37)-1,"")</f>
        <v/>
      </c>
      <c r="W37" s="21" t="str">
        <f>IF(ISNUMBER('TPS data'!W37),('TPS data'!W37/'Des TPS AFR'!W37)-1,"")</f>
        <v/>
      </c>
      <c r="X37" s="21" t="str">
        <f>IF(ISNUMBER('TPS data'!X37),('TPS data'!X37/'Des TPS AFR'!X37)-1,"")</f>
        <v/>
      </c>
    </row>
    <row r="38" spans="1:24" x14ac:dyDescent="0.25">
      <c r="A38" s="15">
        <v>10800</v>
      </c>
      <c r="B38" s="21" t="str">
        <f>IF(ISNUMBER('TPS data'!B38),('TPS data'!B38/'Des TPS AFR'!B38)-1,"")</f>
        <v/>
      </c>
      <c r="C38" s="21" t="str">
        <f>IF(ISNUMBER('TPS data'!C38),('TPS data'!C38/'Des TPS AFR'!C38)-1,"")</f>
        <v/>
      </c>
      <c r="D38" s="21" t="str">
        <f>IF(ISNUMBER('TPS data'!D38),('TPS data'!D38/'Des TPS AFR'!D38)-1,"")</f>
        <v/>
      </c>
      <c r="E38" s="21" t="str">
        <f>IF(ISNUMBER('TPS data'!E38),('TPS data'!E38/'Des TPS AFR'!E38)-1,"")</f>
        <v/>
      </c>
      <c r="F38" s="21" t="str">
        <f>IF(ISNUMBER('TPS data'!F38),('TPS data'!F38/'Des TPS AFR'!F38)-1,"")</f>
        <v/>
      </c>
      <c r="G38" s="21" t="str">
        <f>IF(ISNUMBER('TPS data'!G38),('TPS data'!G38/'Des TPS AFR'!G38)-1,"")</f>
        <v/>
      </c>
      <c r="H38" s="21" t="str">
        <f>IF(ISNUMBER('TPS data'!H38),('TPS data'!H38/'Des TPS AFR'!H38)-1,"")</f>
        <v/>
      </c>
      <c r="I38" s="21" t="str">
        <f>IF(ISNUMBER('TPS data'!I38),('TPS data'!I38/'Des TPS AFR'!I38)-1,"")</f>
        <v/>
      </c>
      <c r="J38" s="21" t="str">
        <f>IF(ISNUMBER('TPS data'!J38),('TPS data'!J38/'Des TPS AFR'!J38)-1,"")</f>
        <v/>
      </c>
      <c r="K38" s="21" t="str">
        <f>IF(ISNUMBER('TPS data'!K38),('TPS data'!K38/'Des TPS AFR'!K38)-1,"")</f>
        <v/>
      </c>
      <c r="L38" s="21" t="str">
        <f>IF(ISNUMBER('TPS data'!L38),('TPS data'!L38/'Des TPS AFR'!L38)-1,"")</f>
        <v/>
      </c>
      <c r="M38" s="21" t="str">
        <f>IF(ISNUMBER('TPS data'!M38),('TPS data'!M38/'Des TPS AFR'!M38)-1,"")</f>
        <v/>
      </c>
      <c r="N38" s="21" t="str">
        <f>IF(ISNUMBER('TPS data'!N38),('TPS data'!N38/'Des TPS AFR'!N38)-1,"")</f>
        <v/>
      </c>
      <c r="O38" s="21" t="str">
        <f>IF(ISNUMBER('TPS data'!O38),('TPS data'!O38/'Des TPS AFR'!O38)-1,"")</f>
        <v/>
      </c>
      <c r="P38" s="21" t="str">
        <f>IF(ISNUMBER('TPS data'!P38),('TPS data'!P38/'Des TPS AFR'!P38)-1,"")</f>
        <v/>
      </c>
      <c r="Q38" s="21" t="str">
        <f>IF(ISNUMBER('TPS data'!Q38),('TPS data'!Q38/'Des TPS AFR'!Q38)-1,"")</f>
        <v/>
      </c>
      <c r="R38" s="21" t="str">
        <f>IF(ISNUMBER('TPS data'!R38),('TPS data'!R38/'Des TPS AFR'!R38)-1,"")</f>
        <v/>
      </c>
      <c r="S38" s="21" t="str">
        <f>IF(ISNUMBER('TPS data'!S38),('TPS data'!S38/'Des TPS AFR'!S38)-1,"")</f>
        <v/>
      </c>
      <c r="T38" s="21" t="str">
        <f>IF(ISNUMBER('TPS data'!T38),('TPS data'!T38/'Des TPS AFR'!T38)-1,"")</f>
        <v/>
      </c>
      <c r="U38" s="21" t="str">
        <f>IF(ISNUMBER('TPS data'!U38),('TPS data'!U38/'Des TPS AFR'!U38)-1,"")</f>
        <v/>
      </c>
      <c r="V38" s="21" t="str">
        <f>IF(ISNUMBER('TPS data'!V38),('TPS data'!V38/'Des TPS AFR'!V38)-1,"")</f>
        <v/>
      </c>
      <c r="W38" s="21" t="str">
        <f>IF(ISNUMBER('TPS data'!W38),('TPS data'!W38/'Des TPS AFR'!W38)-1,"")</f>
        <v/>
      </c>
      <c r="X38" s="21" t="str">
        <f>IF(ISNUMBER('TPS data'!X38),('TPS data'!X38/'Des TPS AFR'!X38)-1,"")</f>
        <v/>
      </c>
    </row>
    <row r="39" spans="1:24" x14ac:dyDescent="0.25">
      <c r="A39" s="15">
        <v>11200</v>
      </c>
      <c r="B39" s="21" t="str">
        <f>IF(ISNUMBER('TPS data'!B39),('TPS data'!B39/'Des TPS AFR'!B39)-1,"")</f>
        <v/>
      </c>
      <c r="C39" s="21" t="str">
        <f>IF(ISNUMBER('TPS data'!C39),('TPS data'!C39/'Des TPS AFR'!C39)-1,"")</f>
        <v/>
      </c>
      <c r="D39" s="21" t="str">
        <f>IF(ISNUMBER('TPS data'!D39),('TPS data'!D39/'Des TPS AFR'!D39)-1,"")</f>
        <v/>
      </c>
      <c r="E39" s="21" t="str">
        <f>IF(ISNUMBER('TPS data'!E39),('TPS data'!E39/'Des TPS AFR'!E39)-1,"")</f>
        <v/>
      </c>
      <c r="F39" s="21" t="str">
        <f>IF(ISNUMBER('TPS data'!F39),('TPS data'!F39/'Des TPS AFR'!F39)-1,"")</f>
        <v/>
      </c>
      <c r="G39" s="21" t="str">
        <f>IF(ISNUMBER('TPS data'!G39),('TPS data'!G39/'Des TPS AFR'!G39)-1,"")</f>
        <v/>
      </c>
      <c r="H39" s="21" t="str">
        <f>IF(ISNUMBER('TPS data'!H39),('TPS data'!H39/'Des TPS AFR'!H39)-1,"")</f>
        <v/>
      </c>
      <c r="I39" s="21" t="str">
        <f>IF(ISNUMBER('TPS data'!I39),('TPS data'!I39/'Des TPS AFR'!I39)-1,"")</f>
        <v/>
      </c>
      <c r="J39" s="21" t="str">
        <f>IF(ISNUMBER('TPS data'!J39),('TPS data'!J39/'Des TPS AFR'!J39)-1,"")</f>
        <v/>
      </c>
      <c r="K39" s="21" t="str">
        <f>IF(ISNUMBER('TPS data'!K39),('TPS data'!K39/'Des TPS AFR'!K39)-1,"")</f>
        <v/>
      </c>
      <c r="L39" s="21" t="str">
        <f>IF(ISNUMBER('TPS data'!L39),('TPS data'!L39/'Des TPS AFR'!L39)-1,"")</f>
        <v/>
      </c>
      <c r="M39" s="21" t="str">
        <f>IF(ISNUMBER('TPS data'!M39),('TPS data'!M39/'Des TPS AFR'!M39)-1,"")</f>
        <v/>
      </c>
      <c r="N39" s="21" t="str">
        <f>IF(ISNUMBER('TPS data'!N39),('TPS data'!N39/'Des TPS AFR'!N39)-1,"")</f>
        <v/>
      </c>
      <c r="O39" s="21" t="str">
        <f>IF(ISNUMBER('TPS data'!O39),('TPS data'!O39/'Des TPS AFR'!O39)-1,"")</f>
        <v/>
      </c>
      <c r="P39" s="21" t="str">
        <f>IF(ISNUMBER('TPS data'!P39),('TPS data'!P39/'Des TPS AFR'!P39)-1,"")</f>
        <v/>
      </c>
      <c r="Q39" s="21" t="str">
        <f>IF(ISNUMBER('TPS data'!Q39),('TPS data'!Q39/'Des TPS AFR'!Q39)-1,"")</f>
        <v/>
      </c>
      <c r="R39" s="21" t="str">
        <f>IF(ISNUMBER('TPS data'!R39),('TPS data'!R39/'Des TPS AFR'!R39)-1,"")</f>
        <v/>
      </c>
      <c r="S39" s="21" t="str">
        <f>IF(ISNUMBER('TPS data'!S39),('TPS data'!S39/'Des TPS AFR'!S39)-1,"")</f>
        <v/>
      </c>
      <c r="T39" s="21" t="str">
        <f>IF(ISNUMBER('TPS data'!T39),('TPS data'!T39/'Des TPS AFR'!T39)-1,"")</f>
        <v/>
      </c>
      <c r="U39" s="21" t="str">
        <f>IF(ISNUMBER('TPS data'!U39),('TPS data'!U39/'Des TPS AFR'!U39)-1,"")</f>
        <v/>
      </c>
      <c r="V39" s="21" t="str">
        <f>IF(ISNUMBER('TPS data'!V39),('TPS data'!V39/'Des TPS AFR'!V39)-1,"")</f>
        <v/>
      </c>
      <c r="W39" s="21" t="str">
        <f>IF(ISNUMBER('TPS data'!W39),('TPS data'!W39/'Des TPS AFR'!W39)-1,"")</f>
        <v/>
      </c>
      <c r="X39" s="21" t="str">
        <f>IF(ISNUMBER('TPS data'!X39),('TPS data'!X39/'Des TPS AFR'!X39)-1,"")</f>
        <v/>
      </c>
    </row>
    <row r="40" spans="1:24" x14ac:dyDescent="0.25">
      <c r="A40" s="15">
        <v>11600</v>
      </c>
      <c r="B40" s="21" t="str">
        <f>IF(ISNUMBER('TPS data'!B40),('TPS data'!B40/'Des TPS AFR'!B40)-1,"")</f>
        <v/>
      </c>
      <c r="C40" s="21" t="str">
        <f>IF(ISNUMBER('TPS data'!C40),('TPS data'!C40/'Des TPS AFR'!C40)-1,"")</f>
        <v/>
      </c>
      <c r="D40" s="21" t="str">
        <f>IF(ISNUMBER('TPS data'!D40),('TPS data'!D40/'Des TPS AFR'!D40)-1,"")</f>
        <v/>
      </c>
      <c r="E40" s="21" t="str">
        <f>IF(ISNUMBER('TPS data'!E40),('TPS data'!E40/'Des TPS AFR'!E40)-1,"")</f>
        <v/>
      </c>
      <c r="F40" s="21" t="str">
        <f>IF(ISNUMBER('TPS data'!F40),('TPS data'!F40/'Des TPS AFR'!F40)-1,"")</f>
        <v/>
      </c>
      <c r="G40" s="21" t="str">
        <f>IF(ISNUMBER('TPS data'!G40),('TPS data'!G40/'Des TPS AFR'!G40)-1,"")</f>
        <v/>
      </c>
      <c r="H40" s="21" t="str">
        <f>IF(ISNUMBER('TPS data'!H40),('TPS data'!H40/'Des TPS AFR'!H40)-1,"")</f>
        <v/>
      </c>
      <c r="I40" s="21" t="str">
        <f>IF(ISNUMBER('TPS data'!I40),('TPS data'!I40/'Des TPS AFR'!I40)-1,"")</f>
        <v/>
      </c>
      <c r="J40" s="21" t="str">
        <f>IF(ISNUMBER('TPS data'!J40),('TPS data'!J40/'Des TPS AFR'!J40)-1,"")</f>
        <v/>
      </c>
      <c r="K40" s="21" t="str">
        <f>IF(ISNUMBER('TPS data'!K40),('TPS data'!K40/'Des TPS AFR'!K40)-1,"")</f>
        <v/>
      </c>
      <c r="L40" s="21" t="str">
        <f>IF(ISNUMBER('TPS data'!L40),('TPS data'!L40/'Des TPS AFR'!L40)-1,"")</f>
        <v/>
      </c>
      <c r="M40" s="21" t="str">
        <f>IF(ISNUMBER('TPS data'!M40),('TPS data'!M40/'Des TPS AFR'!M40)-1,"")</f>
        <v/>
      </c>
      <c r="N40" s="21" t="str">
        <f>IF(ISNUMBER('TPS data'!N40),('TPS data'!N40/'Des TPS AFR'!N40)-1,"")</f>
        <v/>
      </c>
      <c r="O40" s="21" t="str">
        <f>IF(ISNUMBER('TPS data'!O40),('TPS data'!O40/'Des TPS AFR'!O40)-1,"")</f>
        <v/>
      </c>
      <c r="P40" s="21" t="str">
        <f>IF(ISNUMBER('TPS data'!P40),('TPS data'!P40/'Des TPS AFR'!P40)-1,"")</f>
        <v/>
      </c>
      <c r="Q40" s="21" t="str">
        <f>IF(ISNUMBER('TPS data'!Q40),('TPS data'!Q40/'Des TPS AFR'!Q40)-1,"")</f>
        <v/>
      </c>
      <c r="R40" s="21" t="str">
        <f>IF(ISNUMBER('TPS data'!R40),('TPS data'!R40/'Des TPS AFR'!R40)-1,"")</f>
        <v/>
      </c>
      <c r="S40" s="21" t="str">
        <f>IF(ISNUMBER('TPS data'!S40),('TPS data'!S40/'Des TPS AFR'!S40)-1,"")</f>
        <v/>
      </c>
      <c r="T40" s="21" t="str">
        <f>IF(ISNUMBER('TPS data'!T40),('TPS data'!T40/'Des TPS AFR'!T40)-1,"")</f>
        <v/>
      </c>
      <c r="U40" s="21" t="str">
        <f>IF(ISNUMBER('TPS data'!U40),('TPS data'!U40/'Des TPS AFR'!U40)-1,"")</f>
        <v/>
      </c>
      <c r="V40" s="21" t="str">
        <f>IF(ISNUMBER('TPS data'!V40),('TPS data'!V40/'Des TPS AFR'!V40)-1,"")</f>
        <v/>
      </c>
      <c r="W40" s="21" t="str">
        <f>IF(ISNUMBER('TPS data'!W40),('TPS data'!W40/'Des TPS AFR'!W40)-1,"")</f>
        <v/>
      </c>
      <c r="X40" s="21" t="str">
        <f>IF(ISNUMBER('TPS data'!X40),('TPS data'!X40/'Des TPS AFR'!X40)-1,"")</f>
        <v/>
      </c>
    </row>
    <row r="41" spans="1:24" x14ac:dyDescent="0.25">
      <c r="A41" s="15">
        <v>12000</v>
      </c>
      <c r="B41" s="21" t="str">
        <f>IF(ISNUMBER('TPS data'!B41),('TPS data'!B41/'Des TPS AFR'!B41)-1,"")</f>
        <v/>
      </c>
      <c r="C41" s="21" t="str">
        <f>IF(ISNUMBER('TPS data'!C41),('TPS data'!C41/'Des TPS AFR'!C41)-1,"")</f>
        <v/>
      </c>
      <c r="D41" s="21" t="str">
        <f>IF(ISNUMBER('TPS data'!D41),('TPS data'!D41/'Des TPS AFR'!D41)-1,"")</f>
        <v/>
      </c>
      <c r="E41" s="21" t="str">
        <f>IF(ISNUMBER('TPS data'!E41),('TPS data'!E41/'Des TPS AFR'!E41)-1,"")</f>
        <v/>
      </c>
      <c r="F41" s="21" t="str">
        <f>IF(ISNUMBER('TPS data'!F41),('TPS data'!F41/'Des TPS AFR'!F41)-1,"")</f>
        <v/>
      </c>
      <c r="G41" s="21" t="str">
        <f>IF(ISNUMBER('TPS data'!G41),('TPS data'!G41/'Des TPS AFR'!G41)-1,"")</f>
        <v/>
      </c>
      <c r="H41" s="21" t="str">
        <f>IF(ISNUMBER('TPS data'!H41),('TPS data'!H41/'Des TPS AFR'!H41)-1,"")</f>
        <v/>
      </c>
      <c r="I41" s="21" t="str">
        <f>IF(ISNUMBER('TPS data'!I41),('TPS data'!I41/'Des TPS AFR'!I41)-1,"")</f>
        <v/>
      </c>
      <c r="J41" s="21" t="str">
        <f>IF(ISNUMBER('TPS data'!J41),('TPS data'!J41/'Des TPS AFR'!J41)-1,"")</f>
        <v/>
      </c>
      <c r="K41" s="21" t="str">
        <f>IF(ISNUMBER('TPS data'!K41),('TPS data'!K41/'Des TPS AFR'!K41)-1,"")</f>
        <v/>
      </c>
      <c r="L41" s="21" t="str">
        <f>IF(ISNUMBER('TPS data'!L41),('TPS data'!L41/'Des TPS AFR'!L41)-1,"")</f>
        <v/>
      </c>
      <c r="M41" s="21" t="str">
        <f>IF(ISNUMBER('TPS data'!M41),('TPS data'!M41/'Des TPS AFR'!M41)-1,"")</f>
        <v/>
      </c>
      <c r="N41" s="21" t="str">
        <f>IF(ISNUMBER('TPS data'!N41),('TPS data'!N41/'Des TPS AFR'!N41)-1,"")</f>
        <v/>
      </c>
      <c r="O41" s="21" t="str">
        <f>IF(ISNUMBER('TPS data'!O41),('TPS data'!O41/'Des TPS AFR'!O41)-1,"")</f>
        <v/>
      </c>
      <c r="P41" s="21" t="str">
        <f>IF(ISNUMBER('TPS data'!P41),('TPS data'!P41/'Des TPS AFR'!P41)-1,"")</f>
        <v/>
      </c>
      <c r="Q41" s="21" t="str">
        <f>IF(ISNUMBER('TPS data'!Q41),('TPS data'!Q41/'Des TPS AFR'!Q41)-1,"")</f>
        <v/>
      </c>
      <c r="R41" s="21" t="str">
        <f>IF(ISNUMBER('TPS data'!R41),('TPS data'!R41/'Des TPS AFR'!R41)-1,"")</f>
        <v/>
      </c>
      <c r="S41" s="21" t="str">
        <f>IF(ISNUMBER('TPS data'!S41),('TPS data'!S41/'Des TPS AFR'!S41)-1,"")</f>
        <v/>
      </c>
      <c r="T41" s="21" t="str">
        <f>IF(ISNUMBER('TPS data'!T41),('TPS data'!T41/'Des TPS AFR'!T41)-1,"")</f>
        <v/>
      </c>
      <c r="U41" s="21" t="str">
        <f>IF(ISNUMBER('TPS data'!U41),('TPS data'!U41/'Des TPS AFR'!U41)-1,"")</f>
        <v/>
      </c>
      <c r="V41" s="21" t="str">
        <f>IF(ISNUMBER('TPS data'!V41),('TPS data'!V41/'Des TPS AFR'!V41)-1,"")</f>
        <v/>
      </c>
      <c r="W41" s="21" t="str">
        <f>IF(ISNUMBER('TPS data'!W41),('TPS data'!W41/'Des TPS AFR'!W41)-1,"")</f>
        <v/>
      </c>
      <c r="X41" s="21" t="str">
        <f>IF(ISNUMBER('TPS data'!X41),('TPS data'!X41/'Des TPS AFR'!X41)-1,"")</f>
        <v/>
      </c>
    </row>
    <row r="42" spans="1:24" x14ac:dyDescent="0.25">
      <c r="A42" s="15">
        <v>12400</v>
      </c>
      <c r="B42" s="21" t="str">
        <f>IF(ISNUMBER('TPS data'!B42),('TPS data'!B42/'Des TPS AFR'!B42)-1,"")</f>
        <v/>
      </c>
      <c r="C42" s="21" t="str">
        <f>IF(ISNUMBER('TPS data'!C42),('TPS data'!C42/'Des TPS AFR'!C42)-1,"")</f>
        <v/>
      </c>
      <c r="D42" s="21" t="str">
        <f>IF(ISNUMBER('TPS data'!D42),('TPS data'!D42/'Des TPS AFR'!D42)-1,"")</f>
        <v/>
      </c>
      <c r="E42" s="21" t="str">
        <f>IF(ISNUMBER('TPS data'!E42),('TPS data'!E42/'Des TPS AFR'!E42)-1,"")</f>
        <v/>
      </c>
      <c r="F42" s="21" t="str">
        <f>IF(ISNUMBER('TPS data'!F42),('TPS data'!F42/'Des TPS AFR'!F42)-1,"")</f>
        <v/>
      </c>
      <c r="G42" s="21" t="str">
        <f>IF(ISNUMBER('TPS data'!G42),('TPS data'!G42/'Des TPS AFR'!G42)-1,"")</f>
        <v/>
      </c>
      <c r="H42" s="21" t="str">
        <f>IF(ISNUMBER('TPS data'!H42),('TPS data'!H42/'Des TPS AFR'!H42)-1,"")</f>
        <v/>
      </c>
      <c r="I42" s="21" t="str">
        <f>IF(ISNUMBER('TPS data'!I42),('TPS data'!I42/'Des TPS AFR'!I42)-1,"")</f>
        <v/>
      </c>
      <c r="J42" s="21" t="str">
        <f>IF(ISNUMBER('TPS data'!J42),('TPS data'!J42/'Des TPS AFR'!J42)-1,"")</f>
        <v/>
      </c>
      <c r="K42" s="21" t="str">
        <f>IF(ISNUMBER('TPS data'!K42),('TPS data'!K42/'Des TPS AFR'!K42)-1,"")</f>
        <v/>
      </c>
      <c r="L42" s="21" t="str">
        <f>IF(ISNUMBER('TPS data'!L42),('TPS data'!L42/'Des TPS AFR'!L42)-1,"")</f>
        <v/>
      </c>
      <c r="M42" s="21" t="str">
        <f>IF(ISNUMBER('TPS data'!M42),('TPS data'!M42/'Des TPS AFR'!M42)-1,"")</f>
        <v/>
      </c>
      <c r="N42" s="21" t="str">
        <f>IF(ISNUMBER('TPS data'!N42),('TPS data'!N42/'Des TPS AFR'!N42)-1,"")</f>
        <v/>
      </c>
      <c r="O42" s="21" t="str">
        <f>IF(ISNUMBER('TPS data'!O42),('TPS data'!O42/'Des TPS AFR'!O42)-1,"")</f>
        <v/>
      </c>
      <c r="P42" s="21" t="str">
        <f>IF(ISNUMBER('TPS data'!P42),('TPS data'!P42/'Des TPS AFR'!P42)-1,"")</f>
        <v/>
      </c>
      <c r="Q42" s="21" t="str">
        <f>IF(ISNUMBER('TPS data'!Q42),('TPS data'!Q42/'Des TPS AFR'!Q42)-1,"")</f>
        <v/>
      </c>
      <c r="R42" s="21" t="str">
        <f>IF(ISNUMBER('TPS data'!R42),('TPS data'!R42/'Des TPS AFR'!R42)-1,"")</f>
        <v/>
      </c>
      <c r="S42" s="21" t="str">
        <f>IF(ISNUMBER('TPS data'!S42),('TPS data'!S42/'Des TPS AFR'!S42)-1,"")</f>
        <v/>
      </c>
      <c r="T42" s="21" t="str">
        <f>IF(ISNUMBER('TPS data'!T42),('TPS data'!T42/'Des TPS AFR'!T42)-1,"")</f>
        <v/>
      </c>
      <c r="U42" s="21" t="str">
        <f>IF(ISNUMBER('TPS data'!U42),('TPS data'!U42/'Des TPS AFR'!U42)-1,"")</f>
        <v/>
      </c>
      <c r="V42" s="21" t="str">
        <f>IF(ISNUMBER('TPS data'!V42),('TPS data'!V42/'Des TPS AFR'!V42)-1,"")</f>
        <v/>
      </c>
      <c r="W42" s="21" t="str">
        <f>IF(ISNUMBER('TPS data'!W42),('TPS data'!W42/'Des TPS AFR'!W42)-1,"")</f>
        <v/>
      </c>
      <c r="X42" s="21" t="str">
        <f>IF(ISNUMBER('TPS data'!X42),('TPS data'!X42/'Des TPS AFR'!X42)-1,"")</f>
        <v/>
      </c>
    </row>
    <row r="43" spans="1:24" ht="13.8" thickBot="1" x14ac:dyDescent="0.3">
      <c r="A43" s="16">
        <v>12800</v>
      </c>
      <c r="B43" s="21" t="str">
        <f>IF(ISNUMBER('TPS data'!B43),('TPS data'!B43/'Des TPS AFR'!B43)-1,"")</f>
        <v/>
      </c>
      <c r="C43" s="21" t="str">
        <f>IF(ISNUMBER('TPS data'!C43),('TPS data'!C43/'Des TPS AFR'!C43)-1,"")</f>
        <v/>
      </c>
      <c r="D43" s="21" t="str">
        <f>IF(ISNUMBER('TPS data'!D43),('TPS data'!D43/'Des TPS AFR'!D43)-1,"")</f>
        <v/>
      </c>
      <c r="E43" s="21" t="str">
        <f>IF(ISNUMBER('TPS data'!E43),('TPS data'!E43/'Des TPS AFR'!E43)-1,"")</f>
        <v/>
      </c>
      <c r="F43" s="21" t="str">
        <f>IF(ISNUMBER('TPS data'!F43),('TPS data'!F43/'Des TPS AFR'!F43)-1,"")</f>
        <v/>
      </c>
      <c r="G43" s="21" t="str">
        <f>IF(ISNUMBER('TPS data'!G43),('TPS data'!G43/'Des TPS AFR'!G43)-1,"")</f>
        <v/>
      </c>
      <c r="H43" s="21" t="str">
        <f>IF(ISNUMBER('TPS data'!H43),('TPS data'!H43/'Des TPS AFR'!H43)-1,"")</f>
        <v/>
      </c>
      <c r="I43" s="21" t="str">
        <f>IF(ISNUMBER('TPS data'!I43),('TPS data'!I43/'Des TPS AFR'!I43)-1,"")</f>
        <v/>
      </c>
      <c r="J43" s="21" t="str">
        <f>IF(ISNUMBER('TPS data'!J43),('TPS data'!J43/'Des TPS AFR'!J43)-1,"")</f>
        <v/>
      </c>
      <c r="K43" s="21" t="str">
        <f>IF(ISNUMBER('TPS data'!K43),('TPS data'!K43/'Des TPS AFR'!K43)-1,"")</f>
        <v/>
      </c>
      <c r="L43" s="21" t="str">
        <f>IF(ISNUMBER('TPS data'!L43),('TPS data'!L43/'Des TPS AFR'!L43)-1,"")</f>
        <v/>
      </c>
      <c r="M43" s="21" t="str">
        <f>IF(ISNUMBER('TPS data'!M43),('TPS data'!M43/'Des TPS AFR'!M43)-1,"")</f>
        <v/>
      </c>
      <c r="N43" s="21">
        <f>IF(ISNUMBER('TPS data'!N43),('TPS data'!N43/'Des TPS AFR'!N43)-1,"")</f>
        <v>0.4015151515151516</v>
      </c>
      <c r="O43" s="21">
        <f>IF(ISNUMBER('TPS data'!O43),('TPS data'!O43/'Des TPS AFR'!O43)-1,"")</f>
        <v>0.4015151515151516</v>
      </c>
      <c r="P43" s="21">
        <f>IF(ISNUMBER('TPS data'!P43),('TPS data'!P43/'Des TPS AFR'!P43)-1,"")</f>
        <v>0.4015151515151516</v>
      </c>
      <c r="Q43" s="21">
        <f>IF(ISNUMBER('TPS data'!Q43),('TPS data'!Q43/'Des TPS AFR'!Q43)-1,"")</f>
        <v>0.4015151515151516</v>
      </c>
      <c r="R43" s="21">
        <f>IF(ISNUMBER('TPS data'!R43),('TPS data'!R43/'Des TPS AFR'!R43)-1,"")</f>
        <v>0.4015151515151516</v>
      </c>
      <c r="S43" s="21">
        <f>IF(ISNUMBER('TPS data'!S43),('TPS data'!S43/'Des TPS AFR'!S43)-1,"")</f>
        <v>0.24449035812672171</v>
      </c>
      <c r="T43" s="21">
        <f>IF(ISNUMBER('TPS data'!T43),('TPS data'!T43/'Des TPS AFR'!T43)-1,"")</f>
        <v>0.4015151515151516</v>
      </c>
      <c r="U43" s="21" t="str">
        <f>IF(ISNUMBER('TPS data'!U43),('TPS data'!U43/'Des TPS AFR'!U43)-1,"")</f>
        <v/>
      </c>
      <c r="V43" s="21" t="str">
        <f>IF(ISNUMBER('TPS data'!V43),('TPS data'!V43/'Des TPS AFR'!V43)-1,"")</f>
        <v/>
      </c>
      <c r="W43" s="21" t="str">
        <f>IF(ISNUMBER('TPS data'!W43),('TPS data'!W43/'Des TPS AFR'!W43)-1,"")</f>
        <v/>
      </c>
      <c r="X43" s="21" t="str">
        <f>IF(ISNUMBER('TPS data'!X43),('TPS data'!X43/'Des TPS AFR'!X43)-1,"")</f>
        <v/>
      </c>
    </row>
  </sheetData>
  <sheetProtection algorithmName="SHA-512" hashValue="p7mpY7iXEdYxnD1ebER2hZqhsfPic5tmdeiR83Dyqi5A1FmkaXBcqFENzX08ZIDfPHIeuZePRwgH6lmFl3ZdZg==" saltValue="FzXYgd94nU6qPUXekD+w5w==" spinCount="100000" sheet="1" objects="1" scenarios="1"/>
  <conditionalFormatting sqref="B2:X43">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V43"/>
  <sheetViews>
    <sheetView zoomScale="70" zoomScaleNormal="70" workbookViewId="0">
      <selection activeCell="Q24" sqref="Q24"/>
    </sheetView>
  </sheetViews>
  <sheetFormatPr defaultRowHeight="13.2" x14ac:dyDescent="0.25"/>
  <cols>
    <col min="1" max="1" width="6.6640625" bestFit="1" customWidth="1"/>
    <col min="2" max="2" width="4.44140625" bestFit="1" customWidth="1"/>
    <col min="3" max="21" width="4.88671875" bestFit="1" customWidth="1"/>
    <col min="22" max="22" width="2.21875" bestFit="1" customWidth="1"/>
  </cols>
  <sheetData>
    <row r="1" spans="1:22" x14ac:dyDescent="0.25">
      <c r="A1" s="12" t="s">
        <v>1</v>
      </c>
      <c r="B1" s="13">
        <v>120</v>
      </c>
      <c r="C1" s="13">
        <v>104</v>
      </c>
      <c r="D1" s="13">
        <v>88</v>
      </c>
      <c r="E1" s="13">
        <v>72</v>
      </c>
      <c r="F1" s="13">
        <v>68</v>
      </c>
      <c r="G1" s="13">
        <v>64</v>
      </c>
      <c r="H1" s="13">
        <v>60</v>
      </c>
      <c r="I1" s="13">
        <v>56</v>
      </c>
      <c r="J1" s="13">
        <v>52</v>
      </c>
      <c r="K1" s="13">
        <v>48</v>
      </c>
      <c r="L1" s="13">
        <v>44</v>
      </c>
      <c r="M1" s="13">
        <v>40</v>
      </c>
      <c r="N1" s="13">
        <v>36</v>
      </c>
      <c r="O1" s="13">
        <v>32</v>
      </c>
      <c r="P1" s="13">
        <v>24</v>
      </c>
      <c r="Q1" s="13">
        <v>20</v>
      </c>
      <c r="R1" s="13">
        <v>16</v>
      </c>
      <c r="S1" s="13">
        <v>12</v>
      </c>
      <c r="T1" s="13">
        <v>8</v>
      </c>
      <c r="U1" s="13">
        <v>4</v>
      </c>
      <c r="V1" s="14">
        <v>0</v>
      </c>
    </row>
    <row r="2" spans="1:22" x14ac:dyDescent="0.25">
      <c r="A2" s="15">
        <v>800</v>
      </c>
      <c r="B2" s="21" t="str">
        <f>IF(ISNUMBER('IAP data'!B2),('IAP data'!B2/'Des IAP AFR'!B2)-1,"")</f>
        <v/>
      </c>
      <c r="C2" s="21" t="str">
        <f>IF(ISNUMBER('IAP data'!C2),('IAP data'!C2/'Des IAP AFR'!C2)-1,"")</f>
        <v/>
      </c>
      <c r="D2" s="21" t="str">
        <f>IF(ISNUMBER('IAP data'!D2),('IAP data'!D2/'Des IAP AFR'!D2)-1,"")</f>
        <v/>
      </c>
      <c r="E2" s="21" t="str">
        <f>IF(ISNUMBER('IAP data'!E2),('IAP data'!E2/'Des IAP AFR'!E2)-1,"")</f>
        <v/>
      </c>
      <c r="F2" s="21" t="str">
        <f>IF(ISNUMBER('IAP data'!F2),('IAP data'!F2/'Des IAP AFR'!F2)-1,"")</f>
        <v/>
      </c>
      <c r="G2" s="21" t="str">
        <f>IF(ISNUMBER('IAP data'!G2),('IAP data'!G2/'Des IAP AFR'!G2)-1,"")</f>
        <v/>
      </c>
      <c r="H2" s="21">
        <f>IF(ISNUMBER('IAP data'!H2),('IAP data'!H2/'Des IAP AFR'!H2)-1,"")</f>
        <v>0.33582089552238781</v>
      </c>
      <c r="I2" s="21">
        <f>IF(ISNUMBER('IAP data'!I2),('IAP data'!I2/'Des IAP AFR'!I2)-1,"")</f>
        <v>0.32462686567164178</v>
      </c>
      <c r="J2" s="21">
        <f>IF(ISNUMBER('IAP data'!J2),('IAP data'!J2/'Des IAP AFR'!J2)-1,"")</f>
        <v>0.25</v>
      </c>
      <c r="K2" s="21">
        <f>IF(ISNUMBER('IAP data'!K2),('IAP data'!K2/'Des IAP AFR'!K2)-1,"")</f>
        <v>0.19402985074626855</v>
      </c>
      <c r="L2" s="21">
        <f>IF(ISNUMBER('IAP data'!L2),('IAP data'!L2/'Des IAP AFR'!L2)-1,"")</f>
        <v>0.31343283582089554</v>
      </c>
      <c r="M2" s="21">
        <f>IF(ISNUMBER('IAP data'!M2),('IAP data'!M2/'Des IAP AFR'!M2)-1,"")</f>
        <v>0.2947761194029852</v>
      </c>
      <c r="N2" s="21">
        <f>IF(ISNUMBER('IAP data'!N2),('IAP data'!N2/'Des IAP AFR'!N2)-1,"")</f>
        <v>0.25870646766169147</v>
      </c>
      <c r="O2" s="21">
        <f>IF(ISNUMBER('IAP data'!O2),('IAP data'!O2/'Des IAP AFR'!O2)-1,"")</f>
        <v>0.38059701492537301</v>
      </c>
      <c r="P2" s="21" t="str">
        <f>IF(ISNUMBER('IAP data'!P2),('IAP data'!P2/'Des IAP AFR'!P2)-1,"")</f>
        <v/>
      </c>
      <c r="Q2" s="21" t="str">
        <f>IF(ISNUMBER('IAP data'!Q2),('IAP data'!Q2/'Des IAP AFR'!Q2)-1,"")</f>
        <v/>
      </c>
      <c r="R2" s="21" t="str">
        <f>IF(ISNUMBER('IAP data'!R2),('IAP data'!R2/'Des IAP AFR'!R2)-1,"")</f>
        <v/>
      </c>
      <c r="S2" s="21" t="str">
        <f>IF(ISNUMBER('IAP data'!S2),('IAP data'!S2/'Des IAP AFR'!S2)-1,"")</f>
        <v/>
      </c>
      <c r="T2" s="21" t="str">
        <f>IF(ISNUMBER('IAP data'!T2),('IAP data'!T2/'Des IAP AFR'!T2)-1,"")</f>
        <v/>
      </c>
      <c r="U2" s="21" t="str">
        <f>IF(ISNUMBER('IAP data'!U2),('IAP data'!U2/'Des IAP AFR'!U2)-1,"")</f>
        <v/>
      </c>
      <c r="V2" s="21" t="str">
        <f>IF(ISNUMBER('IAP data'!V2),('IAP data'!V2/'Des IAP AFR'!V2)-1,"")</f>
        <v/>
      </c>
    </row>
    <row r="3" spans="1:22" x14ac:dyDescent="0.25">
      <c r="A3" s="15">
        <v>1000</v>
      </c>
      <c r="B3" s="21" t="str">
        <f>IF(ISNUMBER('IAP data'!B3),('IAP data'!B3/'Des IAP AFR'!B3)-1,"")</f>
        <v/>
      </c>
      <c r="C3" s="21">
        <f>IF(ISNUMBER('IAP data'!C3),('IAP data'!C3/'Des IAP AFR'!C3)-1,"")</f>
        <v>0.25641025641025639</v>
      </c>
      <c r="D3" s="21">
        <f>IF(ISNUMBER('IAP data'!D3),('IAP data'!D3/'Des IAP AFR'!D3)-1,"")</f>
        <v>0.29514170040485821</v>
      </c>
      <c r="E3" s="21">
        <f>IF(ISNUMBER('IAP data'!E3),('IAP data'!E3/'Des IAP AFR'!E3)-1,"")</f>
        <v>0.23589743589743595</v>
      </c>
      <c r="F3" s="21">
        <f>IF(ISNUMBER('IAP data'!F3),('IAP data'!F3/'Des IAP AFR'!F3)-1,"")</f>
        <v>0.26346153846153841</v>
      </c>
      <c r="G3" s="21">
        <f>IF(ISNUMBER('IAP data'!G3),('IAP data'!G3/'Des IAP AFR'!G3)-1,"")</f>
        <v>0.21766169154228843</v>
      </c>
      <c r="H3" s="21">
        <f>IF(ISNUMBER('IAP data'!H3),('IAP data'!H3/'Des IAP AFR'!H3)-1,"")</f>
        <v>0.29664179104477606</v>
      </c>
      <c r="I3" s="21">
        <f>IF(ISNUMBER('IAP data'!I3),('IAP data'!I3/'Des IAP AFR'!I3)-1,"")</f>
        <v>0.25576662143826323</v>
      </c>
      <c r="J3" s="21">
        <f>IF(ISNUMBER('IAP data'!J3),('IAP data'!J3/'Des IAP AFR'!J3)-1,"")</f>
        <v>0.24830393487109892</v>
      </c>
      <c r="K3" s="21">
        <f>IF(ISNUMBER('IAP data'!K3),('IAP data'!K3/'Des IAP AFR'!K3)-1,"")</f>
        <v>0.25</v>
      </c>
      <c r="L3" s="21">
        <f>IF(ISNUMBER('IAP data'!L3),('IAP data'!L3/'Des IAP AFR'!L3)-1,"")</f>
        <v>0.23631840796019898</v>
      </c>
      <c r="M3" s="21">
        <f>IF(ISNUMBER('IAP data'!M3),('IAP data'!M3/'Des IAP AFR'!M3)-1,"")</f>
        <v>0.27425373134328357</v>
      </c>
      <c r="N3" s="21">
        <f>IF(ISNUMBER('IAP data'!N3),('IAP data'!N3/'Des IAP AFR'!N3)-1,"")</f>
        <v>0.18869936034115131</v>
      </c>
      <c r="O3" s="21">
        <f>IF(ISNUMBER('IAP data'!O3),('IAP data'!O3/'Des IAP AFR'!O3)-1,"")</f>
        <v>0.28251599147121542</v>
      </c>
      <c r="P3" s="21">
        <f>IF(ISNUMBER('IAP data'!P3),('IAP data'!P3/'Des IAP AFR'!P3)-1,"")</f>
        <v>0.25870646766169192</v>
      </c>
      <c r="Q3" s="21" t="str">
        <f>IF(ISNUMBER('IAP data'!Q3),('IAP data'!Q3/'Des IAP AFR'!Q3)-1,"")</f>
        <v/>
      </c>
      <c r="R3" s="21" t="str">
        <f>IF(ISNUMBER('IAP data'!R3),('IAP data'!R3/'Des IAP AFR'!R3)-1,"")</f>
        <v/>
      </c>
      <c r="S3" s="21">
        <f>IF(ISNUMBER('IAP data'!S3),('IAP data'!S3/'Des IAP AFR'!S3)-1,"")</f>
        <v>0.3233830845771144</v>
      </c>
      <c r="T3" s="21">
        <f>IF(ISNUMBER('IAP data'!T3),('IAP data'!T3/'Des IAP AFR'!T3)-1,"")</f>
        <v>0.38059701492537301</v>
      </c>
      <c r="U3" s="21" t="str">
        <f>IF(ISNUMBER('IAP data'!U3),('IAP data'!U3/'Des IAP AFR'!U3)-1,"")</f>
        <v/>
      </c>
      <c r="V3" s="21" t="str">
        <f>IF(ISNUMBER('IAP data'!V3),('IAP data'!V3/'Des IAP AFR'!V3)-1,"")</f>
        <v/>
      </c>
    </row>
    <row r="4" spans="1:22" x14ac:dyDescent="0.25">
      <c r="A4" s="15">
        <v>1200</v>
      </c>
      <c r="B4" s="21" t="str">
        <f>IF(ISNUMBER('IAP data'!B4),('IAP data'!B4/'Des IAP AFR'!B4)-1,"")</f>
        <v/>
      </c>
      <c r="C4" s="21">
        <f>IF(ISNUMBER('IAP data'!C4),('IAP data'!C4/'Des IAP AFR'!C4)-1,"")</f>
        <v>0.30625000000000013</v>
      </c>
      <c r="D4" s="21">
        <f>IF(ISNUMBER('IAP data'!D4),('IAP data'!D4/'Des IAP AFR'!D4)-1,"")</f>
        <v>0.28316008316008334</v>
      </c>
      <c r="E4" s="21">
        <f>IF(ISNUMBER('IAP data'!E4),('IAP data'!E4/'Des IAP AFR'!E4)-1,"")</f>
        <v>0.25384615384615383</v>
      </c>
      <c r="F4" s="21">
        <f>IF(ISNUMBER('IAP data'!F4),('IAP data'!F4/'Des IAP AFR'!F4)-1,"")</f>
        <v>0.29538461538461513</v>
      </c>
      <c r="G4" s="21">
        <f>IF(ISNUMBER('IAP data'!G4),('IAP data'!G4/'Des IAP AFR'!G4)-1,"")</f>
        <v>0.27078891257995741</v>
      </c>
      <c r="H4" s="21">
        <f>IF(ISNUMBER('IAP data'!H4),('IAP data'!H4/'Des IAP AFR'!H4)-1,"")</f>
        <v>0.33582089552238781</v>
      </c>
      <c r="I4" s="21">
        <f>IF(ISNUMBER('IAP data'!I4),('IAP data'!I4/'Des IAP AFR'!I4)-1,"")</f>
        <v>0.27815468113975594</v>
      </c>
      <c r="J4" s="21">
        <f>IF(ISNUMBER('IAP data'!J4),('IAP data'!J4/'Des IAP AFR'!J4)-1,"")</f>
        <v>0.27761194029850733</v>
      </c>
      <c r="K4" s="21">
        <f>IF(ISNUMBER('IAP data'!K4),('IAP data'!K4/'Des IAP AFR'!K4)-1,"")</f>
        <v>0.26343283582089572</v>
      </c>
      <c r="L4" s="21">
        <f>IF(ISNUMBER('IAP data'!L4),('IAP data'!L4/'Des IAP AFR'!L4)-1,"")</f>
        <v>0.28482587064676612</v>
      </c>
      <c r="M4" s="21">
        <f>IF(ISNUMBER('IAP data'!M4),('IAP data'!M4/'Des IAP AFR'!M4)-1,"")</f>
        <v>0.312366737739872</v>
      </c>
      <c r="N4" s="21">
        <f>IF(ISNUMBER('IAP data'!N4),('IAP data'!N4/'Des IAP AFR'!N4)-1,"")</f>
        <v>0.26368159203980102</v>
      </c>
      <c r="O4" s="21">
        <f>IF(ISNUMBER('IAP data'!O4),('IAP data'!O4/'Des IAP AFR'!O4)-1,"")</f>
        <v>0.29944029850746245</v>
      </c>
      <c r="P4" s="21">
        <f>IF(ISNUMBER('IAP data'!P4),('IAP data'!P4/'Des IAP AFR'!P4)-1,"")</f>
        <v>0.22947761194029859</v>
      </c>
      <c r="Q4" s="21">
        <f>IF(ISNUMBER('IAP data'!Q4),('IAP data'!Q4/'Des IAP AFR'!Q4)-1,"")</f>
        <v>0.19278606965174139</v>
      </c>
      <c r="R4" s="21">
        <f>IF(ISNUMBER('IAP data'!R4),('IAP data'!R4/'Des IAP AFR'!R4)-1,"")</f>
        <v>0.24776119402985053</v>
      </c>
      <c r="S4" s="21">
        <f>IF(ISNUMBER('IAP data'!S4),('IAP data'!S4/'Des IAP AFR'!S4)-1,"")</f>
        <v>0.30970149253731316</v>
      </c>
      <c r="T4" s="21" t="str">
        <f>IF(ISNUMBER('IAP data'!T4),('IAP data'!T4/'Des IAP AFR'!T4)-1,"")</f>
        <v/>
      </c>
      <c r="U4" s="21" t="str">
        <f>IF(ISNUMBER('IAP data'!U4),('IAP data'!U4/'Des IAP AFR'!U4)-1,"")</f>
        <v/>
      </c>
      <c r="V4" s="21" t="str">
        <f>IF(ISNUMBER('IAP data'!V4),('IAP data'!V4/'Des IAP AFR'!V4)-1,"")</f>
        <v/>
      </c>
    </row>
    <row r="5" spans="1:22" x14ac:dyDescent="0.25">
      <c r="A5" s="15">
        <v>1400</v>
      </c>
      <c r="B5" s="21" t="str">
        <f>IF(ISNUMBER('IAP data'!B5),('IAP data'!B5/'Des IAP AFR'!B5)-1,"")</f>
        <v/>
      </c>
      <c r="C5" s="21">
        <f>IF(ISNUMBER('IAP data'!C5),('IAP data'!C5/'Des IAP AFR'!C5)-1,"")</f>
        <v>0.32307692307692304</v>
      </c>
      <c r="D5" s="21">
        <f>IF(ISNUMBER('IAP data'!D5),('IAP data'!D5/'Des IAP AFR'!D5)-1,"")</f>
        <v>0.36923076923076925</v>
      </c>
      <c r="E5" s="21" t="str">
        <f>IF(ISNUMBER('IAP data'!E5),('IAP data'!E5/'Des IAP AFR'!E5)-1,"")</f>
        <v/>
      </c>
      <c r="F5" s="21">
        <f>IF(ISNUMBER('IAP data'!F5),('IAP data'!F5/'Des IAP AFR'!F5)-1,"")</f>
        <v>0.42307692307692313</v>
      </c>
      <c r="G5" s="21" t="str">
        <f>IF(ISNUMBER('IAP data'!G5),('IAP data'!G5/'Des IAP AFR'!G5)-1,"")</f>
        <v/>
      </c>
      <c r="H5" s="21" t="str">
        <f>IF(ISNUMBER('IAP data'!H5),('IAP data'!H5/'Des IAP AFR'!H5)-1,"")</f>
        <v/>
      </c>
      <c r="I5" s="21" t="str">
        <f>IF(ISNUMBER('IAP data'!I5),('IAP data'!I5/'Des IAP AFR'!I5)-1,"")</f>
        <v/>
      </c>
      <c r="J5" s="21" t="str">
        <f>IF(ISNUMBER('IAP data'!J5),('IAP data'!J5/'Des IAP AFR'!J5)-1,"")</f>
        <v/>
      </c>
      <c r="K5" s="21" t="str">
        <f>IF(ISNUMBER('IAP data'!K5),('IAP data'!K5/'Des IAP AFR'!K5)-1,"")</f>
        <v/>
      </c>
      <c r="L5" s="21" t="str">
        <f>IF(ISNUMBER('IAP data'!L5),('IAP data'!L5/'Des IAP AFR'!L5)-1,"")</f>
        <v/>
      </c>
      <c r="M5" s="21" t="str">
        <f>IF(ISNUMBER('IAP data'!M5),('IAP data'!M5/'Des IAP AFR'!M5)-1,"")</f>
        <v/>
      </c>
      <c r="N5" s="21" t="str">
        <f>IF(ISNUMBER('IAP data'!N5),('IAP data'!N5/'Des IAP AFR'!N5)-1,"")</f>
        <v/>
      </c>
      <c r="O5" s="21">
        <f>IF(ISNUMBER('IAP data'!O5),('IAP data'!O5/'Des IAP AFR'!O5)-1,"")</f>
        <v>0.26865671641791034</v>
      </c>
      <c r="P5" s="21" t="str">
        <f>IF(ISNUMBER('IAP data'!P5),('IAP data'!P5/'Des IAP AFR'!P5)-1,"")</f>
        <v/>
      </c>
      <c r="Q5" s="21" t="str">
        <f>IF(ISNUMBER('IAP data'!Q5),('IAP data'!Q5/'Des IAP AFR'!Q5)-1,"")</f>
        <v/>
      </c>
      <c r="R5" s="21" t="str">
        <f>IF(ISNUMBER('IAP data'!R5),('IAP data'!R5/'Des IAP AFR'!R5)-1,"")</f>
        <v/>
      </c>
      <c r="S5" s="21" t="str">
        <f>IF(ISNUMBER('IAP data'!S5),('IAP data'!S5/'Des IAP AFR'!S5)-1,"")</f>
        <v/>
      </c>
      <c r="T5" s="21" t="str">
        <f>IF(ISNUMBER('IAP data'!T5),('IAP data'!T5/'Des IAP AFR'!T5)-1,"")</f>
        <v/>
      </c>
      <c r="U5" s="21" t="str">
        <f>IF(ISNUMBER('IAP data'!U5),('IAP data'!U5/'Des IAP AFR'!U5)-1,"")</f>
        <v/>
      </c>
      <c r="V5" s="21" t="str">
        <f>IF(ISNUMBER('IAP data'!V5),('IAP data'!V5/'Des IAP AFR'!V5)-1,"")</f>
        <v/>
      </c>
    </row>
    <row r="6" spans="1:22" x14ac:dyDescent="0.25">
      <c r="A6" s="15">
        <v>1600</v>
      </c>
      <c r="B6" s="21" t="str">
        <f>IF(ISNUMBER('IAP data'!B6),('IAP data'!B6/'Des IAP AFR'!B6)-1,"")</f>
        <v/>
      </c>
      <c r="C6" s="21" t="str">
        <f>IF(ISNUMBER('IAP data'!C6),('IAP data'!C6/'Des IAP AFR'!C6)-1,"")</f>
        <v/>
      </c>
      <c r="D6" s="21" t="str">
        <f>IF(ISNUMBER('IAP data'!D6),('IAP data'!D6/'Des IAP AFR'!D6)-1,"")</f>
        <v/>
      </c>
      <c r="E6" s="21" t="str">
        <f>IF(ISNUMBER('IAP data'!E6),('IAP data'!E6/'Des IAP AFR'!E6)-1,"")</f>
        <v/>
      </c>
      <c r="F6" s="21" t="str">
        <f>IF(ISNUMBER('IAP data'!F6),('IAP data'!F6/'Des IAP AFR'!F6)-1,"")</f>
        <v/>
      </c>
      <c r="G6" s="21" t="str">
        <f>IF(ISNUMBER('IAP data'!G6),('IAP data'!G6/'Des IAP AFR'!G6)-1,"")</f>
        <v/>
      </c>
      <c r="H6" s="21" t="str">
        <f>IF(ISNUMBER('IAP data'!H6),('IAP data'!H6/'Des IAP AFR'!H6)-1,"")</f>
        <v/>
      </c>
      <c r="I6" s="21" t="str">
        <f>IF(ISNUMBER('IAP data'!I6),('IAP data'!I6/'Des IAP AFR'!I6)-1,"")</f>
        <v/>
      </c>
      <c r="J6" s="21" t="str">
        <f>IF(ISNUMBER('IAP data'!J6),('IAP data'!J6/'Des IAP AFR'!J6)-1,"")</f>
        <v/>
      </c>
      <c r="K6" s="21" t="str">
        <f>IF(ISNUMBER('IAP data'!K6),('IAP data'!K6/'Des IAP AFR'!K6)-1,"")</f>
        <v/>
      </c>
      <c r="L6" s="21" t="str">
        <f>IF(ISNUMBER('IAP data'!L6),('IAP data'!L6/'Des IAP AFR'!L6)-1,"")</f>
        <v/>
      </c>
      <c r="M6" s="21" t="str">
        <f>IF(ISNUMBER('IAP data'!M6),('IAP data'!M6/'Des IAP AFR'!M6)-1,"")</f>
        <v/>
      </c>
      <c r="N6" s="21" t="str">
        <f>IF(ISNUMBER('IAP data'!N6),('IAP data'!N6/'Des IAP AFR'!N6)-1,"")</f>
        <v/>
      </c>
      <c r="O6" s="21" t="str">
        <f>IF(ISNUMBER('IAP data'!O6),('IAP data'!O6/'Des IAP AFR'!O6)-1,"")</f>
        <v/>
      </c>
      <c r="P6" s="21" t="str">
        <f>IF(ISNUMBER('IAP data'!P6),('IAP data'!P6/'Des IAP AFR'!P6)-1,"")</f>
        <v/>
      </c>
      <c r="Q6" s="21" t="str">
        <f>IF(ISNUMBER('IAP data'!Q6),('IAP data'!Q6/'Des IAP AFR'!Q6)-1,"")</f>
        <v/>
      </c>
      <c r="R6" s="21" t="str">
        <f>IF(ISNUMBER('IAP data'!R6),('IAP data'!R6/'Des IAP AFR'!R6)-1,"")</f>
        <v/>
      </c>
      <c r="S6" s="21" t="str">
        <f>IF(ISNUMBER('IAP data'!S6),('IAP data'!S6/'Des IAP AFR'!S6)-1,"")</f>
        <v/>
      </c>
      <c r="T6" s="21" t="str">
        <f>IF(ISNUMBER('IAP data'!T6),('IAP data'!T6/'Des IAP AFR'!T6)-1,"")</f>
        <v/>
      </c>
      <c r="U6" s="21" t="str">
        <f>IF(ISNUMBER('IAP data'!U6),('IAP data'!U6/'Des IAP AFR'!U6)-1,"")</f>
        <v/>
      </c>
      <c r="V6" s="21" t="str">
        <f>IF(ISNUMBER('IAP data'!V6),('IAP data'!V6/'Des IAP AFR'!V6)-1,"")</f>
        <v/>
      </c>
    </row>
    <row r="7" spans="1:22" x14ac:dyDescent="0.25">
      <c r="A7" s="15">
        <v>1800</v>
      </c>
      <c r="B7" s="21" t="str">
        <f>IF(ISNUMBER('IAP data'!B7),('IAP data'!B7/'Des IAP AFR'!B7)-1,"")</f>
        <v/>
      </c>
      <c r="C7" s="21" t="str">
        <f>IF(ISNUMBER('IAP data'!C7),('IAP data'!C7/'Des IAP AFR'!C7)-1,"")</f>
        <v/>
      </c>
      <c r="D7" s="21" t="str">
        <f>IF(ISNUMBER('IAP data'!D7),('IAP data'!D7/'Des IAP AFR'!D7)-1,"")</f>
        <v/>
      </c>
      <c r="E7" s="21" t="str">
        <f>IF(ISNUMBER('IAP data'!E7),('IAP data'!E7/'Des IAP AFR'!E7)-1,"")</f>
        <v/>
      </c>
      <c r="F7" s="21" t="str">
        <f>IF(ISNUMBER('IAP data'!F7),('IAP data'!F7/'Des IAP AFR'!F7)-1,"")</f>
        <v/>
      </c>
      <c r="G7" s="21" t="str">
        <f>IF(ISNUMBER('IAP data'!G7),('IAP data'!G7/'Des IAP AFR'!G7)-1,"")</f>
        <v/>
      </c>
      <c r="H7" s="21" t="str">
        <f>IF(ISNUMBER('IAP data'!H7),('IAP data'!H7/'Des IAP AFR'!H7)-1,"")</f>
        <v/>
      </c>
      <c r="I7" s="21" t="str">
        <f>IF(ISNUMBER('IAP data'!I7),('IAP data'!I7/'Des IAP AFR'!I7)-1,"")</f>
        <v/>
      </c>
      <c r="J7" s="21" t="str">
        <f>IF(ISNUMBER('IAP data'!J7),('IAP data'!J7/'Des IAP AFR'!J7)-1,"")</f>
        <v/>
      </c>
      <c r="K7" s="21" t="str">
        <f>IF(ISNUMBER('IAP data'!K7),('IAP data'!K7/'Des IAP AFR'!K7)-1,"")</f>
        <v/>
      </c>
      <c r="L7" s="21" t="str">
        <f>IF(ISNUMBER('IAP data'!L7),('IAP data'!L7/'Des IAP AFR'!L7)-1,"")</f>
        <v/>
      </c>
      <c r="M7" s="21" t="str">
        <f>IF(ISNUMBER('IAP data'!M7),('IAP data'!M7/'Des IAP AFR'!M7)-1,"")</f>
        <v/>
      </c>
      <c r="N7" s="21" t="str">
        <f>IF(ISNUMBER('IAP data'!N7),('IAP data'!N7/'Des IAP AFR'!N7)-1,"")</f>
        <v/>
      </c>
      <c r="O7" s="21" t="str">
        <f>IF(ISNUMBER('IAP data'!O7),('IAP data'!O7/'Des IAP AFR'!O7)-1,"")</f>
        <v/>
      </c>
      <c r="P7" s="21" t="str">
        <f>IF(ISNUMBER('IAP data'!P7),('IAP data'!P7/'Des IAP AFR'!P7)-1,"")</f>
        <v/>
      </c>
      <c r="Q7" s="21" t="str">
        <f>IF(ISNUMBER('IAP data'!Q7),('IAP data'!Q7/'Des IAP AFR'!Q7)-1,"")</f>
        <v/>
      </c>
      <c r="R7" s="21" t="str">
        <f>IF(ISNUMBER('IAP data'!R7),('IAP data'!R7/'Des IAP AFR'!R7)-1,"")</f>
        <v/>
      </c>
      <c r="S7" s="21" t="str">
        <f>IF(ISNUMBER('IAP data'!S7),('IAP data'!S7/'Des IAP AFR'!S7)-1,"")</f>
        <v/>
      </c>
      <c r="T7" s="21" t="str">
        <f>IF(ISNUMBER('IAP data'!T7),('IAP data'!T7/'Des IAP AFR'!T7)-1,"")</f>
        <v/>
      </c>
      <c r="U7" s="21" t="str">
        <f>IF(ISNUMBER('IAP data'!U7),('IAP data'!U7/'Des IAP AFR'!U7)-1,"")</f>
        <v/>
      </c>
      <c r="V7" s="21" t="str">
        <f>IF(ISNUMBER('IAP data'!V7),('IAP data'!V7/'Des IAP AFR'!V7)-1,"")</f>
        <v/>
      </c>
    </row>
    <row r="8" spans="1:22" x14ac:dyDescent="0.25">
      <c r="A8" s="15">
        <v>2000</v>
      </c>
      <c r="B8" s="21" t="str">
        <f>IF(ISNUMBER('IAP data'!B8),('IAP data'!B8/'Des IAP AFR'!B8)-1,"")</f>
        <v/>
      </c>
      <c r="C8" s="21" t="str">
        <f>IF(ISNUMBER('IAP data'!C8),('IAP data'!C8/'Des IAP AFR'!C8)-1,"")</f>
        <v/>
      </c>
      <c r="D8" s="21" t="str">
        <f>IF(ISNUMBER('IAP data'!D8),('IAP data'!D8/'Des IAP AFR'!D8)-1,"")</f>
        <v/>
      </c>
      <c r="E8" s="21" t="str">
        <f>IF(ISNUMBER('IAP data'!E8),('IAP data'!E8/'Des IAP AFR'!E8)-1,"")</f>
        <v/>
      </c>
      <c r="F8" s="21" t="str">
        <f>IF(ISNUMBER('IAP data'!F8),('IAP data'!F8/'Des IAP AFR'!F8)-1,"")</f>
        <v/>
      </c>
      <c r="G8" s="21" t="str">
        <f>IF(ISNUMBER('IAP data'!G8),('IAP data'!G8/'Des IAP AFR'!G8)-1,"")</f>
        <v/>
      </c>
      <c r="H8" s="21" t="str">
        <f>IF(ISNUMBER('IAP data'!H8),('IAP data'!H8/'Des IAP AFR'!H8)-1,"")</f>
        <v/>
      </c>
      <c r="I8" s="21" t="str">
        <f>IF(ISNUMBER('IAP data'!I8),('IAP data'!I8/'Des IAP AFR'!I8)-1,"")</f>
        <v/>
      </c>
      <c r="J8" s="21" t="str">
        <f>IF(ISNUMBER('IAP data'!J8),('IAP data'!J8/'Des IAP AFR'!J8)-1,"")</f>
        <v/>
      </c>
      <c r="K8" s="21" t="str">
        <f>IF(ISNUMBER('IAP data'!K8),('IAP data'!K8/'Des IAP AFR'!K8)-1,"")</f>
        <v/>
      </c>
      <c r="L8" s="21" t="str">
        <f>IF(ISNUMBER('IAP data'!L8),('IAP data'!L8/'Des IAP AFR'!L8)-1,"")</f>
        <v/>
      </c>
      <c r="M8" s="21" t="str">
        <f>IF(ISNUMBER('IAP data'!M8),('IAP data'!M8/'Des IAP AFR'!M8)-1,"")</f>
        <v/>
      </c>
      <c r="N8" s="21" t="str">
        <f>IF(ISNUMBER('IAP data'!N8),('IAP data'!N8/'Des IAP AFR'!N8)-1,"")</f>
        <v/>
      </c>
      <c r="O8" s="21" t="str">
        <f>IF(ISNUMBER('IAP data'!O8),('IAP data'!O8/'Des IAP AFR'!O8)-1,"")</f>
        <v/>
      </c>
      <c r="P8" s="21" t="str">
        <f>IF(ISNUMBER('IAP data'!P8),('IAP data'!P8/'Des IAP AFR'!P8)-1,"")</f>
        <v/>
      </c>
      <c r="Q8" s="21" t="str">
        <f>IF(ISNUMBER('IAP data'!Q8),('IAP data'!Q8/'Des IAP AFR'!Q8)-1,"")</f>
        <v/>
      </c>
      <c r="R8" s="21" t="str">
        <f>IF(ISNUMBER('IAP data'!R8),('IAP data'!R8/'Des IAP AFR'!R8)-1,"")</f>
        <v/>
      </c>
      <c r="S8" s="21" t="str">
        <f>IF(ISNUMBER('IAP data'!S8),('IAP data'!S8/'Des IAP AFR'!S8)-1,"")</f>
        <v/>
      </c>
      <c r="T8" s="21" t="str">
        <f>IF(ISNUMBER('IAP data'!T8),('IAP data'!T8/'Des IAP AFR'!T8)-1,"")</f>
        <v/>
      </c>
      <c r="U8" s="21" t="str">
        <f>IF(ISNUMBER('IAP data'!U8),('IAP data'!U8/'Des IAP AFR'!U8)-1,"")</f>
        <v/>
      </c>
      <c r="V8" s="21" t="str">
        <f>IF(ISNUMBER('IAP data'!V8),('IAP data'!V8/'Des IAP AFR'!V8)-1,"")</f>
        <v/>
      </c>
    </row>
    <row r="9" spans="1:22" x14ac:dyDescent="0.25">
      <c r="A9" s="15">
        <v>2200</v>
      </c>
      <c r="B9" s="21" t="str">
        <f>IF(ISNUMBER('IAP data'!B9),('IAP data'!B9/'Des IAP AFR'!B9)-1,"")</f>
        <v/>
      </c>
      <c r="C9" s="21" t="str">
        <f>IF(ISNUMBER('IAP data'!C9),('IAP data'!C9/'Des IAP AFR'!C9)-1,"")</f>
        <v/>
      </c>
      <c r="D9" s="21" t="str">
        <f>IF(ISNUMBER('IAP data'!D9),('IAP data'!D9/'Des IAP AFR'!D9)-1,"")</f>
        <v/>
      </c>
      <c r="E9" s="21" t="str">
        <f>IF(ISNUMBER('IAP data'!E9),('IAP data'!E9/'Des IAP AFR'!E9)-1,"")</f>
        <v/>
      </c>
      <c r="F9" s="21" t="str">
        <f>IF(ISNUMBER('IAP data'!F9),('IAP data'!F9/'Des IAP AFR'!F9)-1,"")</f>
        <v/>
      </c>
      <c r="G9" s="21" t="str">
        <f>IF(ISNUMBER('IAP data'!G9),('IAP data'!G9/'Des IAP AFR'!G9)-1,"")</f>
        <v/>
      </c>
      <c r="H9" s="21" t="str">
        <f>IF(ISNUMBER('IAP data'!H9),('IAP data'!H9/'Des IAP AFR'!H9)-1,"")</f>
        <v/>
      </c>
      <c r="I9" s="21" t="str">
        <f>IF(ISNUMBER('IAP data'!I9),('IAP data'!I9/'Des IAP AFR'!I9)-1,"")</f>
        <v/>
      </c>
      <c r="J9" s="21" t="str">
        <f>IF(ISNUMBER('IAP data'!J9),('IAP data'!J9/'Des IAP AFR'!J9)-1,"")</f>
        <v/>
      </c>
      <c r="K9" s="21" t="str">
        <f>IF(ISNUMBER('IAP data'!K9),('IAP data'!K9/'Des IAP AFR'!K9)-1,"")</f>
        <v/>
      </c>
      <c r="L9" s="21" t="str">
        <f>IF(ISNUMBER('IAP data'!L9),('IAP data'!L9/'Des IAP AFR'!L9)-1,"")</f>
        <v/>
      </c>
      <c r="M9" s="21" t="str">
        <f>IF(ISNUMBER('IAP data'!M9),('IAP data'!M9/'Des IAP AFR'!M9)-1,"")</f>
        <v/>
      </c>
      <c r="N9" s="21" t="str">
        <f>IF(ISNUMBER('IAP data'!N9),('IAP data'!N9/'Des IAP AFR'!N9)-1,"")</f>
        <v/>
      </c>
      <c r="O9" s="21" t="str">
        <f>IF(ISNUMBER('IAP data'!O9),('IAP data'!O9/'Des IAP AFR'!O9)-1,"")</f>
        <v/>
      </c>
      <c r="P9" s="21" t="str">
        <f>IF(ISNUMBER('IAP data'!P9),('IAP data'!P9/'Des IAP AFR'!P9)-1,"")</f>
        <v/>
      </c>
      <c r="Q9" s="21" t="str">
        <f>IF(ISNUMBER('IAP data'!Q9),('IAP data'!Q9/'Des IAP AFR'!Q9)-1,"")</f>
        <v/>
      </c>
      <c r="R9" s="21" t="str">
        <f>IF(ISNUMBER('IAP data'!R9),('IAP data'!R9/'Des IAP AFR'!R9)-1,"")</f>
        <v/>
      </c>
      <c r="S9" s="21" t="str">
        <f>IF(ISNUMBER('IAP data'!S9),('IAP data'!S9/'Des IAP AFR'!S9)-1,"")</f>
        <v/>
      </c>
      <c r="T9" s="21" t="str">
        <f>IF(ISNUMBER('IAP data'!T9),('IAP data'!T9/'Des IAP AFR'!T9)-1,"")</f>
        <v/>
      </c>
      <c r="U9" s="21" t="str">
        <f>IF(ISNUMBER('IAP data'!U9),('IAP data'!U9/'Des IAP AFR'!U9)-1,"")</f>
        <v/>
      </c>
      <c r="V9" s="21" t="str">
        <f>IF(ISNUMBER('IAP data'!V9),('IAP data'!V9/'Des IAP AFR'!V9)-1,"")</f>
        <v/>
      </c>
    </row>
    <row r="10" spans="1:22" x14ac:dyDescent="0.25">
      <c r="A10" s="15">
        <v>2400</v>
      </c>
      <c r="B10" s="21" t="str">
        <f>IF(ISNUMBER('IAP data'!B10),('IAP data'!B10/'Des IAP AFR'!B10)-1,"")</f>
        <v/>
      </c>
      <c r="C10" s="21" t="str">
        <f>IF(ISNUMBER('IAP data'!C10),('IAP data'!C10/'Des IAP AFR'!C10)-1,"")</f>
        <v/>
      </c>
      <c r="D10" s="21" t="str">
        <f>IF(ISNUMBER('IAP data'!D10),('IAP data'!D10/'Des IAP AFR'!D10)-1,"")</f>
        <v/>
      </c>
      <c r="E10" s="21" t="str">
        <f>IF(ISNUMBER('IAP data'!E10),('IAP data'!E10/'Des IAP AFR'!E10)-1,"")</f>
        <v/>
      </c>
      <c r="F10" s="21" t="str">
        <f>IF(ISNUMBER('IAP data'!F10),('IAP data'!F10/'Des IAP AFR'!F10)-1,"")</f>
        <v/>
      </c>
      <c r="G10" s="21" t="str">
        <f>IF(ISNUMBER('IAP data'!G10),('IAP data'!G10/'Des IAP AFR'!G10)-1,"")</f>
        <v/>
      </c>
      <c r="H10" s="21" t="str">
        <f>IF(ISNUMBER('IAP data'!H10),('IAP data'!H10/'Des IAP AFR'!H10)-1,"")</f>
        <v/>
      </c>
      <c r="I10" s="21" t="str">
        <f>IF(ISNUMBER('IAP data'!I10),('IAP data'!I10/'Des IAP AFR'!I10)-1,"")</f>
        <v/>
      </c>
      <c r="J10" s="21" t="str">
        <f>IF(ISNUMBER('IAP data'!J10),('IAP data'!J10/'Des IAP AFR'!J10)-1,"")</f>
        <v/>
      </c>
      <c r="K10" s="21" t="str">
        <f>IF(ISNUMBER('IAP data'!K10),('IAP data'!K10/'Des IAP AFR'!K10)-1,"")</f>
        <v/>
      </c>
      <c r="L10" s="21" t="str">
        <f>IF(ISNUMBER('IAP data'!L10),('IAP data'!L10/'Des IAP AFR'!L10)-1,"")</f>
        <v/>
      </c>
      <c r="M10" s="21" t="str">
        <f>IF(ISNUMBER('IAP data'!M10),('IAP data'!M10/'Des IAP AFR'!M10)-1,"")</f>
        <v/>
      </c>
      <c r="N10" s="21" t="str">
        <f>IF(ISNUMBER('IAP data'!N10),('IAP data'!N10/'Des IAP AFR'!N10)-1,"")</f>
        <v/>
      </c>
      <c r="O10" s="21" t="str">
        <f>IF(ISNUMBER('IAP data'!O10),('IAP data'!O10/'Des IAP AFR'!O10)-1,"")</f>
        <v/>
      </c>
      <c r="P10" s="21" t="str">
        <f>IF(ISNUMBER('IAP data'!P10),('IAP data'!P10/'Des IAP AFR'!P10)-1,"")</f>
        <v/>
      </c>
      <c r="Q10" s="21" t="str">
        <f>IF(ISNUMBER('IAP data'!Q10),('IAP data'!Q10/'Des IAP AFR'!Q10)-1,"")</f>
        <v/>
      </c>
      <c r="R10" s="21" t="str">
        <f>IF(ISNUMBER('IAP data'!R10),('IAP data'!R10/'Des IAP AFR'!R10)-1,"")</f>
        <v/>
      </c>
      <c r="S10" s="21" t="str">
        <f>IF(ISNUMBER('IAP data'!S10),('IAP data'!S10/'Des IAP AFR'!S10)-1,"")</f>
        <v/>
      </c>
      <c r="T10" s="21" t="str">
        <f>IF(ISNUMBER('IAP data'!T10),('IAP data'!T10/'Des IAP AFR'!T10)-1,"")</f>
        <v/>
      </c>
      <c r="U10" s="21" t="str">
        <f>IF(ISNUMBER('IAP data'!U10),('IAP data'!U10/'Des IAP AFR'!U10)-1,"")</f>
        <v/>
      </c>
      <c r="V10" s="21" t="str">
        <f>IF(ISNUMBER('IAP data'!V10),('IAP data'!V10/'Des IAP AFR'!V10)-1,"")</f>
        <v/>
      </c>
    </row>
    <row r="11" spans="1:22" x14ac:dyDescent="0.25">
      <c r="A11" s="15">
        <v>2600</v>
      </c>
      <c r="B11" s="21" t="str">
        <f>IF(ISNUMBER('IAP data'!B11),('IAP data'!B11/'Des IAP AFR'!B11)-1,"")</f>
        <v/>
      </c>
      <c r="C11" s="21" t="str">
        <f>IF(ISNUMBER('IAP data'!C11),('IAP data'!C11/'Des IAP AFR'!C11)-1,"")</f>
        <v/>
      </c>
      <c r="D11" s="21" t="str">
        <f>IF(ISNUMBER('IAP data'!D11),('IAP data'!D11/'Des IAP AFR'!D11)-1,"")</f>
        <v/>
      </c>
      <c r="E11" s="21" t="str">
        <f>IF(ISNUMBER('IAP data'!E11),('IAP data'!E11/'Des IAP AFR'!E11)-1,"")</f>
        <v/>
      </c>
      <c r="F11" s="21" t="str">
        <f>IF(ISNUMBER('IAP data'!F11),('IAP data'!F11/'Des IAP AFR'!F11)-1,"")</f>
        <v/>
      </c>
      <c r="G11" s="21" t="str">
        <f>IF(ISNUMBER('IAP data'!G11),('IAP data'!G11/'Des IAP AFR'!G11)-1,"")</f>
        <v/>
      </c>
      <c r="H11" s="21" t="str">
        <f>IF(ISNUMBER('IAP data'!H11),('IAP data'!H11/'Des IAP AFR'!H11)-1,"")</f>
        <v/>
      </c>
      <c r="I11" s="21" t="str">
        <f>IF(ISNUMBER('IAP data'!I11),('IAP data'!I11/'Des IAP AFR'!I11)-1,"")</f>
        <v/>
      </c>
      <c r="J11" s="21" t="str">
        <f>IF(ISNUMBER('IAP data'!J11),('IAP data'!J11/'Des IAP AFR'!J11)-1,"")</f>
        <v/>
      </c>
      <c r="K11" s="21" t="str">
        <f>IF(ISNUMBER('IAP data'!K11),('IAP data'!K11/'Des IAP AFR'!K11)-1,"")</f>
        <v/>
      </c>
      <c r="L11" s="21" t="str">
        <f>IF(ISNUMBER('IAP data'!L11),('IAP data'!L11/'Des IAP AFR'!L11)-1,"")</f>
        <v/>
      </c>
      <c r="M11" s="21" t="str">
        <f>IF(ISNUMBER('IAP data'!M11),('IAP data'!M11/'Des IAP AFR'!M11)-1,"")</f>
        <v/>
      </c>
      <c r="N11" s="21" t="str">
        <f>IF(ISNUMBER('IAP data'!N11),('IAP data'!N11/'Des IAP AFR'!N11)-1,"")</f>
        <v/>
      </c>
      <c r="O11" s="21" t="str">
        <f>IF(ISNUMBER('IAP data'!O11),('IAP data'!O11/'Des IAP AFR'!O11)-1,"")</f>
        <v/>
      </c>
      <c r="P11" s="21" t="str">
        <f>IF(ISNUMBER('IAP data'!P11),('IAP data'!P11/'Des IAP AFR'!P11)-1,"")</f>
        <v/>
      </c>
      <c r="Q11" s="21" t="str">
        <f>IF(ISNUMBER('IAP data'!Q11),('IAP data'!Q11/'Des IAP AFR'!Q11)-1,"")</f>
        <v/>
      </c>
      <c r="R11" s="21" t="str">
        <f>IF(ISNUMBER('IAP data'!R11),('IAP data'!R11/'Des IAP AFR'!R11)-1,"")</f>
        <v/>
      </c>
      <c r="S11" s="21" t="str">
        <f>IF(ISNUMBER('IAP data'!S11),('IAP data'!S11/'Des IAP AFR'!S11)-1,"")</f>
        <v/>
      </c>
      <c r="T11" s="21" t="str">
        <f>IF(ISNUMBER('IAP data'!T11),('IAP data'!T11/'Des IAP AFR'!T11)-1,"")</f>
        <v/>
      </c>
      <c r="U11" s="21" t="str">
        <f>IF(ISNUMBER('IAP data'!U11),('IAP data'!U11/'Des IAP AFR'!U11)-1,"")</f>
        <v/>
      </c>
      <c r="V11" s="21" t="str">
        <f>IF(ISNUMBER('IAP data'!V11),('IAP data'!V11/'Des IAP AFR'!V11)-1,"")</f>
        <v/>
      </c>
    </row>
    <row r="12" spans="1:22" x14ac:dyDescent="0.25">
      <c r="A12" s="15">
        <v>2800</v>
      </c>
      <c r="B12" s="21" t="str">
        <f>IF(ISNUMBER('IAP data'!B12),('IAP data'!B12/'Des IAP AFR'!B12)-1,"")</f>
        <v/>
      </c>
      <c r="C12" s="21" t="str">
        <f>IF(ISNUMBER('IAP data'!C12),('IAP data'!C12/'Des IAP AFR'!C12)-1,"")</f>
        <v/>
      </c>
      <c r="D12" s="21" t="str">
        <f>IF(ISNUMBER('IAP data'!D12),('IAP data'!D12/'Des IAP AFR'!D12)-1,"")</f>
        <v/>
      </c>
      <c r="E12" s="21" t="str">
        <f>IF(ISNUMBER('IAP data'!E12),('IAP data'!E12/'Des IAP AFR'!E12)-1,"")</f>
        <v/>
      </c>
      <c r="F12" s="21" t="str">
        <f>IF(ISNUMBER('IAP data'!F12),('IAP data'!F12/'Des IAP AFR'!F12)-1,"")</f>
        <v/>
      </c>
      <c r="G12" s="21" t="str">
        <f>IF(ISNUMBER('IAP data'!G12),('IAP data'!G12/'Des IAP AFR'!G12)-1,"")</f>
        <v/>
      </c>
      <c r="H12" s="21" t="str">
        <f>IF(ISNUMBER('IAP data'!H12),('IAP data'!H12/'Des IAP AFR'!H12)-1,"")</f>
        <v/>
      </c>
      <c r="I12" s="21" t="str">
        <f>IF(ISNUMBER('IAP data'!I12),('IAP data'!I12/'Des IAP AFR'!I12)-1,"")</f>
        <v/>
      </c>
      <c r="J12" s="21" t="str">
        <f>IF(ISNUMBER('IAP data'!J12),('IAP data'!J12/'Des IAP AFR'!J12)-1,"")</f>
        <v/>
      </c>
      <c r="K12" s="21" t="str">
        <f>IF(ISNUMBER('IAP data'!K12),('IAP data'!K12/'Des IAP AFR'!K12)-1,"")</f>
        <v/>
      </c>
      <c r="L12" s="21" t="str">
        <f>IF(ISNUMBER('IAP data'!L12),('IAP data'!L12/'Des IAP AFR'!L12)-1,"")</f>
        <v/>
      </c>
      <c r="M12" s="21" t="str">
        <f>IF(ISNUMBER('IAP data'!M12),('IAP data'!M12/'Des IAP AFR'!M12)-1,"")</f>
        <v/>
      </c>
      <c r="N12" s="21" t="str">
        <f>IF(ISNUMBER('IAP data'!N12),('IAP data'!N12/'Des IAP AFR'!N12)-1,"")</f>
        <v/>
      </c>
      <c r="O12" s="21" t="str">
        <f>IF(ISNUMBER('IAP data'!O12),('IAP data'!O12/'Des IAP AFR'!O12)-1,"")</f>
        <v/>
      </c>
      <c r="P12" s="21" t="str">
        <f>IF(ISNUMBER('IAP data'!P12),('IAP data'!P12/'Des IAP AFR'!P12)-1,"")</f>
        <v/>
      </c>
      <c r="Q12" s="21" t="str">
        <f>IF(ISNUMBER('IAP data'!Q12),('IAP data'!Q12/'Des IAP AFR'!Q12)-1,"")</f>
        <v/>
      </c>
      <c r="R12" s="21" t="str">
        <f>IF(ISNUMBER('IAP data'!R12),('IAP data'!R12/'Des IAP AFR'!R12)-1,"")</f>
        <v/>
      </c>
      <c r="S12" s="21" t="str">
        <f>IF(ISNUMBER('IAP data'!S12),('IAP data'!S12/'Des IAP AFR'!S12)-1,"")</f>
        <v/>
      </c>
      <c r="T12" s="21" t="str">
        <f>IF(ISNUMBER('IAP data'!T12),('IAP data'!T12/'Des IAP AFR'!T12)-1,"")</f>
        <v/>
      </c>
      <c r="U12" s="21" t="str">
        <f>IF(ISNUMBER('IAP data'!U12),('IAP data'!U12/'Des IAP AFR'!U12)-1,"")</f>
        <v/>
      </c>
      <c r="V12" s="21" t="str">
        <f>IF(ISNUMBER('IAP data'!V12),('IAP data'!V12/'Des IAP AFR'!V12)-1,"")</f>
        <v/>
      </c>
    </row>
    <row r="13" spans="1:22" x14ac:dyDescent="0.25">
      <c r="A13" s="15">
        <v>3000</v>
      </c>
      <c r="B13" s="21" t="str">
        <f>IF(ISNUMBER('IAP data'!B13),('IAP data'!B13/'Des IAP AFR'!B13)-1,"")</f>
        <v/>
      </c>
      <c r="C13" s="21" t="str">
        <f>IF(ISNUMBER('IAP data'!C13),('IAP data'!C13/'Des IAP AFR'!C13)-1,"")</f>
        <v/>
      </c>
      <c r="D13" s="21" t="str">
        <f>IF(ISNUMBER('IAP data'!D13),('IAP data'!D13/'Des IAP AFR'!D13)-1,"")</f>
        <v/>
      </c>
      <c r="E13" s="21" t="str">
        <f>IF(ISNUMBER('IAP data'!E13),('IAP data'!E13/'Des IAP AFR'!E13)-1,"")</f>
        <v/>
      </c>
      <c r="F13" s="21" t="str">
        <f>IF(ISNUMBER('IAP data'!F13),('IAP data'!F13/'Des IAP AFR'!F13)-1,"")</f>
        <v/>
      </c>
      <c r="G13" s="21" t="str">
        <f>IF(ISNUMBER('IAP data'!G13),('IAP data'!G13/'Des IAP AFR'!G13)-1,"")</f>
        <v/>
      </c>
      <c r="H13" s="21" t="str">
        <f>IF(ISNUMBER('IAP data'!H13),('IAP data'!H13/'Des IAP AFR'!H13)-1,"")</f>
        <v/>
      </c>
      <c r="I13" s="21" t="str">
        <f>IF(ISNUMBER('IAP data'!I13),('IAP data'!I13/'Des IAP AFR'!I13)-1,"")</f>
        <v/>
      </c>
      <c r="J13" s="21" t="str">
        <f>IF(ISNUMBER('IAP data'!J13),('IAP data'!J13/'Des IAP AFR'!J13)-1,"")</f>
        <v/>
      </c>
      <c r="K13" s="21" t="str">
        <f>IF(ISNUMBER('IAP data'!K13),('IAP data'!K13/'Des IAP AFR'!K13)-1,"")</f>
        <v/>
      </c>
      <c r="L13" s="21" t="str">
        <f>IF(ISNUMBER('IAP data'!L13),('IAP data'!L13/'Des IAP AFR'!L13)-1,"")</f>
        <v/>
      </c>
      <c r="M13" s="21" t="str">
        <f>IF(ISNUMBER('IAP data'!M13),('IAP data'!M13/'Des IAP AFR'!M13)-1,"")</f>
        <v/>
      </c>
      <c r="N13" s="21" t="str">
        <f>IF(ISNUMBER('IAP data'!N13),('IAP data'!N13/'Des IAP AFR'!N13)-1,"")</f>
        <v/>
      </c>
      <c r="O13" s="21" t="str">
        <f>IF(ISNUMBER('IAP data'!O13),('IAP data'!O13/'Des IAP AFR'!O13)-1,"")</f>
        <v/>
      </c>
      <c r="P13" s="21" t="str">
        <f>IF(ISNUMBER('IAP data'!P13),('IAP data'!P13/'Des IAP AFR'!P13)-1,"")</f>
        <v/>
      </c>
      <c r="Q13" s="21" t="str">
        <f>IF(ISNUMBER('IAP data'!Q13),('IAP data'!Q13/'Des IAP AFR'!Q13)-1,"")</f>
        <v/>
      </c>
      <c r="R13" s="21" t="str">
        <f>IF(ISNUMBER('IAP data'!R13),('IAP data'!R13/'Des IAP AFR'!R13)-1,"")</f>
        <v/>
      </c>
      <c r="S13" s="21" t="str">
        <f>IF(ISNUMBER('IAP data'!S13),('IAP data'!S13/'Des IAP AFR'!S13)-1,"")</f>
        <v/>
      </c>
      <c r="T13" s="21" t="str">
        <f>IF(ISNUMBER('IAP data'!T13),('IAP data'!T13/'Des IAP AFR'!T13)-1,"")</f>
        <v/>
      </c>
      <c r="U13" s="21" t="str">
        <f>IF(ISNUMBER('IAP data'!U13),('IAP data'!U13/'Des IAP AFR'!U13)-1,"")</f>
        <v/>
      </c>
      <c r="V13" s="21" t="str">
        <f>IF(ISNUMBER('IAP data'!V13),('IAP data'!V13/'Des IAP AFR'!V13)-1,"")</f>
        <v/>
      </c>
    </row>
    <row r="14" spans="1:22" x14ac:dyDescent="0.25">
      <c r="A14" s="15">
        <v>3200</v>
      </c>
      <c r="B14" s="21" t="str">
        <f>IF(ISNUMBER('IAP data'!B14),('IAP data'!B14/'Des IAP AFR'!B14)-1,"")</f>
        <v/>
      </c>
      <c r="C14" s="21" t="str">
        <f>IF(ISNUMBER('IAP data'!C14),('IAP data'!C14/'Des IAP AFR'!C14)-1,"")</f>
        <v/>
      </c>
      <c r="D14" s="21" t="str">
        <f>IF(ISNUMBER('IAP data'!D14),('IAP data'!D14/'Des IAP AFR'!D14)-1,"")</f>
        <v/>
      </c>
      <c r="E14" s="21" t="str">
        <f>IF(ISNUMBER('IAP data'!E14),('IAP data'!E14/'Des IAP AFR'!E14)-1,"")</f>
        <v/>
      </c>
      <c r="F14" s="21" t="str">
        <f>IF(ISNUMBER('IAP data'!F14),('IAP data'!F14/'Des IAP AFR'!F14)-1,"")</f>
        <v/>
      </c>
      <c r="G14" s="21" t="str">
        <f>IF(ISNUMBER('IAP data'!G14),('IAP data'!G14/'Des IAP AFR'!G14)-1,"")</f>
        <v/>
      </c>
      <c r="H14" s="21" t="str">
        <f>IF(ISNUMBER('IAP data'!H14),('IAP data'!H14/'Des IAP AFR'!H14)-1,"")</f>
        <v/>
      </c>
      <c r="I14" s="21" t="str">
        <f>IF(ISNUMBER('IAP data'!I14),('IAP data'!I14/'Des IAP AFR'!I14)-1,"")</f>
        <v/>
      </c>
      <c r="J14" s="21" t="str">
        <f>IF(ISNUMBER('IAP data'!J14),('IAP data'!J14/'Des IAP AFR'!J14)-1,"")</f>
        <v/>
      </c>
      <c r="K14" s="21" t="str">
        <f>IF(ISNUMBER('IAP data'!K14),('IAP data'!K14/'Des IAP AFR'!K14)-1,"")</f>
        <v/>
      </c>
      <c r="L14" s="21" t="str">
        <f>IF(ISNUMBER('IAP data'!L14),('IAP data'!L14/'Des IAP AFR'!L14)-1,"")</f>
        <v/>
      </c>
      <c r="M14" s="21" t="str">
        <f>IF(ISNUMBER('IAP data'!M14),('IAP data'!M14/'Des IAP AFR'!M14)-1,"")</f>
        <v/>
      </c>
      <c r="N14" s="21" t="str">
        <f>IF(ISNUMBER('IAP data'!N14),('IAP data'!N14/'Des IAP AFR'!N14)-1,"")</f>
        <v/>
      </c>
      <c r="O14" s="21" t="str">
        <f>IF(ISNUMBER('IAP data'!O14),('IAP data'!O14/'Des IAP AFR'!O14)-1,"")</f>
        <v/>
      </c>
      <c r="P14" s="21" t="str">
        <f>IF(ISNUMBER('IAP data'!P14),('IAP data'!P14/'Des IAP AFR'!P14)-1,"")</f>
        <v/>
      </c>
      <c r="Q14" s="21" t="str">
        <f>IF(ISNUMBER('IAP data'!Q14),('IAP data'!Q14/'Des IAP AFR'!Q14)-1,"")</f>
        <v/>
      </c>
      <c r="R14" s="21" t="str">
        <f>IF(ISNUMBER('IAP data'!R14),('IAP data'!R14/'Des IAP AFR'!R14)-1,"")</f>
        <v/>
      </c>
      <c r="S14" s="21" t="str">
        <f>IF(ISNUMBER('IAP data'!S14),('IAP data'!S14/'Des IAP AFR'!S14)-1,"")</f>
        <v/>
      </c>
      <c r="T14" s="21" t="str">
        <f>IF(ISNUMBER('IAP data'!T14),('IAP data'!T14/'Des IAP AFR'!T14)-1,"")</f>
        <v/>
      </c>
      <c r="U14" s="21" t="str">
        <f>IF(ISNUMBER('IAP data'!U14),('IAP data'!U14/'Des IAP AFR'!U14)-1,"")</f>
        <v/>
      </c>
      <c r="V14" s="21" t="str">
        <f>IF(ISNUMBER('IAP data'!V14),('IAP data'!V14/'Des IAP AFR'!V14)-1,"")</f>
        <v/>
      </c>
    </row>
    <row r="15" spans="1:22" x14ac:dyDescent="0.25">
      <c r="A15" s="15">
        <v>3400</v>
      </c>
      <c r="B15" s="21" t="str">
        <f>IF(ISNUMBER('IAP data'!B15),('IAP data'!B15/'Des IAP AFR'!B15)-1,"")</f>
        <v/>
      </c>
      <c r="C15" s="21" t="str">
        <f>IF(ISNUMBER('IAP data'!C15),('IAP data'!C15/'Des IAP AFR'!C15)-1,"")</f>
        <v/>
      </c>
      <c r="D15" s="21" t="str">
        <f>IF(ISNUMBER('IAP data'!D15),('IAP data'!D15/'Des IAP AFR'!D15)-1,"")</f>
        <v/>
      </c>
      <c r="E15" s="21" t="str">
        <f>IF(ISNUMBER('IAP data'!E15),('IAP data'!E15/'Des IAP AFR'!E15)-1,"")</f>
        <v/>
      </c>
      <c r="F15" s="21" t="str">
        <f>IF(ISNUMBER('IAP data'!F15),('IAP data'!F15/'Des IAP AFR'!F15)-1,"")</f>
        <v/>
      </c>
      <c r="G15" s="21" t="str">
        <f>IF(ISNUMBER('IAP data'!G15),('IAP data'!G15/'Des IAP AFR'!G15)-1,"")</f>
        <v/>
      </c>
      <c r="H15" s="21" t="str">
        <f>IF(ISNUMBER('IAP data'!H15),('IAP data'!H15/'Des IAP AFR'!H15)-1,"")</f>
        <v/>
      </c>
      <c r="I15" s="21" t="str">
        <f>IF(ISNUMBER('IAP data'!I15),('IAP data'!I15/'Des IAP AFR'!I15)-1,"")</f>
        <v/>
      </c>
      <c r="J15" s="21" t="str">
        <f>IF(ISNUMBER('IAP data'!J15),('IAP data'!J15/'Des IAP AFR'!J15)-1,"")</f>
        <v/>
      </c>
      <c r="K15" s="21" t="str">
        <f>IF(ISNUMBER('IAP data'!K15),('IAP data'!K15/'Des IAP AFR'!K15)-1,"")</f>
        <v/>
      </c>
      <c r="L15" s="21" t="str">
        <f>IF(ISNUMBER('IAP data'!L15),('IAP data'!L15/'Des IAP AFR'!L15)-1,"")</f>
        <v/>
      </c>
      <c r="M15" s="21" t="str">
        <f>IF(ISNUMBER('IAP data'!M15),('IAP data'!M15/'Des IAP AFR'!M15)-1,"")</f>
        <v/>
      </c>
      <c r="N15" s="21" t="str">
        <f>IF(ISNUMBER('IAP data'!N15),('IAP data'!N15/'Des IAP AFR'!N15)-1,"")</f>
        <v/>
      </c>
      <c r="O15" s="21" t="str">
        <f>IF(ISNUMBER('IAP data'!O15),('IAP data'!O15/'Des IAP AFR'!O15)-1,"")</f>
        <v/>
      </c>
      <c r="P15" s="21" t="str">
        <f>IF(ISNUMBER('IAP data'!P15),('IAP data'!P15/'Des IAP AFR'!P15)-1,"")</f>
        <v/>
      </c>
      <c r="Q15" s="21" t="str">
        <f>IF(ISNUMBER('IAP data'!Q15),('IAP data'!Q15/'Des IAP AFR'!Q15)-1,"")</f>
        <v/>
      </c>
      <c r="R15" s="21" t="str">
        <f>IF(ISNUMBER('IAP data'!R15),('IAP data'!R15/'Des IAP AFR'!R15)-1,"")</f>
        <v/>
      </c>
      <c r="S15" s="21" t="str">
        <f>IF(ISNUMBER('IAP data'!S15),('IAP data'!S15/'Des IAP AFR'!S15)-1,"")</f>
        <v/>
      </c>
      <c r="T15" s="21" t="str">
        <f>IF(ISNUMBER('IAP data'!T15),('IAP data'!T15/'Des IAP AFR'!T15)-1,"")</f>
        <v/>
      </c>
      <c r="U15" s="21" t="str">
        <f>IF(ISNUMBER('IAP data'!U15),('IAP data'!U15/'Des IAP AFR'!U15)-1,"")</f>
        <v/>
      </c>
      <c r="V15" s="21" t="str">
        <f>IF(ISNUMBER('IAP data'!V15),('IAP data'!V15/'Des IAP AFR'!V15)-1,"")</f>
        <v/>
      </c>
    </row>
    <row r="16" spans="1:22" x14ac:dyDescent="0.25">
      <c r="A16" s="15">
        <v>3600</v>
      </c>
      <c r="B16" s="21" t="str">
        <f>IF(ISNUMBER('IAP data'!B16),('IAP data'!B16/'Des IAP AFR'!B16)-1,"")</f>
        <v/>
      </c>
      <c r="C16" s="21" t="str">
        <f>IF(ISNUMBER('IAP data'!C16),('IAP data'!C16/'Des IAP AFR'!C16)-1,"")</f>
        <v/>
      </c>
      <c r="D16" s="21" t="str">
        <f>IF(ISNUMBER('IAP data'!D16),('IAP data'!D16/'Des IAP AFR'!D16)-1,"")</f>
        <v/>
      </c>
      <c r="E16" s="21" t="str">
        <f>IF(ISNUMBER('IAP data'!E16),('IAP data'!E16/'Des IAP AFR'!E16)-1,"")</f>
        <v/>
      </c>
      <c r="F16" s="21" t="str">
        <f>IF(ISNUMBER('IAP data'!F16),('IAP data'!F16/'Des IAP AFR'!F16)-1,"")</f>
        <v/>
      </c>
      <c r="G16" s="21" t="str">
        <f>IF(ISNUMBER('IAP data'!G16),('IAP data'!G16/'Des IAP AFR'!G16)-1,"")</f>
        <v/>
      </c>
      <c r="H16" s="21" t="str">
        <f>IF(ISNUMBER('IAP data'!H16),('IAP data'!H16/'Des IAP AFR'!H16)-1,"")</f>
        <v/>
      </c>
      <c r="I16" s="21" t="str">
        <f>IF(ISNUMBER('IAP data'!I16),('IAP data'!I16/'Des IAP AFR'!I16)-1,"")</f>
        <v/>
      </c>
      <c r="J16" s="21" t="str">
        <f>IF(ISNUMBER('IAP data'!J16),('IAP data'!J16/'Des IAP AFR'!J16)-1,"")</f>
        <v/>
      </c>
      <c r="K16" s="21" t="str">
        <f>IF(ISNUMBER('IAP data'!K16),('IAP data'!K16/'Des IAP AFR'!K16)-1,"")</f>
        <v/>
      </c>
      <c r="L16" s="21" t="str">
        <f>IF(ISNUMBER('IAP data'!L16),('IAP data'!L16/'Des IAP AFR'!L16)-1,"")</f>
        <v/>
      </c>
      <c r="M16" s="21" t="str">
        <f>IF(ISNUMBER('IAP data'!M16),('IAP data'!M16/'Des IAP AFR'!M16)-1,"")</f>
        <v/>
      </c>
      <c r="N16" s="21" t="str">
        <f>IF(ISNUMBER('IAP data'!N16),('IAP data'!N16/'Des IAP AFR'!N16)-1,"")</f>
        <v/>
      </c>
      <c r="O16" s="21" t="str">
        <f>IF(ISNUMBER('IAP data'!O16),('IAP data'!O16/'Des IAP AFR'!O16)-1,"")</f>
        <v/>
      </c>
      <c r="P16" s="21" t="str">
        <f>IF(ISNUMBER('IAP data'!P16),('IAP data'!P16/'Des IAP AFR'!P16)-1,"")</f>
        <v/>
      </c>
      <c r="Q16" s="21" t="str">
        <f>IF(ISNUMBER('IAP data'!Q16),('IAP data'!Q16/'Des IAP AFR'!Q16)-1,"")</f>
        <v/>
      </c>
      <c r="R16" s="21" t="str">
        <f>IF(ISNUMBER('IAP data'!R16),('IAP data'!R16/'Des IAP AFR'!R16)-1,"")</f>
        <v/>
      </c>
      <c r="S16" s="21" t="str">
        <f>IF(ISNUMBER('IAP data'!S16),('IAP data'!S16/'Des IAP AFR'!S16)-1,"")</f>
        <v/>
      </c>
      <c r="T16" s="21" t="str">
        <f>IF(ISNUMBER('IAP data'!T16),('IAP data'!T16/'Des IAP AFR'!T16)-1,"")</f>
        <v/>
      </c>
      <c r="U16" s="21" t="str">
        <f>IF(ISNUMBER('IAP data'!U16),('IAP data'!U16/'Des IAP AFR'!U16)-1,"")</f>
        <v/>
      </c>
      <c r="V16" s="21" t="str">
        <f>IF(ISNUMBER('IAP data'!V16),('IAP data'!V16/'Des IAP AFR'!V16)-1,"")</f>
        <v/>
      </c>
    </row>
    <row r="17" spans="1:22" x14ac:dyDescent="0.25">
      <c r="A17" s="15">
        <v>3800</v>
      </c>
      <c r="B17" s="21" t="str">
        <f>IF(ISNUMBER('IAP data'!B17),('IAP data'!B17/'Des IAP AFR'!B17)-1,"")</f>
        <v/>
      </c>
      <c r="C17" s="21" t="str">
        <f>IF(ISNUMBER('IAP data'!C17),('IAP data'!C17/'Des IAP AFR'!C17)-1,"")</f>
        <v/>
      </c>
      <c r="D17" s="21" t="str">
        <f>IF(ISNUMBER('IAP data'!D17),('IAP data'!D17/'Des IAP AFR'!D17)-1,"")</f>
        <v/>
      </c>
      <c r="E17" s="21" t="str">
        <f>IF(ISNUMBER('IAP data'!E17),('IAP data'!E17/'Des IAP AFR'!E17)-1,"")</f>
        <v/>
      </c>
      <c r="F17" s="21" t="str">
        <f>IF(ISNUMBER('IAP data'!F17),('IAP data'!F17/'Des IAP AFR'!F17)-1,"")</f>
        <v/>
      </c>
      <c r="G17" s="21" t="str">
        <f>IF(ISNUMBER('IAP data'!G17),('IAP data'!G17/'Des IAP AFR'!G17)-1,"")</f>
        <v/>
      </c>
      <c r="H17" s="21" t="str">
        <f>IF(ISNUMBER('IAP data'!H17),('IAP data'!H17/'Des IAP AFR'!H17)-1,"")</f>
        <v/>
      </c>
      <c r="I17" s="21" t="str">
        <f>IF(ISNUMBER('IAP data'!I17),('IAP data'!I17/'Des IAP AFR'!I17)-1,"")</f>
        <v/>
      </c>
      <c r="J17" s="21" t="str">
        <f>IF(ISNUMBER('IAP data'!J17),('IAP data'!J17/'Des IAP AFR'!J17)-1,"")</f>
        <v/>
      </c>
      <c r="K17" s="21" t="str">
        <f>IF(ISNUMBER('IAP data'!K17),('IAP data'!K17/'Des IAP AFR'!K17)-1,"")</f>
        <v/>
      </c>
      <c r="L17" s="21" t="str">
        <f>IF(ISNUMBER('IAP data'!L17),('IAP data'!L17/'Des IAP AFR'!L17)-1,"")</f>
        <v/>
      </c>
      <c r="M17" s="21" t="str">
        <f>IF(ISNUMBER('IAP data'!M17),('IAP data'!M17/'Des IAP AFR'!M17)-1,"")</f>
        <v/>
      </c>
      <c r="N17" s="21" t="str">
        <f>IF(ISNUMBER('IAP data'!N17),('IAP data'!N17/'Des IAP AFR'!N17)-1,"")</f>
        <v/>
      </c>
      <c r="O17" s="21" t="str">
        <f>IF(ISNUMBER('IAP data'!O17),('IAP data'!O17/'Des IAP AFR'!O17)-1,"")</f>
        <v/>
      </c>
      <c r="P17" s="21" t="str">
        <f>IF(ISNUMBER('IAP data'!P17),('IAP data'!P17/'Des IAP AFR'!P17)-1,"")</f>
        <v/>
      </c>
      <c r="Q17" s="21" t="str">
        <f>IF(ISNUMBER('IAP data'!Q17),('IAP data'!Q17/'Des IAP AFR'!Q17)-1,"")</f>
        <v/>
      </c>
      <c r="R17" s="21" t="str">
        <f>IF(ISNUMBER('IAP data'!R17),('IAP data'!R17/'Des IAP AFR'!R17)-1,"")</f>
        <v/>
      </c>
      <c r="S17" s="21" t="str">
        <f>IF(ISNUMBER('IAP data'!S17),('IAP data'!S17/'Des IAP AFR'!S17)-1,"")</f>
        <v/>
      </c>
      <c r="T17" s="21" t="str">
        <f>IF(ISNUMBER('IAP data'!T17),('IAP data'!T17/'Des IAP AFR'!T17)-1,"")</f>
        <v/>
      </c>
      <c r="U17" s="21" t="str">
        <f>IF(ISNUMBER('IAP data'!U17),('IAP data'!U17/'Des IAP AFR'!U17)-1,"")</f>
        <v/>
      </c>
      <c r="V17" s="21" t="str">
        <f>IF(ISNUMBER('IAP data'!V17),('IAP data'!V17/'Des IAP AFR'!V17)-1,"")</f>
        <v/>
      </c>
    </row>
    <row r="18" spans="1:22" x14ac:dyDescent="0.25">
      <c r="A18" s="15">
        <v>4000</v>
      </c>
      <c r="B18" s="21" t="str">
        <f>IF(ISNUMBER('IAP data'!B18),('IAP data'!B18/'Des IAP AFR'!B18)-1,"")</f>
        <v/>
      </c>
      <c r="C18" s="21" t="str">
        <f>IF(ISNUMBER('IAP data'!C18),('IAP data'!C18/'Des IAP AFR'!C18)-1,"")</f>
        <v/>
      </c>
      <c r="D18" s="21" t="str">
        <f>IF(ISNUMBER('IAP data'!D18),('IAP data'!D18/'Des IAP AFR'!D18)-1,"")</f>
        <v/>
      </c>
      <c r="E18" s="21" t="str">
        <f>IF(ISNUMBER('IAP data'!E18),('IAP data'!E18/'Des IAP AFR'!E18)-1,"")</f>
        <v/>
      </c>
      <c r="F18" s="21" t="str">
        <f>IF(ISNUMBER('IAP data'!F18),('IAP data'!F18/'Des IAP AFR'!F18)-1,"")</f>
        <v/>
      </c>
      <c r="G18" s="21" t="str">
        <f>IF(ISNUMBER('IAP data'!G18),('IAP data'!G18/'Des IAP AFR'!G18)-1,"")</f>
        <v/>
      </c>
      <c r="H18" s="21" t="str">
        <f>IF(ISNUMBER('IAP data'!H18),('IAP data'!H18/'Des IAP AFR'!H18)-1,"")</f>
        <v/>
      </c>
      <c r="I18" s="21" t="str">
        <f>IF(ISNUMBER('IAP data'!I18),('IAP data'!I18/'Des IAP AFR'!I18)-1,"")</f>
        <v/>
      </c>
      <c r="J18" s="21" t="str">
        <f>IF(ISNUMBER('IAP data'!J18),('IAP data'!J18/'Des IAP AFR'!J18)-1,"")</f>
        <v/>
      </c>
      <c r="K18" s="21" t="str">
        <f>IF(ISNUMBER('IAP data'!K18),('IAP data'!K18/'Des IAP AFR'!K18)-1,"")</f>
        <v/>
      </c>
      <c r="L18" s="21" t="str">
        <f>IF(ISNUMBER('IAP data'!L18),('IAP data'!L18/'Des IAP AFR'!L18)-1,"")</f>
        <v/>
      </c>
      <c r="M18" s="21" t="str">
        <f>IF(ISNUMBER('IAP data'!M18),('IAP data'!M18/'Des IAP AFR'!M18)-1,"")</f>
        <v/>
      </c>
      <c r="N18" s="21" t="str">
        <f>IF(ISNUMBER('IAP data'!N18),('IAP data'!N18/'Des IAP AFR'!N18)-1,"")</f>
        <v/>
      </c>
      <c r="O18" s="21" t="str">
        <f>IF(ISNUMBER('IAP data'!O18),('IAP data'!O18/'Des IAP AFR'!O18)-1,"")</f>
        <v/>
      </c>
      <c r="P18" s="21" t="str">
        <f>IF(ISNUMBER('IAP data'!P18),('IAP data'!P18/'Des IAP AFR'!P18)-1,"")</f>
        <v/>
      </c>
      <c r="Q18" s="21" t="str">
        <f>IF(ISNUMBER('IAP data'!Q18),('IAP data'!Q18/'Des IAP AFR'!Q18)-1,"")</f>
        <v/>
      </c>
      <c r="R18" s="21" t="str">
        <f>IF(ISNUMBER('IAP data'!R18),('IAP data'!R18/'Des IAP AFR'!R18)-1,"")</f>
        <v/>
      </c>
      <c r="S18" s="21" t="str">
        <f>IF(ISNUMBER('IAP data'!S18),('IAP data'!S18/'Des IAP AFR'!S18)-1,"")</f>
        <v/>
      </c>
      <c r="T18" s="21" t="str">
        <f>IF(ISNUMBER('IAP data'!T18),('IAP data'!T18/'Des IAP AFR'!T18)-1,"")</f>
        <v/>
      </c>
      <c r="U18" s="21" t="str">
        <f>IF(ISNUMBER('IAP data'!U18),('IAP data'!U18/'Des IAP AFR'!U18)-1,"")</f>
        <v/>
      </c>
      <c r="V18" s="21" t="str">
        <f>IF(ISNUMBER('IAP data'!V18),('IAP data'!V18/'Des IAP AFR'!V18)-1,"")</f>
        <v/>
      </c>
    </row>
    <row r="19" spans="1:22" x14ac:dyDescent="0.25">
      <c r="A19" s="15">
        <v>4200</v>
      </c>
      <c r="B19" s="21" t="str">
        <f>IF(ISNUMBER('IAP data'!B19),('IAP data'!B19/'Des IAP AFR'!B19)-1,"")</f>
        <v/>
      </c>
      <c r="C19" s="21" t="str">
        <f>IF(ISNUMBER('IAP data'!C19),('IAP data'!C19/'Des IAP AFR'!C19)-1,"")</f>
        <v/>
      </c>
      <c r="D19" s="21" t="str">
        <f>IF(ISNUMBER('IAP data'!D19),('IAP data'!D19/'Des IAP AFR'!D19)-1,"")</f>
        <v/>
      </c>
      <c r="E19" s="21" t="str">
        <f>IF(ISNUMBER('IAP data'!E19),('IAP data'!E19/'Des IAP AFR'!E19)-1,"")</f>
        <v/>
      </c>
      <c r="F19" s="21" t="str">
        <f>IF(ISNUMBER('IAP data'!F19),('IAP data'!F19/'Des IAP AFR'!F19)-1,"")</f>
        <v/>
      </c>
      <c r="G19" s="21" t="str">
        <f>IF(ISNUMBER('IAP data'!G19),('IAP data'!G19/'Des IAP AFR'!G19)-1,"")</f>
        <v/>
      </c>
      <c r="H19" s="21" t="str">
        <f>IF(ISNUMBER('IAP data'!H19),('IAP data'!H19/'Des IAP AFR'!H19)-1,"")</f>
        <v/>
      </c>
      <c r="I19" s="21" t="str">
        <f>IF(ISNUMBER('IAP data'!I19),('IAP data'!I19/'Des IAP AFR'!I19)-1,"")</f>
        <v/>
      </c>
      <c r="J19" s="21" t="str">
        <f>IF(ISNUMBER('IAP data'!J19),('IAP data'!J19/'Des IAP AFR'!J19)-1,"")</f>
        <v/>
      </c>
      <c r="K19" s="21" t="str">
        <f>IF(ISNUMBER('IAP data'!K19),('IAP data'!K19/'Des IAP AFR'!K19)-1,"")</f>
        <v/>
      </c>
      <c r="L19" s="21" t="str">
        <f>IF(ISNUMBER('IAP data'!L19),('IAP data'!L19/'Des IAP AFR'!L19)-1,"")</f>
        <v/>
      </c>
      <c r="M19" s="21" t="str">
        <f>IF(ISNUMBER('IAP data'!M19),('IAP data'!M19/'Des IAP AFR'!M19)-1,"")</f>
        <v/>
      </c>
      <c r="N19" s="21" t="str">
        <f>IF(ISNUMBER('IAP data'!N19),('IAP data'!N19/'Des IAP AFR'!N19)-1,"")</f>
        <v/>
      </c>
      <c r="O19" s="21" t="str">
        <f>IF(ISNUMBER('IAP data'!O19),('IAP data'!O19/'Des IAP AFR'!O19)-1,"")</f>
        <v/>
      </c>
      <c r="P19" s="21" t="str">
        <f>IF(ISNUMBER('IAP data'!P19),('IAP data'!P19/'Des IAP AFR'!P19)-1,"")</f>
        <v/>
      </c>
      <c r="Q19" s="21" t="str">
        <f>IF(ISNUMBER('IAP data'!Q19),('IAP data'!Q19/'Des IAP AFR'!Q19)-1,"")</f>
        <v/>
      </c>
      <c r="R19" s="21" t="str">
        <f>IF(ISNUMBER('IAP data'!R19),('IAP data'!R19/'Des IAP AFR'!R19)-1,"")</f>
        <v/>
      </c>
      <c r="S19" s="21" t="str">
        <f>IF(ISNUMBER('IAP data'!S19),('IAP data'!S19/'Des IAP AFR'!S19)-1,"")</f>
        <v/>
      </c>
      <c r="T19" s="21" t="str">
        <f>IF(ISNUMBER('IAP data'!T19),('IAP data'!T19/'Des IAP AFR'!T19)-1,"")</f>
        <v/>
      </c>
      <c r="U19" s="21" t="str">
        <f>IF(ISNUMBER('IAP data'!U19),('IAP data'!U19/'Des IAP AFR'!U19)-1,"")</f>
        <v/>
      </c>
      <c r="V19" s="21" t="str">
        <f>IF(ISNUMBER('IAP data'!V19),('IAP data'!V19/'Des IAP AFR'!V19)-1,"")</f>
        <v/>
      </c>
    </row>
    <row r="20" spans="1:22" x14ac:dyDescent="0.25">
      <c r="A20" s="15">
        <v>4400</v>
      </c>
      <c r="B20" s="21" t="str">
        <f>IF(ISNUMBER('IAP data'!B20),('IAP data'!B20/'Des IAP AFR'!B20)-1,"")</f>
        <v/>
      </c>
      <c r="C20" s="21" t="str">
        <f>IF(ISNUMBER('IAP data'!C20),('IAP data'!C20/'Des IAP AFR'!C20)-1,"")</f>
        <v/>
      </c>
      <c r="D20" s="21" t="str">
        <f>IF(ISNUMBER('IAP data'!D20),('IAP data'!D20/'Des IAP AFR'!D20)-1,"")</f>
        <v/>
      </c>
      <c r="E20" s="21" t="str">
        <f>IF(ISNUMBER('IAP data'!E20),('IAP data'!E20/'Des IAP AFR'!E20)-1,"")</f>
        <v/>
      </c>
      <c r="F20" s="21" t="str">
        <f>IF(ISNUMBER('IAP data'!F20),('IAP data'!F20/'Des IAP AFR'!F20)-1,"")</f>
        <v/>
      </c>
      <c r="G20" s="21" t="str">
        <f>IF(ISNUMBER('IAP data'!G20),('IAP data'!G20/'Des IAP AFR'!G20)-1,"")</f>
        <v/>
      </c>
      <c r="H20" s="21" t="str">
        <f>IF(ISNUMBER('IAP data'!H20),('IAP data'!H20/'Des IAP AFR'!H20)-1,"")</f>
        <v/>
      </c>
      <c r="I20" s="21" t="str">
        <f>IF(ISNUMBER('IAP data'!I20),('IAP data'!I20/'Des IAP AFR'!I20)-1,"")</f>
        <v/>
      </c>
      <c r="J20" s="21" t="str">
        <f>IF(ISNUMBER('IAP data'!J20),('IAP data'!J20/'Des IAP AFR'!J20)-1,"")</f>
        <v/>
      </c>
      <c r="K20" s="21" t="str">
        <f>IF(ISNUMBER('IAP data'!K20),('IAP data'!K20/'Des IAP AFR'!K20)-1,"")</f>
        <v/>
      </c>
      <c r="L20" s="21" t="str">
        <f>IF(ISNUMBER('IAP data'!L20),('IAP data'!L20/'Des IAP AFR'!L20)-1,"")</f>
        <v/>
      </c>
      <c r="M20" s="21" t="str">
        <f>IF(ISNUMBER('IAP data'!M20),('IAP data'!M20/'Des IAP AFR'!M20)-1,"")</f>
        <v/>
      </c>
      <c r="N20" s="21" t="str">
        <f>IF(ISNUMBER('IAP data'!N20),('IAP data'!N20/'Des IAP AFR'!N20)-1,"")</f>
        <v/>
      </c>
      <c r="O20" s="21" t="str">
        <f>IF(ISNUMBER('IAP data'!O20),('IAP data'!O20/'Des IAP AFR'!O20)-1,"")</f>
        <v/>
      </c>
      <c r="P20" s="21" t="str">
        <f>IF(ISNUMBER('IAP data'!P20),('IAP data'!P20/'Des IAP AFR'!P20)-1,"")</f>
        <v/>
      </c>
      <c r="Q20" s="21" t="str">
        <f>IF(ISNUMBER('IAP data'!Q20),('IAP data'!Q20/'Des IAP AFR'!Q20)-1,"")</f>
        <v/>
      </c>
      <c r="R20" s="21" t="str">
        <f>IF(ISNUMBER('IAP data'!R20),('IAP data'!R20/'Des IAP AFR'!R20)-1,"")</f>
        <v/>
      </c>
      <c r="S20" s="21" t="str">
        <f>IF(ISNUMBER('IAP data'!S20),('IAP data'!S20/'Des IAP AFR'!S20)-1,"")</f>
        <v/>
      </c>
      <c r="T20" s="21" t="str">
        <f>IF(ISNUMBER('IAP data'!T20),('IAP data'!T20/'Des IAP AFR'!T20)-1,"")</f>
        <v/>
      </c>
      <c r="U20" s="21" t="str">
        <f>IF(ISNUMBER('IAP data'!U20),('IAP data'!U20/'Des IAP AFR'!U20)-1,"")</f>
        <v/>
      </c>
      <c r="V20" s="21" t="str">
        <f>IF(ISNUMBER('IAP data'!V20),('IAP data'!V20/'Des IAP AFR'!V20)-1,"")</f>
        <v/>
      </c>
    </row>
    <row r="21" spans="1:22" x14ac:dyDescent="0.25">
      <c r="A21" s="15">
        <v>4600</v>
      </c>
      <c r="B21" s="21" t="str">
        <f>IF(ISNUMBER('IAP data'!B21),('IAP data'!B21/'Des IAP AFR'!B21)-1,"")</f>
        <v/>
      </c>
      <c r="C21" s="21" t="str">
        <f>IF(ISNUMBER('IAP data'!C21),('IAP data'!C21/'Des IAP AFR'!C21)-1,"")</f>
        <v/>
      </c>
      <c r="D21" s="21" t="str">
        <f>IF(ISNUMBER('IAP data'!D21),('IAP data'!D21/'Des IAP AFR'!D21)-1,"")</f>
        <v/>
      </c>
      <c r="E21" s="21" t="str">
        <f>IF(ISNUMBER('IAP data'!E21),('IAP data'!E21/'Des IAP AFR'!E21)-1,"")</f>
        <v/>
      </c>
      <c r="F21" s="21" t="str">
        <f>IF(ISNUMBER('IAP data'!F21),('IAP data'!F21/'Des IAP AFR'!F21)-1,"")</f>
        <v/>
      </c>
      <c r="G21" s="21" t="str">
        <f>IF(ISNUMBER('IAP data'!G21),('IAP data'!G21/'Des IAP AFR'!G21)-1,"")</f>
        <v/>
      </c>
      <c r="H21" s="21" t="str">
        <f>IF(ISNUMBER('IAP data'!H21),('IAP data'!H21/'Des IAP AFR'!H21)-1,"")</f>
        <v/>
      </c>
      <c r="I21" s="21" t="str">
        <f>IF(ISNUMBER('IAP data'!I21),('IAP data'!I21/'Des IAP AFR'!I21)-1,"")</f>
        <v/>
      </c>
      <c r="J21" s="21" t="str">
        <f>IF(ISNUMBER('IAP data'!J21),('IAP data'!J21/'Des IAP AFR'!J21)-1,"")</f>
        <v/>
      </c>
      <c r="K21" s="21" t="str">
        <f>IF(ISNUMBER('IAP data'!K21),('IAP data'!K21/'Des IAP AFR'!K21)-1,"")</f>
        <v/>
      </c>
      <c r="L21" s="21" t="str">
        <f>IF(ISNUMBER('IAP data'!L21),('IAP data'!L21/'Des IAP AFR'!L21)-1,"")</f>
        <v/>
      </c>
      <c r="M21" s="21" t="str">
        <f>IF(ISNUMBER('IAP data'!M21),('IAP data'!M21/'Des IAP AFR'!M21)-1,"")</f>
        <v/>
      </c>
      <c r="N21" s="21" t="str">
        <f>IF(ISNUMBER('IAP data'!N21),('IAP data'!N21/'Des IAP AFR'!N21)-1,"")</f>
        <v/>
      </c>
      <c r="O21" s="21" t="str">
        <f>IF(ISNUMBER('IAP data'!O21),('IAP data'!O21/'Des IAP AFR'!O21)-1,"")</f>
        <v/>
      </c>
      <c r="P21" s="21" t="str">
        <f>IF(ISNUMBER('IAP data'!P21),('IAP data'!P21/'Des IAP AFR'!P21)-1,"")</f>
        <v/>
      </c>
      <c r="Q21" s="21" t="str">
        <f>IF(ISNUMBER('IAP data'!Q21),('IAP data'!Q21/'Des IAP AFR'!Q21)-1,"")</f>
        <v/>
      </c>
      <c r="R21" s="21" t="str">
        <f>IF(ISNUMBER('IAP data'!R21),('IAP data'!R21/'Des IAP AFR'!R21)-1,"")</f>
        <v/>
      </c>
      <c r="S21" s="21" t="str">
        <f>IF(ISNUMBER('IAP data'!S21),('IAP data'!S21/'Des IAP AFR'!S21)-1,"")</f>
        <v/>
      </c>
      <c r="T21" s="21" t="str">
        <f>IF(ISNUMBER('IAP data'!T21),('IAP data'!T21/'Des IAP AFR'!T21)-1,"")</f>
        <v/>
      </c>
      <c r="U21" s="21" t="str">
        <f>IF(ISNUMBER('IAP data'!U21),('IAP data'!U21/'Des IAP AFR'!U21)-1,"")</f>
        <v/>
      </c>
      <c r="V21" s="21" t="str">
        <f>IF(ISNUMBER('IAP data'!V21),('IAP data'!V21/'Des IAP AFR'!V21)-1,"")</f>
        <v/>
      </c>
    </row>
    <row r="22" spans="1:22" x14ac:dyDescent="0.25">
      <c r="A22" s="15">
        <v>4800</v>
      </c>
      <c r="B22" s="21" t="str">
        <f>IF(ISNUMBER('IAP data'!B22),('IAP data'!B22/'Des IAP AFR'!B22)-1,"")</f>
        <v/>
      </c>
      <c r="C22" s="21" t="str">
        <f>IF(ISNUMBER('IAP data'!C22),('IAP data'!C22/'Des IAP AFR'!C22)-1,"")</f>
        <v/>
      </c>
      <c r="D22" s="21" t="str">
        <f>IF(ISNUMBER('IAP data'!D22),('IAP data'!D22/'Des IAP AFR'!D22)-1,"")</f>
        <v/>
      </c>
      <c r="E22" s="21" t="str">
        <f>IF(ISNUMBER('IAP data'!E22),('IAP data'!E22/'Des IAP AFR'!E22)-1,"")</f>
        <v/>
      </c>
      <c r="F22" s="21" t="str">
        <f>IF(ISNUMBER('IAP data'!F22),('IAP data'!F22/'Des IAP AFR'!F22)-1,"")</f>
        <v/>
      </c>
      <c r="G22" s="21" t="str">
        <f>IF(ISNUMBER('IAP data'!G22),('IAP data'!G22/'Des IAP AFR'!G22)-1,"")</f>
        <v/>
      </c>
      <c r="H22" s="21" t="str">
        <f>IF(ISNUMBER('IAP data'!H22),('IAP data'!H22/'Des IAP AFR'!H22)-1,"")</f>
        <v/>
      </c>
      <c r="I22" s="21" t="str">
        <f>IF(ISNUMBER('IAP data'!I22),('IAP data'!I22/'Des IAP AFR'!I22)-1,"")</f>
        <v/>
      </c>
      <c r="J22" s="21" t="str">
        <f>IF(ISNUMBER('IAP data'!J22),('IAP data'!J22/'Des IAP AFR'!J22)-1,"")</f>
        <v/>
      </c>
      <c r="K22" s="21" t="str">
        <f>IF(ISNUMBER('IAP data'!K22),('IAP data'!K22/'Des IAP AFR'!K22)-1,"")</f>
        <v/>
      </c>
      <c r="L22" s="21" t="str">
        <f>IF(ISNUMBER('IAP data'!L22),('IAP data'!L22/'Des IAP AFR'!L22)-1,"")</f>
        <v/>
      </c>
      <c r="M22" s="21" t="str">
        <f>IF(ISNUMBER('IAP data'!M22),('IAP data'!M22/'Des IAP AFR'!M22)-1,"")</f>
        <v/>
      </c>
      <c r="N22" s="21" t="str">
        <f>IF(ISNUMBER('IAP data'!N22),('IAP data'!N22/'Des IAP AFR'!N22)-1,"")</f>
        <v/>
      </c>
      <c r="O22" s="21" t="str">
        <f>IF(ISNUMBER('IAP data'!O22),('IAP data'!O22/'Des IAP AFR'!O22)-1,"")</f>
        <v/>
      </c>
      <c r="P22" s="21" t="str">
        <f>IF(ISNUMBER('IAP data'!P22),('IAP data'!P22/'Des IAP AFR'!P22)-1,"")</f>
        <v/>
      </c>
      <c r="Q22" s="21" t="str">
        <f>IF(ISNUMBER('IAP data'!Q22),('IAP data'!Q22/'Des IAP AFR'!Q22)-1,"")</f>
        <v/>
      </c>
      <c r="R22" s="21" t="str">
        <f>IF(ISNUMBER('IAP data'!R22),('IAP data'!R22/'Des IAP AFR'!R22)-1,"")</f>
        <v/>
      </c>
      <c r="S22" s="21" t="str">
        <f>IF(ISNUMBER('IAP data'!S22),('IAP data'!S22/'Des IAP AFR'!S22)-1,"")</f>
        <v/>
      </c>
      <c r="T22" s="21" t="str">
        <f>IF(ISNUMBER('IAP data'!T22),('IAP data'!T22/'Des IAP AFR'!T22)-1,"")</f>
        <v/>
      </c>
      <c r="U22" s="21" t="str">
        <f>IF(ISNUMBER('IAP data'!U22),('IAP data'!U22/'Des IAP AFR'!U22)-1,"")</f>
        <v/>
      </c>
      <c r="V22" s="21" t="str">
        <f>IF(ISNUMBER('IAP data'!V22),('IAP data'!V22/'Des IAP AFR'!V22)-1,"")</f>
        <v/>
      </c>
    </row>
    <row r="23" spans="1:22" x14ac:dyDescent="0.25">
      <c r="A23" s="15">
        <v>5000</v>
      </c>
      <c r="B23" s="21" t="str">
        <f>IF(ISNUMBER('IAP data'!B23),('IAP data'!B23/'Des IAP AFR'!B23)-1,"")</f>
        <v/>
      </c>
      <c r="C23" s="21" t="str">
        <f>IF(ISNUMBER('IAP data'!C23),('IAP data'!C23/'Des IAP AFR'!C23)-1,"")</f>
        <v/>
      </c>
      <c r="D23" s="21" t="str">
        <f>IF(ISNUMBER('IAP data'!D23),('IAP data'!D23/'Des IAP AFR'!D23)-1,"")</f>
        <v/>
      </c>
      <c r="E23" s="21" t="str">
        <f>IF(ISNUMBER('IAP data'!E23),('IAP data'!E23/'Des IAP AFR'!E23)-1,"")</f>
        <v/>
      </c>
      <c r="F23" s="21" t="str">
        <f>IF(ISNUMBER('IAP data'!F23),('IAP data'!F23/'Des IAP AFR'!F23)-1,"")</f>
        <v/>
      </c>
      <c r="G23" s="21" t="str">
        <f>IF(ISNUMBER('IAP data'!G23),('IAP data'!G23/'Des IAP AFR'!G23)-1,"")</f>
        <v/>
      </c>
      <c r="H23" s="21" t="str">
        <f>IF(ISNUMBER('IAP data'!H23),('IAP data'!H23/'Des IAP AFR'!H23)-1,"")</f>
        <v/>
      </c>
      <c r="I23" s="21" t="str">
        <f>IF(ISNUMBER('IAP data'!I23),('IAP data'!I23/'Des IAP AFR'!I23)-1,"")</f>
        <v/>
      </c>
      <c r="J23" s="21" t="str">
        <f>IF(ISNUMBER('IAP data'!J23),('IAP data'!J23/'Des IAP AFR'!J23)-1,"")</f>
        <v/>
      </c>
      <c r="K23" s="21" t="str">
        <f>IF(ISNUMBER('IAP data'!K23),('IAP data'!K23/'Des IAP AFR'!K23)-1,"")</f>
        <v/>
      </c>
      <c r="L23" s="21" t="str">
        <f>IF(ISNUMBER('IAP data'!L23),('IAP data'!L23/'Des IAP AFR'!L23)-1,"")</f>
        <v/>
      </c>
      <c r="M23" s="21" t="str">
        <f>IF(ISNUMBER('IAP data'!M23),('IAP data'!M23/'Des IAP AFR'!M23)-1,"")</f>
        <v/>
      </c>
      <c r="N23" s="21" t="str">
        <f>IF(ISNUMBER('IAP data'!N23),('IAP data'!N23/'Des IAP AFR'!N23)-1,"")</f>
        <v/>
      </c>
      <c r="O23" s="21" t="str">
        <f>IF(ISNUMBER('IAP data'!O23),('IAP data'!O23/'Des IAP AFR'!O23)-1,"")</f>
        <v/>
      </c>
      <c r="P23" s="21" t="str">
        <f>IF(ISNUMBER('IAP data'!P23),('IAP data'!P23/'Des IAP AFR'!P23)-1,"")</f>
        <v/>
      </c>
      <c r="Q23" s="21" t="str">
        <f>IF(ISNUMBER('IAP data'!Q23),('IAP data'!Q23/'Des IAP AFR'!Q23)-1,"")</f>
        <v/>
      </c>
      <c r="R23" s="21" t="str">
        <f>IF(ISNUMBER('IAP data'!R23),('IAP data'!R23/'Des IAP AFR'!R23)-1,"")</f>
        <v/>
      </c>
      <c r="S23" s="21" t="str">
        <f>IF(ISNUMBER('IAP data'!S23),('IAP data'!S23/'Des IAP AFR'!S23)-1,"")</f>
        <v/>
      </c>
      <c r="T23" s="21" t="str">
        <f>IF(ISNUMBER('IAP data'!T23),('IAP data'!T23/'Des IAP AFR'!T23)-1,"")</f>
        <v/>
      </c>
      <c r="U23" s="21" t="str">
        <f>IF(ISNUMBER('IAP data'!U23),('IAP data'!U23/'Des IAP AFR'!U23)-1,"")</f>
        <v/>
      </c>
      <c r="V23" s="21" t="str">
        <f>IF(ISNUMBER('IAP data'!V23),('IAP data'!V23/'Des IAP AFR'!V23)-1,"")</f>
        <v/>
      </c>
    </row>
    <row r="24" spans="1:22" x14ac:dyDescent="0.25">
      <c r="A24" s="15">
        <v>5200</v>
      </c>
      <c r="B24" s="21" t="str">
        <f>IF(ISNUMBER('IAP data'!B24),('IAP data'!B24/'Des IAP AFR'!B24)-1,"")</f>
        <v/>
      </c>
      <c r="C24" s="21" t="str">
        <f>IF(ISNUMBER('IAP data'!C24),('IAP data'!C24/'Des IAP AFR'!C24)-1,"")</f>
        <v/>
      </c>
      <c r="D24" s="21" t="str">
        <f>IF(ISNUMBER('IAP data'!D24),('IAP data'!D24/'Des IAP AFR'!D24)-1,"")</f>
        <v/>
      </c>
      <c r="E24" s="21" t="str">
        <f>IF(ISNUMBER('IAP data'!E24),('IAP data'!E24/'Des IAP AFR'!E24)-1,"")</f>
        <v/>
      </c>
      <c r="F24" s="21" t="str">
        <f>IF(ISNUMBER('IAP data'!F24),('IAP data'!F24/'Des IAP AFR'!F24)-1,"")</f>
        <v/>
      </c>
      <c r="G24" s="21" t="str">
        <f>IF(ISNUMBER('IAP data'!G24),('IAP data'!G24/'Des IAP AFR'!G24)-1,"")</f>
        <v/>
      </c>
      <c r="H24" s="21" t="str">
        <f>IF(ISNUMBER('IAP data'!H24),('IAP data'!H24/'Des IAP AFR'!H24)-1,"")</f>
        <v/>
      </c>
      <c r="I24" s="21" t="str">
        <f>IF(ISNUMBER('IAP data'!I24),('IAP data'!I24/'Des IAP AFR'!I24)-1,"")</f>
        <v/>
      </c>
      <c r="J24" s="21" t="str">
        <f>IF(ISNUMBER('IAP data'!J24),('IAP data'!J24/'Des IAP AFR'!J24)-1,"")</f>
        <v/>
      </c>
      <c r="K24" s="21" t="str">
        <f>IF(ISNUMBER('IAP data'!K24),('IAP data'!K24/'Des IAP AFR'!K24)-1,"")</f>
        <v/>
      </c>
      <c r="L24" s="21" t="str">
        <f>IF(ISNUMBER('IAP data'!L24),('IAP data'!L24/'Des IAP AFR'!L24)-1,"")</f>
        <v/>
      </c>
      <c r="M24" s="21" t="str">
        <f>IF(ISNUMBER('IAP data'!M24),('IAP data'!M24/'Des IAP AFR'!M24)-1,"")</f>
        <v/>
      </c>
      <c r="N24" s="21" t="str">
        <f>IF(ISNUMBER('IAP data'!N24),('IAP data'!N24/'Des IAP AFR'!N24)-1,"")</f>
        <v/>
      </c>
      <c r="O24" s="21" t="str">
        <f>IF(ISNUMBER('IAP data'!O24),('IAP data'!O24/'Des IAP AFR'!O24)-1,"")</f>
        <v/>
      </c>
      <c r="P24" s="21" t="str">
        <f>IF(ISNUMBER('IAP data'!P24),('IAP data'!P24/'Des IAP AFR'!P24)-1,"")</f>
        <v/>
      </c>
      <c r="Q24" s="21" t="str">
        <f>IF(ISNUMBER('IAP data'!Q24),('IAP data'!Q24/'Des IAP AFR'!Q24)-1,"")</f>
        <v/>
      </c>
      <c r="R24" s="21" t="str">
        <f>IF(ISNUMBER('IAP data'!R24),('IAP data'!R24/'Des IAP AFR'!R24)-1,"")</f>
        <v/>
      </c>
      <c r="S24" s="21" t="str">
        <f>IF(ISNUMBER('IAP data'!S24),('IAP data'!S24/'Des IAP AFR'!S24)-1,"")</f>
        <v/>
      </c>
      <c r="T24" s="21" t="str">
        <f>IF(ISNUMBER('IAP data'!T24),('IAP data'!T24/'Des IAP AFR'!T24)-1,"")</f>
        <v/>
      </c>
      <c r="U24" s="21" t="str">
        <f>IF(ISNUMBER('IAP data'!U24),('IAP data'!U24/'Des IAP AFR'!U24)-1,"")</f>
        <v/>
      </c>
      <c r="V24" s="21" t="str">
        <f>IF(ISNUMBER('IAP data'!V24),('IAP data'!V24/'Des IAP AFR'!V24)-1,"")</f>
        <v/>
      </c>
    </row>
    <row r="25" spans="1:22" x14ac:dyDescent="0.25">
      <c r="A25" s="15">
        <v>5600</v>
      </c>
      <c r="B25" s="21" t="str">
        <f>IF(ISNUMBER('IAP data'!B25),('IAP data'!B25/'Des IAP AFR'!B25)-1,"")</f>
        <v/>
      </c>
      <c r="C25" s="21" t="str">
        <f>IF(ISNUMBER('IAP data'!C25),('IAP data'!C25/'Des IAP AFR'!C25)-1,"")</f>
        <v/>
      </c>
      <c r="D25" s="21" t="str">
        <f>IF(ISNUMBER('IAP data'!D25),('IAP data'!D25/'Des IAP AFR'!D25)-1,"")</f>
        <v/>
      </c>
      <c r="E25" s="21" t="str">
        <f>IF(ISNUMBER('IAP data'!E25),('IAP data'!E25/'Des IAP AFR'!E25)-1,"")</f>
        <v/>
      </c>
      <c r="F25" s="21" t="str">
        <f>IF(ISNUMBER('IAP data'!F25),('IAP data'!F25/'Des IAP AFR'!F25)-1,"")</f>
        <v/>
      </c>
      <c r="G25" s="21" t="str">
        <f>IF(ISNUMBER('IAP data'!G25),('IAP data'!G25/'Des IAP AFR'!G25)-1,"")</f>
        <v/>
      </c>
      <c r="H25" s="21" t="str">
        <f>IF(ISNUMBER('IAP data'!H25),('IAP data'!H25/'Des IAP AFR'!H25)-1,"")</f>
        <v/>
      </c>
      <c r="I25" s="21" t="str">
        <f>IF(ISNUMBER('IAP data'!I25),('IAP data'!I25/'Des IAP AFR'!I25)-1,"")</f>
        <v/>
      </c>
      <c r="J25" s="21" t="str">
        <f>IF(ISNUMBER('IAP data'!J25),('IAP data'!J25/'Des IAP AFR'!J25)-1,"")</f>
        <v/>
      </c>
      <c r="K25" s="21" t="str">
        <f>IF(ISNUMBER('IAP data'!K25),('IAP data'!K25/'Des IAP AFR'!K25)-1,"")</f>
        <v/>
      </c>
      <c r="L25" s="21" t="str">
        <f>IF(ISNUMBER('IAP data'!L25),('IAP data'!L25/'Des IAP AFR'!L25)-1,"")</f>
        <v/>
      </c>
      <c r="M25" s="21" t="str">
        <f>IF(ISNUMBER('IAP data'!M25),('IAP data'!M25/'Des IAP AFR'!M25)-1,"")</f>
        <v/>
      </c>
      <c r="N25" s="21" t="str">
        <f>IF(ISNUMBER('IAP data'!N25),('IAP data'!N25/'Des IAP AFR'!N25)-1,"")</f>
        <v/>
      </c>
      <c r="O25" s="21" t="str">
        <f>IF(ISNUMBER('IAP data'!O25),('IAP data'!O25/'Des IAP AFR'!O25)-1,"")</f>
        <v/>
      </c>
      <c r="P25" s="21" t="str">
        <f>IF(ISNUMBER('IAP data'!P25),('IAP data'!P25/'Des IAP AFR'!P25)-1,"")</f>
        <v/>
      </c>
      <c r="Q25" s="21" t="str">
        <f>IF(ISNUMBER('IAP data'!Q25),('IAP data'!Q25/'Des IAP AFR'!Q25)-1,"")</f>
        <v/>
      </c>
      <c r="R25" s="21" t="str">
        <f>IF(ISNUMBER('IAP data'!R25),('IAP data'!R25/'Des IAP AFR'!R25)-1,"")</f>
        <v/>
      </c>
      <c r="S25" s="21" t="str">
        <f>IF(ISNUMBER('IAP data'!S25),('IAP data'!S25/'Des IAP AFR'!S25)-1,"")</f>
        <v/>
      </c>
      <c r="T25" s="21" t="str">
        <f>IF(ISNUMBER('IAP data'!T25),('IAP data'!T25/'Des IAP AFR'!T25)-1,"")</f>
        <v/>
      </c>
      <c r="U25" s="21" t="str">
        <f>IF(ISNUMBER('IAP data'!U25),('IAP data'!U25/'Des IAP AFR'!U25)-1,"")</f>
        <v/>
      </c>
      <c r="V25" s="21" t="str">
        <f>IF(ISNUMBER('IAP data'!V25),('IAP data'!V25/'Des IAP AFR'!V25)-1,"")</f>
        <v/>
      </c>
    </row>
    <row r="26" spans="1:22" x14ac:dyDescent="0.25">
      <c r="A26" s="15">
        <v>6000</v>
      </c>
      <c r="B26" s="21" t="str">
        <f>IF(ISNUMBER('IAP data'!B26),('IAP data'!B26/'Des IAP AFR'!B26)-1,"")</f>
        <v/>
      </c>
      <c r="C26" s="21" t="str">
        <f>IF(ISNUMBER('IAP data'!C26),('IAP data'!C26/'Des IAP AFR'!C26)-1,"")</f>
        <v/>
      </c>
      <c r="D26" s="21" t="str">
        <f>IF(ISNUMBER('IAP data'!D26),('IAP data'!D26/'Des IAP AFR'!D26)-1,"")</f>
        <v/>
      </c>
      <c r="E26" s="21" t="str">
        <f>IF(ISNUMBER('IAP data'!E26),('IAP data'!E26/'Des IAP AFR'!E26)-1,"")</f>
        <v/>
      </c>
      <c r="F26" s="21" t="str">
        <f>IF(ISNUMBER('IAP data'!F26),('IAP data'!F26/'Des IAP AFR'!F26)-1,"")</f>
        <v/>
      </c>
      <c r="G26" s="21" t="str">
        <f>IF(ISNUMBER('IAP data'!G26),('IAP data'!G26/'Des IAP AFR'!G26)-1,"")</f>
        <v/>
      </c>
      <c r="H26" s="21" t="str">
        <f>IF(ISNUMBER('IAP data'!H26),('IAP data'!H26/'Des IAP AFR'!H26)-1,"")</f>
        <v/>
      </c>
      <c r="I26" s="21" t="str">
        <f>IF(ISNUMBER('IAP data'!I26),('IAP data'!I26/'Des IAP AFR'!I26)-1,"")</f>
        <v/>
      </c>
      <c r="J26" s="21" t="str">
        <f>IF(ISNUMBER('IAP data'!J26),('IAP data'!J26/'Des IAP AFR'!J26)-1,"")</f>
        <v/>
      </c>
      <c r="K26" s="21" t="str">
        <f>IF(ISNUMBER('IAP data'!K26),('IAP data'!K26/'Des IAP AFR'!K26)-1,"")</f>
        <v/>
      </c>
      <c r="L26" s="21" t="str">
        <f>IF(ISNUMBER('IAP data'!L26),('IAP data'!L26/'Des IAP AFR'!L26)-1,"")</f>
        <v/>
      </c>
      <c r="M26" s="21" t="str">
        <f>IF(ISNUMBER('IAP data'!M26),('IAP data'!M26/'Des IAP AFR'!M26)-1,"")</f>
        <v/>
      </c>
      <c r="N26" s="21" t="str">
        <f>IF(ISNUMBER('IAP data'!N26),('IAP data'!N26/'Des IAP AFR'!N26)-1,"")</f>
        <v/>
      </c>
      <c r="O26" s="21" t="str">
        <f>IF(ISNUMBER('IAP data'!O26),('IAP data'!O26/'Des IAP AFR'!O26)-1,"")</f>
        <v/>
      </c>
      <c r="P26" s="21" t="str">
        <f>IF(ISNUMBER('IAP data'!P26),('IAP data'!P26/'Des IAP AFR'!P26)-1,"")</f>
        <v/>
      </c>
      <c r="Q26" s="21" t="str">
        <f>IF(ISNUMBER('IAP data'!Q26),('IAP data'!Q26/'Des IAP AFR'!Q26)-1,"")</f>
        <v/>
      </c>
      <c r="R26" s="21" t="str">
        <f>IF(ISNUMBER('IAP data'!R26),('IAP data'!R26/'Des IAP AFR'!R26)-1,"")</f>
        <v/>
      </c>
      <c r="S26" s="21" t="str">
        <f>IF(ISNUMBER('IAP data'!S26),('IAP data'!S26/'Des IAP AFR'!S26)-1,"")</f>
        <v/>
      </c>
      <c r="T26" s="21" t="str">
        <f>IF(ISNUMBER('IAP data'!T26),('IAP data'!T26/'Des IAP AFR'!T26)-1,"")</f>
        <v/>
      </c>
      <c r="U26" s="21" t="str">
        <f>IF(ISNUMBER('IAP data'!U26),('IAP data'!U26/'Des IAP AFR'!U26)-1,"")</f>
        <v/>
      </c>
      <c r="V26" s="21" t="str">
        <f>IF(ISNUMBER('IAP data'!V26),('IAP data'!V26/'Des IAP AFR'!V26)-1,"")</f>
        <v/>
      </c>
    </row>
    <row r="27" spans="1:22" x14ac:dyDescent="0.25">
      <c r="A27" s="15">
        <v>6400</v>
      </c>
      <c r="B27" s="21" t="str">
        <f>IF(ISNUMBER('IAP data'!B27),('IAP data'!B27/'Des IAP AFR'!B27)-1,"")</f>
        <v/>
      </c>
      <c r="C27" s="21" t="str">
        <f>IF(ISNUMBER('IAP data'!C27),('IAP data'!C27/'Des IAP AFR'!C27)-1,"")</f>
        <v/>
      </c>
      <c r="D27" s="21" t="str">
        <f>IF(ISNUMBER('IAP data'!D27),('IAP data'!D27/'Des IAP AFR'!D27)-1,"")</f>
        <v/>
      </c>
      <c r="E27" s="21" t="str">
        <f>IF(ISNUMBER('IAP data'!E27),('IAP data'!E27/'Des IAP AFR'!E27)-1,"")</f>
        <v/>
      </c>
      <c r="F27" s="21" t="str">
        <f>IF(ISNUMBER('IAP data'!F27),('IAP data'!F27/'Des IAP AFR'!F27)-1,"")</f>
        <v/>
      </c>
      <c r="G27" s="21" t="str">
        <f>IF(ISNUMBER('IAP data'!G27),('IAP data'!G27/'Des IAP AFR'!G27)-1,"")</f>
        <v/>
      </c>
      <c r="H27" s="21" t="str">
        <f>IF(ISNUMBER('IAP data'!H27),('IAP data'!H27/'Des IAP AFR'!H27)-1,"")</f>
        <v/>
      </c>
      <c r="I27" s="21" t="str">
        <f>IF(ISNUMBER('IAP data'!I27),('IAP data'!I27/'Des IAP AFR'!I27)-1,"")</f>
        <v/>
      </c>
      <c r="J27" s="21" t="str">
        <f>IF(ISNUMBER('IAP data'!J27),('IAP data'!J27/'Des IAP AFR'!J27)-1,"")</f>
        <v/>
      </c>
      <c r="K27" s="21" t="str">
        <f>IF(ISNUMBER('IAP data'!K27),('IAP data'!K27/'Des IAP AFR'!K27)-1,"")</f>
        <v/>
      </c>
      <c r="L27" s="21" t="str">
        <f>IF(ISNUMBER('IAP data'!L27),('IAP data'!L27/'Des IAP AFR'!L27)-1,"")</f>
        <v/>
      </c>
      <c r="M27" s="21" t="str">
        <f>IF(ISNUMBER('IAP data'!M27),('IAP data'!M27/'Des IAP AFR'!M27)-1,"")</f>
        <v/>
      </c>
      <c r="N27" s="21" t="str">
        <f>IF(ISNUMBER('IAP data'!N27),('IAP data'!N27/'Des IAP AFR'!N27)-1,"")</f>
        <v/>
      </c>
      <c r="O27" s="21" t="str">
        <f>IF(ISNUMBER('IAP data'!O27),('IAP data'!O27/'Des IAP AFR'!O27)-1,"")</f>
        <v/>
      </c>
      <c r="P27" s="21" t="str">
        <f>IF(ISNUMBER('IAP data'!P27),('IAP data'!P27/'Des IAP AFR'!P27)-1,"")</f>
        <v/>
      </c>
      <c r="Q27" s="21" t="str">
        <f>IF(ISNUMBER('IAP data'!Q27),('IAP data'!Q27/'Des IAP AFR'!Q27)-1,"")</f>
        <v/>
      </c>
      <c r="R27" s="21" t="str">
        <f>IF(ISNUMBER('IAP data'!R27),('IAP data'!R27/'Des IAP AFR'!R27)-1,"")</f>
        <v/>
      </c>
      <c r="S27" s="21" t="str">
        <f>IF(ISNUMBER('IAP data'!S27),('IAP data'!S27/'Des IAP AFR'!S27)-1,"")</f>
        <v/>
      </c>
      <c r="T27" s="21" t="str">
        <f>IF(ISNUMBER('IAP data'!T27),('IAP data'!T27/'Des IAP AFR'!T27)-1,"")</f>
        <v/>
      </c>
      <c r="U27" s="21" t="str">
        <f>IF(ISNUMBER('IAP data'!U27),('IAP data'!U27/'Des IAP AFR'!U27)-1,"")</f>
        <v/>
      </c>
      <c r="V27" s="21" t="str">
        <f>IF(ISNUMBER('IAP data'!V27),('IAP data'!V27/'Des IAP AFR'!V27)-1,"")</f>
        <v/>
      </c>
    </row>
    <row r="28" spans="1:22" x14ac:dyDescent="0.25">
      <c r="A28" s="15">
        <v>6800</v>
      </c>
      <c r="B28" s="21" t="str">
        <f>IF(ISNUMBER('IAP data'!B28),('IAP data'!B28/'Des IAP AFR'!B28)-1,"")</f>
        <v/>
      </c>
      <c r="C28" s="21" t="str">
        <f>IF(ISNUMBER('IAP data'!C28),('IAP data'!C28/'Des IAP AFR'!C28)-1,"")</f>
        <v/>
      </c>
      <c r="D28" s="21" t="str">
        <f>IF(ISNUMBER('IAP data'!D28),('IAP data'!D28/'Des IAP AFR'!D28)-1,"")</f>
        <v/>
      </c>
      <c r="E28" s="21" t="str">
        <f>IF(ISNUMBER('IAP data'!E28),('IAP data'!E28/'Des IAP AFR'!E28)-1,"")</f>
        <v/>
      </c>
      <c r="F28" s="21" t="str">
        <f>IF(ISNUMBER('IAP data'!F28),('IAP data'!F28/'Des IAP AFR'!F28)-1,"")</f>
        <v/>
      </c>
      <c r="G28" s="21" t="str">
        <f>IF(ISNUMBER('IAP data'!G28),('IAP data'!G28/'Des IAP AFR'!G28)-1,"")</f>
        <v/>
      </c>
      <c r="H28" s="21" t="str">
        <f>IF(ISNUMBER('IAP data'!H28),('IAP data'!H28/'Des IAP AFR'!H28)-1,"")</f>
        <v/>
      </c>
      <c r="I28" s="21" t="str">
        <f>IF(ISNUMBER('IAP data'!I28),('IAP data'!I28/'Des IAP AFR'!I28)-1,"")</f>
        <v/>
      </c>
      <c r="J28" s="21" t="str">
        <f>IF(ISNUMBER('IAP data'!J28),('IAP data'!J28/'Des IAP AFR'!J28)-1,"")</f>
        <v/>
      </c>
      <c r="K28" s="21" t="str">
        <f>IF(ISNUMBER('IAP data'!K28),('IAP data'!K28/'Des IAP AFR'!K28)-1,"")</f>
        <v/>
      </c>
      <c r="L28" s="21" t="str">
        <f>IF(ISNUMBER('IAP data'!L28),('IAP data'!L28/'Des IAP AFR'!L28)-1,"")</f>
        <v/>
      </c>
      <c r="M28" s="21" t="str">
        <f>IF(ISNUMBER('IAP data'!M28),('IAP data'!M28/'Des IAP AFR'!M28)-1,"")</f>
        <v/>
      </c>
      <c r="N28" s="21" t="str">
        <f>IF(ISNUMBER('IAP data'!N28),('IAP data'!N28/'Des IAP AFR'!N28)-1,"")</f>
        <v/>
      </c>
      <c r="O28" s="21" t="str">
        <f>IF(ISNUMBER('IAP data'!O28),('IAP data'!O28/'Des IAP AFR'!O28)-1,"")</f>
        <v/>
      </c>
      <c r="P28" s="21" t="str">
        <f>IF(ISNUMBER('IAP data'!P28),('IAP data'!P28/'Des IAP AFR'!P28)-1,"")</f>
        <v/>
      </c>
      <c r="Q28" s="21" t="str">
        <f>IF(ISNUMBER('IAP data'!Q28),('IAP data'!Q28/'Des IAP AFR'!Q28)-1,"")</f>
        <v/>
      </c>
      <c r="R28" s="21" t="str">
        <f>IF(ISNUMBER('IAP data'!R28),('IAP data'!R28/'Des IAP AFR'!R28)-1,"")</f>
        <v/>
      </c>
      <c r="S28" s="21" t="str">
        <f>IF(ISNUMBER('IAP data'!S28),('IAP data'!S28/'Des IAP AFR'!S28)-1,"")</f>
        <v/>
      </c>
      <c r="T28" s="21" t="str">
        <f>IF(ISNUMBER('IAP data'!T28),('IAP data'!T28/'Des IAP AFR'!T28)-1,"")</f>
        <v/>
      </c>
      <c r="U28" s="21" t="str">
        <f>IF(ISNUMBER('IAP data'!U28),('IAP data'!U28/'Des IAP AFR'!U28)-1,"")</f>
        <v/>
      </c>
      <c r="V28" s="21" t="str">
        <f>IF(ISNUMBER('IAP data'!V28),('IAP data'!V28/'Des IAP AFR'!V28)-1,"")</f>
        <v/>
      </c>
    </row>
    <row r="29" spans="1:22" x14ac:dyDescent="0.25">
      <c r="A29" s="15">
        <v>7200</v>
      </c>
      <c r="B29" s="21" t="str">
        <f>IF(ISNUMBER('IAP data'!B29),('IAP data'!B29/'Des IAP AFR'!B29)-1,"")</f>
        <v/>
      </c>
      <c r="C29" s="21" t="str">
        <f>IF(ISNUMBER('IAP data'!C29),('IAP data'!C29/'Des IAP AFR'!C29)-1,"")</f>
        <v/>
      </c>
      <c r="D29" s="21" t="str">
        <f>IF(ISNUMBER('IAP data'!D29),('IAP data'!D29/'Des IAP AFR'!D29)-1,"")</f>
        <v/>
      </c>
      <c r="E29" s="21" t="str">
        <f>IF(ISNUMBER('IAP data'!E29),('IAP data'!E29/'Des IAP AFR'!E29)-1,"")</f>
        <v/>
      </c>
      <c r="F29" s="21" t="str">
        <f>IF(ISNUMBER('IAP data'!F29),('IAP data'!F29/'Des IAP AFR'!F29)-1,"")</f>
        <v/>
      </c>
      <c r="G29" s="21" t="str">
        <f>IF(ISNUMBER('IAP data'!G29),('IAP data'!G29/'Des IAP AFR'!G29)-1,"")</f>
        <v/>
      </c>
      <c r="H29" s="21" t="str">
        <f>IF(ISNUMBER('IAP data'!H29),('IAP data'!H29/'Des IAP AFR'!H29)-1,"")</f>
        <v/>
      </c>
      <c r="I29" s="21" t="str">
        <f>IF(ISNUMBER('IAP data'!I29),('IAP data'!I29/'Des IAP AFR'!I29)-1,"")</f>
        <v/>
      </c>
      <c r="J29" s="21" t="str">
        <f>IF(ISNUMBER('IAP data'!J29),('IAP data'!J29/'Des IAP AFR'!J29)-1,"")</f>
        <v/>
      </c>
      <c r="K29" s="21" t="str">
        <f>IF(ISNUMBER('IAP data'!K29),('IAP data'!K29/'Des IAP AFR'!K29)-1,"")</f>
        <v/>
      </c>
      <c r="L29" s="21" t="str">
        <f>IF(ISNUMBER('IAP data'!L29),('IAP data'!L29/'Des IAP AFR'!L29)-1,"")</f>
        <v/>
      </c>
      <c r="M29" s="21" t="str">
        <f>IF(ISNUMBER('IAP data'!M29),('IAP data'!M29/'Des IAP AFR'!M29)-1,"")</f>
        <v/>
      </c>
      <c r="N29" s="21" t="str">
        <f>IF(ISNUMBER('IAP data'!N29),('IAP data'!N29/'Des IAP AFR'!N29)-1,"")</f>
        <v/>
      </c>
      <c r="O29" s="21" t="str">
        <f>IF(ISNUMBER('IAP data'!O29),('IAP data'!O29/'Des IAP AFR'!O29)-1,"")</f>
        <v/>
      </c>
      <c r="P29" s="21" t="str">
        <f>IF(ISNUMBER('IAP data'!P29),('IAP data'!P29/'Des IAP AFR'!P29)-1,"")</f>
        <v/>
      </c>
      <c r="Q29" s="21" t="str">
        <f>IF(ISNUMBER('IAP data'!Q29),('IAP data'!Q29/'Des IAP AFR'!Q29)-1,"")</f>
        <v/>
      </c>
      <c r="R29" s="21" t="str">
        <f>IF(ISNUMBER('IAP data'!R29),('IAP data'!R29/'Des IAP AFR'!R29)-1,"")</f>
        <v/>
      </c>
      <c r="S29" s="21" t="str">
        <f>IF(ISNUMBER('IAP data'!S29),('IAP data'!S29/'Des IAP AFR'!S29)-1,"")</f>
        <v/>
      </c>
      <c r="T29" s="21" t="str">
        <f>IF(ISNUMBER('IAP data'!T29),('IAP data'!T29/'Des IAP AFR'!T29)-1,"")</f>
        <v/>
      </c>
      <c r="U29" s="21" t="str">
        <f>IF(ISNUMBER('IAP data'!U29),('IAP data'!U29/'Des IAP AFR'!U29)-1,"")</f>
        <v/>
      </c>
      <c r="V29" s="21" t="str">
        <f>IF(ISNUMBER('IAP data'!V29),('IAP data'!V29/'Des IAP AFR'!V29)-1,"")</f>
        <v/>
      </c>
    </row>
    <row r="30" spans="1:22" x14ac:dyDescent="0.25">
      <c r="A30" s="15">
        <v>7600</v>
      </c>
      <c r="B30" s="21" t="str">
        <f>IF(ISNUMBER('IAP data'!B30),('IAP data'!B30/'Des IAP AFR'!B30)-1,"")</f>
        <v/>
      </c>
      <c r="C30" s="21" t="str">
        <f>IF(ISNUMBER('IAP data'!C30),('IAP data'!C30/'Des IAP AFR'!C30)-1,"")</f>
        <v/>
      </c>
      <c r="D30" s="21" t="str">
        <f>IF(ISNUMBER('IAP data'!D30),('IAP data'!D30/'Des IAP AFR'!D30)-1,"")</f>
        <v/>
      </c>
      <c r="E30" s="21" t="str">
        <f>IF(ISNUMBER('IAP data'!E30),('IAP data'!E30/'Des IAP AFR'!E30)-1,"")</f>
        <v/>
      </c>
      <c r="F30" s="21" t="str">
        <f>IF(ISNUMBER('IAP data'!F30),('IAP data'!F30/'Des IAP AFR'!F30)-1,"")</f>
        <v/>
      </c>
      <c r="G30" s="21" t="str">
        <f>IF(ISNUMBER('IAP data'!G30),('IAP data'!G30/'Des IAP AFR'!G30)-1,"")</f>
        <v/>
      </c>
      <c r="H30" s="21" t="str">
        <f>IF(ISNUMBER('IAP data'!H30),('IAP data'!H30/'Des IAP AFR'!H30)-1,"")</f>
        <v/>
      </c>
      <c r="I30" s="21" t="str">
        <f>IF(ISNUMBER('IAP data'!I30),('IAP data'!I30/'Des IAP AFR'!I30)-1,"")</f>
        <v/>
      </c>
      <c r="J30" s="21" t="str">
        <f>IF(ISNUMBER('IAP data'!J30),('IAP data'!J30/'Des IAP AFR'!J30)-1,"")</f>
        <v/>
      </c>
      <c r="K30" s="21" t="str">
        <f>IF(ISNUMBER('IAP data'!K30),('IAP data'!K30/'Des IAP AFR'!K30)-1,"")</f>
        <v/>
      </c>
      <c r="L30" s="21" t="str">
        <f>IF(ISNUMBER('IAP data'!L30),('IAP data'!L30/'Des IAP AFR'!L30)-1,"")</f>
        <v/>
      </c>
      <c r="M30" s="21" t="str">
        <f>IF(ISNUMBER('IAP data'!M30),('IAP data'!M30/'Des IAP AFR'!M30)-1,"")</f>
        <v/>
      </c>
      <c r="N30" s="21" t="str">
        <f>IF(ISNUMBER('IAP data'!N30),('IAP data'!N30/'Des IAP AFR'!N30)-1,"")</f>
        <v/>
      </c>
      <c r="O30" s="21" t="str">
        <f>IF(ISNUMBER('IAP data'!O30),('IAP data'!O30/'Des IAP AFR'!O30)-1,"")</f>
        <v/>
      </c>
      <c r="P30" s="21" t="str">
        <f>IF(ISNUMBER('IAP data'!P30),('IAP data'!P30/'Des IAP AFR'!P30)-1,"")</f>
        <v/>
      </c>
      <c r="Q30" s="21" t="str">
        <f>IF(ISNUMBER('IAP data'!Q30),('IAP data'!Q30/'Des IAP AFR'!Q30)-1,"")</f>
        <v/>
      </c>
      <c r="R30" s="21" t="str">
        <f>IF(ISNUMBER('IAP data'!R30),('IAP data'!R30/'Des IAP AFR'!R30)-1,"")</f>
        <v/>
      </c>
      <c r="S30" s="21" t="str">
        <f>IF(ISNUMBER('IAP data'!S30),('IAP data'!S30/'Des IAP AFR'!S30)-1,"")</f>
        <v/>
      </c>
      <c r="T30" s="21" t="str">
        <f>IF(ISNUMBER('IAP data'!T30),('IAP data'!T30/'Des IAP AFR'!T30)-1,"")</f>
        <v/>
      </c>
      <c r="U30" s="21" t="str">
        <f>IF(ISNUMBER('IAP data'!U30),('IAP data'!U30/'Des IAP AFR'!U30)-1,"")</f>
        <v/>
      </c>
      <c r="V30" s="21" t="str">
        <f>IF(ISNUMBER('IAP data'!V30),('IAP data'!V30/'Des IAP AFR'!V30)-1,"")</f>
        <v/>
      </c>
    </row>
    <row r="31" spans="1:22" x14ac:dyDescent="0.25">
      <c r="A31" s="15">
        <v>8000</v>
      </c>
      <c r="B31" s="21" t="str">
        <f>IF(ISNUMBER('IAP data'!B31),('IAP data'!B31/'Des IAP AFR'!B31)-1,"")</f>
        <v/>
      </c>
      <c r="C31" s="21" t="str">
        <f>IF(ISNUMBER('IAP data'!C31),('IAP data'!C31/'Des IAP AFR'!C31)-1,"")</f>
        <v/>
      </c>
      <c r="D31" s="21" t="str">
        <f>IF(ISNUMBER('IAP data'!D31),('IAP data'!D31/'Des IAP AFR'!D31)-1,"")</f>
        <v/>
      </c>
      <c r="E31" s="21" t="str">
        <f>IF(ISNUMBER('IAP data'!E31),('IAP data'!E31/'Des IAP AFR'!E31)-1,"")</f>
        <v/>
      </c>
      <c r="F31" s="21" t="str">
        <f>IF(ISNUMBER('IAP data'!F31),('IAP data'!F31/'Des IAP AFR'!F31)-1,"")</f>
        <v/>
      </c>
      <c r="G31" s="21" t="str">
        <f>IF(ISNUMBER('IAP data'!G31),('IAP data'!G31/'Des IAP AFR'!G31)-1,"")</f>
        <v/>
      </c>
      <c r="H31" s="21" t="str">
        <f>IF(ISNUMBER('IAP data'!H31),('IAP data'!H31/'Des IAP AFR'!H31)-1,"")</f>
        <v/>
      </c>
      <c r="I31" s="21" t="str">
        <f>IF(ISNUMBER('IAP data'!I31),('IAP data'!I31/'Des IAP AFR'!I31)-1,"")</f>
        <v/>
      </c>
      <c r="J31" s="21" t="str">
        <f>IF(ISNUMBER('IAP data'!J31),('IAP data'!J31/'Des IAP AFR'!J31)-1,"")</f>
        <v/>
      </c>
      <c r="K31" s="21" t="str">
        <f>IF(ISNUMBER('IAP data'!K31),('IAP data'!K31/'Des IAP AFR'!K31)-1,"")</f>
        <v/>
      </c>
      <c r="L31" s="21" t="str">
        <f>IF(ISNUMBER('IAP data'!L31),('IAP data'!L31/'Des IAP AFR'!L31)-1,"")</f>
        <v/>
      </c>
      <c r="M31" s="21" t="str">
        <f>IF(ISNUMBER('IAP data'!M31),('IAP data'!M31/'Des IAP AFR'!M31)-1,"")</f>
        <v/>
      </c>
      <c r="N31" s="21" t="str">
        <f>IF(ISNUMBER('IAP data'!N31),('IAP data'!N31/'Des IAP AFR'!N31)-1,"")</f>
        <v/>
      </c>
      <c r="O31" s="21" t="str">
        <f>IF(ISNUMBER('IAP data'!O31),('IAP data'!O31/'Des IAP AFR'!O31)-1,"")</f>
        <v/>
      </c>
      <c r="P31" s="21" t="str">
        <f>IF(ISNUMBER('IAP data'!P31),('IAP data'!P31/'Des IAP AFR'!P31)-1,"")</f>
        <v/>
      </c>
      <c r="Q31" s="21" t="str">
        <f>IF(ISNUMBER('IAP data'!Q31),('IAP data'!Q31/'Des IAP AFR'!Q31)-1,"")</f>
        <v/>
      </c>
      <c r="R31" s="21" t="str">
        <f>IF(ISNUMBER('IAP data'!R31),('IAP data'!R31/'Des IAP AFR'!R31)-1,"")</f>
        <v/>
      </c>
      <c r="S31" s="21" t="str">
        <f>IF(ISNUMBER('IAP data'!S31),('IAP data'!S31/'Des IAP AFR'!S31)-1,"")</f>
        <v/>
      </c>
      <c r="T31" s="21" t="str">
        <f>IF(ISNUMBER('IAP data'!T31),('IAP data'!T31/'Des IAP AFR'!T31)-1,"")</f>
        <v/>
      </c>
      <c r="U31" s="21" t="str">
        <f>IF(ISNUMBER('IAP data'!U31),('IAP data'!U31/'Des IAP AFR'!U31)-1,"")</f>
        <v/>
      </c>
      <c r="V31" s="21" t="str">
        <f>IF(ISNUMBER('IAP data'!V31),('IAP data'!V31/'Des IAP AFR'!V31)-1,"")</f>
        <v/>
      </c>
    </row>
    <row r="32" spans="1:22" x14ac:dyDescent="0.25">
      <c r="A32" s="15">
        <v>8400</v>
      </c>
      <c r="B32" s="21" t="str">
        <f>IF(ISNUMBER('IAP data'!B32),('IAP data'!B32/'Des IAP AFR'!B32)-1,"")</f>
        <v/>
      </c>
      <c r="C32" s="21" t="str">
        <f>IF(ISNUMBER('IAP data'!C32),('IAP data'!C32/'Des IAP AFR'!C32)-1,"")</f>
        <v/>
      </c>
      <c r="D32" s="21" t="str">
        <f>IF(ISNUMBER('IAP data'!D32),('IAP data'!D32/'Des IAP AFR'!D32)-1,"")</f>
        <v/>
      </c>
      <c r="E32" s="21" t="str">
        <f>IF(ISNUMBER('IAP data'!E32),('IAP data'!E32/'Des IAP AFR'!E32)-1,"")</f>
        <v/>
      </c>
      <c r="F32" s="21" t="str">
        <f>IF(ISNUMBER('IAP data'!F32),('IAP data'!F32/'Des IAP AFR'!F32)-1,"")</f>
        <v/>
      </c>
      <c r="G32" s="21" t="str">
        <f>IF(ISNUMBER('IAP data'!G32),('IAP data'!G32/'Des IAP AFR'!G32)-1,"")</f>
        <v/>
      </c>
      <c r="H32" s="21" t="str">
        <f>IF(ISNUMBER('IAP data'!H32),('IAP data'!H32/'Des IAP AFR'!H32)-1,"")</f>
        <v/>
      </c>
      <c r="I32" s="21" t="str">
        <f>IF(ISNUMBER('IAP data'!I32),('IAP data'!I32/'Des IAP AFR'!I32)-1,"")</f>
        <v/>
      </c>
      <c r="J32" s="21" t="str">
        <f>IF(ISNUMBER('IAP data'!J32),('IAP data'!J32/'Des IAP AFR'!J32)-1,"")</f>
        <v/>
      </c>
      <c r="K32" s="21" t="str">
        <f>IF(ISNUMBER('IAP data'!K32),('IAP data'!K32/'Des IAP AFR'!K32)-1,"")</f>
        <v/>
      </c>
      <c r="L32" s="21" t="str">
        <f>IF(ISNUMBER('IAP data'!L32),('IAP data'!L32/'Des IAP AFR'!L32)-1,"")</f>
        <v/>
      </c>
      <c r="M32" s="21" t="str">
        <f>IF(ISNUMBER('IAP data'!M32),('IAP data'!M32/'Des IAP AFR'!M32)-1,"")</f>
        <v/>
      </c>
      <c r="N32" s="21" t="str">
        <f>IF(ISNUMBER('IAP data'!N32),('IAP data'!N32/'Des IAP AFR'!N32)-1,"")</f>
        <v/>
      </c>
      <c r="O32" s="21" t="str">
        <f>IF(ISNUMBER('IAP data'!O32),('IAP data'!O32/'Des IAP AFR'!O32)-1,"")</f>
        <v/>
      </c>
      <c r="P32" s="21" t="str">
        <f>IF(ISNUMBER('IAP data'!P32),('IAP data'!P32/'Des IAP AFR'!P32)-1,"")</f>
        <v/>
      </c>
      <c r="Q32" s="21" t="str">
        <f>IF(ISNUMBER('IAP data'!Q32),('IAP data'!Q32/'Des IAP AFR'!Q32)-1,"")</f>
        <v/>
      </c>
      <c r="R32" s="21" t="str">
        <f>IF(ISNUMBER('IAP data'!R32),('IAP data'!R32/'Des IAP AFR'!R32)-1,"")</f>
        <v/>
      </c>
      <c r="S32" s="21" t="str">
        <f>IF(ISNUMBER('IAP data'!S32),('IAP data'!S32/'Des IAP AFR'!S32)-1,"")</f>
        <v/>
      </c>
      <c r="T32" s="21" t="str">
        <f>IF(ISNUMBER('IAP data'!T32),('IAP data'!T32/'Des IAP AFR'!T32)-1,"")</f>
        <v/>
      </c>
      <c r="U32" s="21" t="str">
        <f>IF(ISNUMBER('IAP data'!U32),('IAP data'!U32/'Des IAP AFR'!U32)-1,"")</f>
        <v/>
      </c>
      <c r="V32" s="21" t="str">
        <f>IF(ISNUMBER('IAP data'!V32),('IAP data'!V32/'Des IAP AFR'!V32)-1,"")</f>
        <v/>
      </c>
    </row>
    <row r="33" spans="1:22" x14ac:dyDescent="0.25">
      <c r="A33" s="15">
        <v>8800</v>
      </c>
      <c r="B33" s="21" t="str">
        <f>IF(ISNUMBER('IAP data'!B33),('IAP data'!B33/'Des IAP AFR'!B33)-1,"")</f>
        <v/>
      </c>
      <c r="C33" s="21" t="str">
        <f>IF(ISNUMBER('IAP data'!C33),('IAP data'!C33/'Des IAP AFR'!C33)-1,"")</f>
        <v/>
      </c>
      <c r="D33" s="21" t="str">
        <f>IF(ISNUMBER('IAP data'!D33),('IAP data'!D33/'Des IAP AFR'!D33)-1,"")</f>
        <v/>
      </c>
      <c r="E33" s="21" t="str">
        <f>IF(ISNUMBER('IAP data'!E33),('IAP data'!E33/'Des IAP AFR'!E33)-1,"")</f>
        <v/>
      </c>
      <c r="F33" s="21" t="str">
        <f>IF(ISNUMBER('IAP data'!F33),('IAP data'!F33/'Des IAP AFR'!F33)-1,"")</f>
        <v/>
      </c>
      <c r="G33" s="21" t="str">
        <f>IF(ISNUMBER('IAP data'!G33),('IAP data'!G33/'Des IAP AFR'!G33)-1,"")</f>
        <v/>
      </c>
      <c r="H33" s="21" t="str">
        <f>IF(ISNUMBER('IAP data'!H33),('IAP data'!H33/'Des IAP AFR'!H33)-1,"")</f>
        <v/>
      </c>
      <c r="I33" s="21" t="str">
        <f>IF(ISNUMBER('IAP data'!I33),('IAP data'!I33/'Des IAP AFR'!I33)-1,"")</f>
        <v/>
      </c>
      <c r="J33" s="21" t="str">
        <f>IF(ISNUMBER('IAP data'!J33),('IAP data'!J33/'Des IAP AFR'!J33)-1,"")</f>
        <v/>
      </c>
      <c r="K33" s="21" t="str">
        <f>IF(ISNUMBER('IAP data'!K33),('IAP data'!K33/'Des IAP AFR'!K33)-1,"")</f>
        <v/>
      </c>
      <c r="L33" s="21" t="str">
        <f>IF(ISNUMBER('IAP data'!L33),('IAP data'!L33/'Des IAP AFR'!L33)-1,"")</f>
        <v/>
      </c>
      <c r="M33" s="21" t="str">
        <f>IF(ISNUMBER('IAP data'!M33),('IAP data'!M33/'Des IAP AFR'!M33)-1,"")</f>
        <v/>
      </c>
      <c r="N33" s="21" t="str">
        <f>IF(ISNUMBER('IAP data'!N33),('IAP data'!N33/'Des IAP AFR'!N33)-1,"")</f>
        <v/>
      </c>
      <c r="O33" s="21" t="str">
        <f>IF(ISNUMBER('IAP data'!O33),('IAP data'!O33/'Des IAP AFR'!O33)-1,"")</f>
        <v/>
      </c>
      <c r="P33" s="21" t="str">
        <f>IF(ISNUMBER('IAP data'!P33),('IAP data'!P33/'Des IAP AFR'!P33)-1,"")</f>
        <v/>
      </c>
      <c r="Q33" s="21" t="str">
        <f>IF(ISNUMBER('IAP data'!Q33),('IAP data'!Q33/'Des IAP AFR'!Q33)-1,"")</f>
        <v/>
      </c>
      <c r="R33" s="21" t="str">
        <f>IF(ISNUMBER('IAP data'!R33),('IAP data'!R33/'Des IAP AFR'!R33)-1,"")</f>
        <v/>
      </c>
      <c r="S33" s="21" t="str">
        <f>IF(ISNUMBER('IAP data'!S33),('IAP data'!S33/'Des IAP AFR'!S33)-1,"")</f>
        <v/>
      </c>
      <c r="T33" s="21" t="str">
        <f>IF(ISNUMBER('IAP data'!T33),('IAP data'!T33/'Des IAP AFR'!T33)-1,"")</f>
        <v/>
      </c>
      <c r="U33" s="21" t="str">
        <f>IF(ISNUMBER('IAP data'!U33),('IAP data'!U33/'Des IAP AFR'!U33)-1,"")</f>
        <v/>
      </c>
      <c r="V33" s="21" t="str">
        <f>IF(ISNUMBER('IAP data'!V33),('IAP data'!V33/'Des IAP AFR'!V33)-1,"")</f>
        <v/>
      </c>
    </row>
    <row r="34" spans="1:22" x14ac:dyDescent="0.25">
      <c r="A34" s="15">
        <v>9200</v>
      </c>
      <c r="B34" s="21" t="str">
        <f>IF(ISNUMBER('IAP data'!B34),('IAP data'!B34/'Des IAP AFR'!B34)-1,"")</f>
        <v/>
      </c>
      <c r="C34" s="21" t="str">
        <f>IF(ISNUMBER('IAP data'!C34),('IAP data'!C34/'Des IAP AFR'!C34)-1,"")</f>
        <v/>
      </c>
      <c r="D34" s="21" t="str">
        <f>IF(ISNUMBER('IAP data'!D34),('IAP data'!D34/'Des IAP AFR'!D34)-1,"")</f>
        <v/>
      </c>
      <c r="E34" s="21" t="str">
        <f>IF(ISNUMBER('IAP data'!E34),('IAP data'!E34/'Des IAP AFR'!E34)-1,"")</f>
        <v/>
      </c>
      <c r="F34" s="21" t="str">
        <f>IF(ISNUMBER('IAP data'!F34),('IAP data'!F34/'Des IAP AFR'!F34)-1,"")</f>
        <v/>
      </c>
      <c r="G34" s="21" t="str">
        <f>IF(ISNUMBER('IAP data'!G34),('IAP data'!G34/'Des IAP AFR'!G34)-1,"")</f>
        <v/>
      </c>
      <c r="H34" s="21" t="str">
        <f>IF(ISNUMBER('IAP data'!H34),('IAP data'!H34/'Des IAP AFR'!H34)-1,"")</f>
        <v/>
      </c>
      <c r="I34" s="21" t="str">
        <f>IF(ISNUMBER('IAP data'!I34),('IAP data'!I34/'Des IAP AFR'!I34)-1,"")</f>
        <v/>
      </c>
      <c r="J34" s="21" t="str">
        <f>IF(ISNUMBER('IAP data'!J34),('IAP data'!J34/'Des IAP AFR'!J34)-1,"")</f>
        <v/>
      </c>
      <c r="K34" s="21" t="str">
        <f>IF(ISNUMBER('IAP data'!K34),('IAP data'!K34/'Des IAP AFR'!K34)-1,"")</f>
        <v/>
      </c>
      <c r="L34" s="21" t="str">
        <f>IF(ISNUMBER('IAP data'!L34),('IAP data'!L34/'Des IAP AFR'!L34)-1,"")</f>
        <v/>
      </c>
      <c r="M34" s="21" t="str">
        <f>IF(ISNUMBER('IAP data'!M34),('IAP data'!M34/'Des IAP AFR'!M34)-1,"")</f>
        <v/>
      </c>
      <c r="N34" s="21" t="str">
        <f>IF(ISNUMBER('IAP data'!N34),('IAP data'!N34/'Des IAP AFR'!N34)-1,"")</f>
        <v/>
      </c>
      <c r="O34" s="21" t="str">
        <f>IF(ISNUMBER('IAP data'!O34),('IAP data'!O34/'Des IAP AFR'!O34)-1,"")</f>
        <v/>
      </c>
      <c r="P34" s="21" t="str">
        <f>IF(ISNUMBER('IAP data'!P34),('IAP data'!P34/'Des IAP AFR'!P34)-1,"")</f>
        <v/>
      </c>
      <c r="Q34" s="21" t="str">
        <f>IF(ISNUMBER('IAP data'!Q34),('IAP data'!Q34/'Des IAP AFR'!Q34)-1,"")</f>
        <v/>
      </c>
      <c r="R34" s="21" t="str">
        <f>IF(ISNUMBER('IAP data'!R34),('IAP data'!R34/'Des IAP AFR'!R34)-1,"")</f>
        <v/>
      </c>
      <c r="S34" s="21" t="str">
        <f>IF(ISNUMBER('IAP data'!S34),('IAP data'!S34/'Des IAP AFR'!S34)-1,"")</f>
        <v/>
      </c>
      <c r="T34" s="21" t="str">
        <f>IF(ISNUMBER('IAP data'!T34),('IAP data'!T34/'Des IAP AFR'!T34)-1,"")</f>
        <v/>
      </c>
      <c r="U34" s="21" t="str">
        <f>IF(ISNUMBER('IAP data'!U34),('IAP data'!U34/'Des IAP AFR'!U34)-1,"")</f>
        <v/>
      </c>
      <c r="V34" s="21" t="str">
        <f>IF(ISNUMBER('IAP data'!V34),('IAP data'!V34/'Des IAP AFR'!V34)-1,"")</f>
        <v/>
      </c>
    </row>
    <row r="35" spans="1:22" x14ac:dyDescent="0.25">
      <c r="A35" s="15">
        <v>9600</v>
      </c>
      <c r="B35" s="21" t="str">
        <f>IF(ISNUMBER('IAP data'!B35),('IAP data'!B35/'Des IAP AFR'!B35)-1,"")</f>
        <v/>
      </c>
      <c r="C35" s="21" t="str">
        <f>IF(ISNUMBER('IAP data'!C35),('IAP data'!C35/'Des IAP AFR'!C35)-1,"")</f>
        <v/>
      </c>
      <c r="D35" s="21" t="str">
        <f>IF(ISNUMBER('IAP data'!D35),('IAP data'!D35/'Des IAP AFR'!D35)-1,"")</f>
        <v/>
      </c>
      <c r="E35" s="21" t="str">
        <f>IF(ISNUMBER('IAP data'!E35),('IAP data'!E35/'Des IAP AFR'!E35)-1,"")</f>
        <v/>
      </c>
      <c r="F35" s="21" t="str">
        <f>IF(ISNUMBER('IAP data'!F35),('IAP data'!F35/'Des IAP AFR'!F35)-1,"")</f>
        <v/>
      </c>
      <c r="G35" s="21" t="str">
        <f>IF(ISNUMBER('IAP data'!G35),('IAP data'!G35/'Des IAP AFR'!G35)-1,"")</f>
        <v/>
      </c>
      <c r="H35" s="21" t="str">
        <f>IF(ISNUMBER('IAP data'!H35),('IAP data'!H35/'Des IAP AFR'!H35)-1,"")</f>
        <v/>
      </c>
      <c r="I35" s="21" t="str">
        <f>IF(ISNUMBER('IAP data'!I35),('IAP data'!I35/'Des IAP AFR'!I35)-1,"")</f>
        <v/>
      </c>
      <c r="J35" s="21" t="str">
        <f>IF(ISNUMBER('IAP data'!J35),('IAP data'!J35/'Des IAP AFR'!J35)-1,"")</f>
        <v/>
      </c>
      <c r="K35" s="21" t="str">
        <f>IF(ISNUMBER('IAP data'!K35),('IAP data'!K35/'Des IAP AFR'!K35)-1,"")</f>
        <v/>
      </c>
      <c r="L35" s="21" t="str">
        <f>IF(ISNUMBER('IAP data'!L35),('IAP data'!L35/'Des IAP AFR'!L35)-1,"")</f>
        <v/>
      </c>
      <c r="M35" s="21" t="str">
        <f>IF(ISNUMBER('IAP data'!M35),('IAP data'!M35/'Des IAP AFR'!M35)-1,"")</f>
        <v/>
      </c>
      <c r="N35" s="21" t="str">
        <f>IF(ISNUMBER('IAP data'!N35),('IAP data'!N35/'Des IAP AFR'!N35)-1,"")</f>
        <v/>
      </c>
      <c r="O35" s="21" t="str">
        <f>IF(ISNUMBER('IAP data'!O35),('IAP data'!O35/'Des IAP AFR'!O35)-1,"")</f>
        <v/>
      </c>
      <c r="P35" s="21" t="str">
        <f>IF(ISNUMBER('IAP data'!P35),('IAP data'!P35/'Des IAP AFR'!P35)-1,"")</f>
        <v/>
      </c>
      <c r="Q35" s="21" t="str">
        <f>IF(ISNUMBER('IAP data'!Q35),('IAP data'!Q35/'Des IAP AFR'!Q35)-1,"")</f>
        <v/>
      </c>
      <c r="R35" s="21" t="str">
        <f>IF(ISNUMBER('IAP data'!R35),('IAP data'!R35/'Des IAP AFR'!R35)-1,"")</f>
        <v/>
      </c>
      <c r="S35" s="21" t="str">
        <f>IF(ISNUMBER('IAP data'!S35),('IAP data'!S35/'Des IAP AFR'!S35)-1,"")</f>
        <v/>
      </c>
      <c r="T35" s="21" t="str">
        <f>IF(ISNUMBER('IAP data'!T35),('IAP data'!T35/'Des IAP AFR'!T35)-1,"")</f>
        <v/>
      </c>
      <c r="U35" s="21" t="str">
        <f>IF(ISNUMBER('IAP data'!U35),('IAP data'!U35/'Des IAP AFR'!U35)-1,"")</f>
        <v/>
      </c>
      <c r="V35" s="21" t="str">
        <f>IF(ISNUMBER('IAP data'!V35),('IAP data'!V35/'Des IAP AFR'!V35)-1,"")</f>
        <v/>
      </c>
    </row>
    <row r="36" spans="1:22" x14ac:dyDescent="0.25">
      <c r="A36" s="15">
        <v>10000</v>
      </c>
      <c r="B36" s="21" t="str">
        <f>IF(ISNUMBER('IAP data'!B36),('IAP data'!B36/'Des IAP AFR'!B36)-1,"")</f>
        <v/>
      </c>
      <c r="C36" s="21" t="str">
        <f>IF(ISNUMBER('IAP data'!C36),('IAP data'!C36/'Des IAP AFR'!C36)-1,"")</f>
        <v/>
      </c>
      <c r="D36" s="21" t="str">
        <f>IF(ISNUMBER('IAP data'!D36),('IAP data'!D36/'Des IAP AFR'!D36)-1,"")</f>
        <v/>
      </c>
      <c r="E36" s="21" t="str">
        <f>IF(ISNUMBER('IAP data'!E36),('IAP data'!E36/'Des IAP AFR'!E36)-1,"")</f>
        <v/>
      </c>
      <c r="F36" s="21" t="str">
        <f>IF(ISNUMBER('IAP data'!F36),('IAP data'!F36/'Des IAP AFR'!F36)-1,"")</f>
        <v/>
      </c>
      <c r="G36" s="21" t="str">
        <f>IF(ISNUMBER('IAP data'!G36),('IAP data'!G36/'Des IAP AFR'!G36)-1,"")</f>
        <v/>
      </c>
      <c r="H36" s="21" t="str">
        <f>IF(ISNUMBER('IAP data'!H36),('IAP data'!H36/'Des IAP AFR'!H36)-1,"")</f>
        <v/>
      </c>
      <c r="I36" s="21" t="str">
        <f>IF(ISNUMBER('IAP data'!I36),('IAP data'!I36/'Des IAP AFR'!I36)-1,"")</f>
        <v/>
      </c>
      <c r="J36" s="21" t="str">
        <f>IF(ISNUMBER('IAP data'!J36),('IAP data'!J36/'Des IAP AFR'!J36)-1,"")</f>
        <v/>
      </c>
      <c r="K36" s="21" t="str">
        <f>IF(ISNUMBER('IAP data'!K36),('IAP data'!K36/'Des IAP AFR'!K36)-1,"")</f>
        <v/>
      </c>
      <c r="L36" s="21" t="str">
        <f>IF(ISNUMBER('IAP data'!L36),('IAP data'!L36/'Des IAP AFR'!L36)-1,"")</f>
        <v/>
      </c>
      <c r="M36" s="21" t="str">
        <f>IF(ISNUMBER('IAP data'!M36),('IAP data'!M36/'Des IAP AFR'!M36)-1,"")</f>
        <v/>
      </c>
      <c r="N36" s="21" t="str">
        <f>IF(ISNUMBER('IAP data'!N36),('IAP data'!N36/'Des IAP AFR'!N36)-1,"")</f>
        <v/>
      </c>
      <c r="O36" s="21" t="str">
        <f>IF(ISNUMBER('IAP data'!O36),('IAP data'!O36/'Des IAP AFR'!O36)-1,"")</f>
        <v/>
      </c>
      <c r="P36" s="21" t="str">
        <f>IF(ISNUMBER('IAP data'!P36),('IAP data'!P36/'Des IAP AFR'!P36)-1,"")</f>
        <v/>
      </c>
      <c r="Q36" s="21" t="str">
        <f>IF(ISNUMBER('IAP data'!Q36),('IAP data'!Q36/'Des IAP AFR'!Q36)-1,"")</f>
        <v/>
      </c>
      <c r="R36" s="21" t="str">
        <f>IF(ISNUMBER('IAP data'!R36),('IAP data'!R36/'Des IAP AFR'!R36)-1,"")</f>
        <v/>
      </c>
      <c r="S36" s="21" t="str">
        <f>IF(ISNUMBER('IAP data'!S36),('IAP data'!S36/'Des IAP AFR'!S36)-1,"")</f>
        <v/>
      </c>
      <c r="T36" s="21" t="str">
        <f>IF(ISNUMBER('IAP data'!T36),('IAP data'!T36/'Des IAP AFR'!T36)-1,"")</f>
        <v/>
      </c>
      <c r="U36" s="21" t="str">
        <f>IF(ISNUMBER('IAP data'!U36),('IAP data'!U36/'Des IAP AFR'!U36)-1,"")</f>
        <v/>
      </c>
      <c r="V36" s="21" t="str">
        <f>IF(ISNUMBER('IAP data'!V36),('IAP data'!V36/'Des IAP AFR'!V36)-1,"")</f>
        <v/>
      </c>
    </row>
    <row r="37" spans="1:22" x14ac:dyDescent="0.25">
      <c r="A37" s="15">
        <v>10400</v>
      </c>
      <c r="B37" s="21" t="str">
        <f>IF(ISNUMBER('IAP data'!B37),('IAP data'!B37/'Des IAP AFR'!B37)-1,"")</f>
        <v/>
      </c>
      <c r="C37" s="21" t="str">
        <f>IF(ISNUMBER('IAP data'!C37),('IAP data'!C37/'Des IAP AFR'!C37)-1,"")</f>
        <v/>
      </c>
      <c r="D37" s="21" t="str">
        <f>IF(ISNUMBER('IAP data'!D37),('IAP data'!D37/'Des IAP AFR'!D37)-1,"")</f>
        <v/>
      </c>
      <c r="E37" s="21" t="str">
        <f>IF(ISNUMBER('IAP data'!E37),('IAP data'!E37/'Des IAP AFR'!E37)-1,"")</f>
        <v/>
      </c>
      <c r="F37" s="21" t="str">
        <f>IF(ISNUMBER('IAP data'!F37),('IAP data'!F37/'Des IAP AFR'!F37)-1,"")</f>
        <v/>
      </c>
      <c r="G37" s="21" t="str">
        <f>IF(ISNUMBER('IAP data'!G37),('IAP data'!G37/'Des IAP AFR'!G37)-1,"")</f>
        <v/>
      </c>
      <c r="H37" s="21" t="str">
        <f>IF(ISNUMBER('IAP data'!H37),('IAP data'!H37/'Des IAP AFR'!H37)-1,"")</f>
        <v/>
      </c>
      <c r="I37" s="21" t="str">
        <f>IF(ISNUMBER('IAP data'!I37),('IAP data'!I37/'Des IAP AFR'!I37)-1,"")</f>
        <v/>
      </c>
      <c r="J37" s="21" t="str">
        <f>IF(ISNUMBER('IAP data'!J37),('IAP data'!J37/'Des IAP AFR'!J37)-1,"")</f>
        <v/>
      </c>
      <c r="K37" s="21" t="str">
        <f>IF(ISNUMBER('IAP data'!K37),('IAP data'!K37/'Des IAP AFR'!K37)-1,"")</f>
        <v/>
      </c>
      <c r="L37" s="21" t="str">
        <f>IF(ISNUMBER('IAP data'!L37),('IAP data'!L37/'Des IAP AFR'!L37)-1,"")</f>
        <v/>
      </c>
      <c r="M37" s="21" t="str">
        <f>IF(ISNUMBER('IAP data'!M37),('IAP data'!M37/'Des IAP AFR'!M37)-1,"")</f>
        <v/>
      </c>
      <c r="N37" s="21" t="str">
        <f>IF(ISNUMBER('IAP data'!N37),('IAP data'!N37/'Des IAP AFR'!N37)-1,"")</f>
        <v/>
      </c>
      <c r="O37" s="21" t="str">
        <f>IF(ISNUMBER('IAP data'!O37),('IAP data'!O37/'Des IAP AFR'!O37)-1,"")</f>
        <v/>
      </c>
      <c r="P37" s="21" t="str">
        <f>IF(ISNUMBER('IAP data'!P37),('IAP data'!P37/'Des IAP AFR'!P37)-1,"")</f>
        <v/>
      </c>
      <c r="Q37" s="21" t="str">
        <f>IF(ISNUMBER('IAP data'!Q37),('IAP data'!Q37/'Des IAP AFR'!Q37)-1,"")</f>
        <v/>
      </c>
      <c r="R37" s="21" t="str">
        <f>IF(ISNUMBER('IAP data'!R37),('IAP data'!R37/'Des IAP AFR'!R37)-1,"")</f>
        <v/>
      </c>
      <c r="S37" s="21" t="str">
        <f>IF(ISNUMBER('IAP data'!S37),('IAP data'!S37/'Des IAP AFR'!S37)-1,"")</f>
        <v/>
      </c>
      <c r="T37" s="21" t="str">
        <f>IF(ISNUMBER('IAP data'!T37),('IAP data'!T37/'Des IAP AFR'!T37)-1,"")</f>
        <v/>
      </c>
      <c r="U37" s="21" t="str">
        <f>IF(ISNUMBER('IAP data'!U37),('IAP data'!U37/'Des IAP AFR'!U37)-1,"")</f>
        <v/>
      </c>
      <c r="V37" s="21" t="str">
        <f>IF(ISNUMBER('IAP data'!V37),('IAP data'!V37/'Des IAP AFR'!V37)-1,"")</f>
        <v/>
      </c>
    </row>
    <row r="38" spans="1:22" x14ac:dyDescent="0.25">
      <c r="A38" s="15">
        <v>10800</v>
      </c>
      <c r="B38" s="21" t="str">
        <f>IF(ISNUMBER('IAP data'!B38),('IAP data'!B38/'Des IAP AFR'!B38)-1,"")</f>
        <v/>
      </c>
      <c r="C38" s="21" t="str">
        <f>IF(ISNUMBER('IAP data'!C38),('IAP data'!C38/'Des IAP AFR'!C38)-1,"")</f>
        <v/>
      </c>
      <c r="D38" s="21" t="str">
        <f>IF(ISNUMBER('IAP data'!D38),('IAP data'!D38/'Des IAP AFR'!D38)-1,"")</f>
        <v/>
      </c>
      <c r="E38" s="21" t="str">
        <f>IF(ISNUMBER('IAP data'!E38),('IAP data'!E38/'Des IAP AFR'!E38)-1,"")</f>
        <v/>
      </c>
      <c r="F38" s="21" t="str">
        <f>IF(ISNUMBER('IAP data'!F38),('IAP data'!F38/'Des IAP AFR'!F38)-1,"")</f>
        <v/>
      </c>
      <c r="G38" s="21" t="str">
        <f>IF(ISNUMBER('IAP data'!G38),('IAP data'!G38/'Des IAP AFR'!G38)-1,"")</f>
        <v/>
      </c>
      <c r="H38" s="21" t="str">
        <f>IF(ISNUMBER('IAP data'!H38),('IAP data'!H38/'Des IAP AFR'!H38)-1,"")</f>
        <v/>
      </c>
      <c r="I38" s="21" t="str">
        <f>IF(ISNUMBER('IAP data'!I38),('IAP data'!I38/'Des IAP AFR'!I38)-1,"")</f>
        <v/>
      </c>
      <c r="J38" s="21" t="str">
        <f>IF(ISNUMBER('IAP data'!J38),('IAP data'!J38/'Des IAP AFR'!J38)-1,"")</f>
        <v/>
      </c>
      <c r="K38" s="21" t="str">
        <f>IF(ISNUMBER('IAP data'!K38),('IAP data'!K38/'Des IAP AFR'!K38)-1,"")</f>
        <v/>
      </c>
      <c r="L38" s="21" t="str">
        <f>IF(ISNUMBER('IAP data'!L38),('IAP data'!L38/'Des IAP AFR'!L38)-1,"")</f>
        <v/>
      </c>
      <c r="M38" s="21" t="str">
        <f>IF(ISNUMBER('IAP data'!M38),('IAP data'!M38/'Des IAP AFR'!M38)-1,"")</f>
        <v/>
      </c>
      <c r="N38" s="21" t="str">
        <f>IF(ISNUMBER('IAP data'!N38),('IAP data'!N38/'Des IAP AFR'!N38)-1,"")</f>
        <v/>
      </c>
      <c r="O38" s="21" t="str">
        <f>IF(ISNUMBER('IAP data'!O38),('IAP data'!O38/'Des IAP AFR'!O38)-1,"")</f>
        <v/>
      </c>
      <c r="P38" s="21" t="str">
        <f>IF(ISNUMBER('IAP data'!P38),('IAP data'!P38/'Des IAP AFR'!P38)-1,"")</f>
        <v/>
      </c>
      <c r="Q38" s="21" t="str">
        <f>IF(ISNUMBER('IAP data'!Q38),('IAP data'!Q38/'Des IAP AFR'!Q38)-1,"")</f>
        <v/>
      </c>
      <c r="R38" s="21" t="str">
        <f>IF(ISNUMBER('IAP data'!R38),('IAP data'!R38/'Des IAP AFR'!R38)-1,"")</f>
        <v/>
      </c>
      <c r="S38" s="21" t="str">
        <f>IF(ISNUMBER('IAP data'!S38),('IAP data'!S38/'Des IAP AFR'!S38)-1,"")</f>
        <v/>
      </c>
      <c r="T38" s="21" t="str">
        <f>IF(ISNUMBER('IAP data'!T38),('IAP data'!T38/'Des IAP AFR'!T38)-1,"")</f>
        <v/>
      </c>
      <c r="U38" s="21" t="str">
        <f>IF(ISNUMBER('IAP data'!U38),('IAP data'!U38/'Des IAP AFR'!U38)-1,"")</f>
        <v/>
      </c>
      <c r="V38" s="21" t="str">
        <f>IF(ISNUMBER('IAP data'!V38),('IAP data'!V38/'Des IAP AFR'!V38)-1,"")</f>
        <v/>
      </c>
    </row>
    <row r="39" spans="1:22" x14ac:dyDescent="0.25">
      <c r="A39" s="15">
        <v>11200</v>
      </c>
      <c r="B39" s="21" t="str">
        <f>IF(ISNUMBER('IAP data'!B39),('IAP data'!B39/'Des IAP AFR'!B39)-1,"")</f>
        <v/>
      </c>
      <c r="C39" s="21" t="str">
        <f>IF(ISNUMBER('IAP data'!C39),('IAP data'!C39/'Des IAP AFR'!C39)-1,"")</f>
        <v/>
      </c>
      <c r="D39" s="21" t="str">
        <f>IF(ISNUMBER('IAP data'!D39),('IAP data'!D39/'Des IAP AFR'!D39)-1,"")</f>
        <v/>
      </c>
      <c r="E39" s="21" t="str">
        <f>IF(ISNUMBER('IAP data'!E39),('IAP data'!E39/'Des IAP AFR'!E39)-1,"")</f>
        <v/>
      </c>
      <c r="F39" s="21" t="str">
        <f>IF(ISNUMBER('IAP data'!F39),('IAP data'!F39/'Des IAP AFR'!F39)-1,"")</f>
        <v/>
      </c>
      <c r="G39" s="21" t="str">
        <f>IF(ISNUMBER('IAP data'!G39),('IAP data'!G39/'Des IAP AFR'!G39)-1,"")</f>
        <v/>
      </c>
      <c r="H39" s="21" t="str">
        <f>IF(ISNUMBER('IAP data'!H39),('IAP data'!H39/'Des IAP AFR'!H39)-1,"")</f>
        <v/>
      </c>
      <c r="I39" s="21" t="str">
        <f>IF(ISNUMBER('IAP data'!I39),('IAP data'!I39/'Des IAP AFR'!I39)-1,"")</f>
        <v/>
      </c>
      <c r="J39" s="21" t="str">
        <f>IF(ISNUMBER('IAP data'!J39),('IAP data'!J39/'Des IAP AFR'!J39)-1,"")</f>
        <v/>
      </c>
      <c r="K39" s="21" t="str">
        <f>IF(ISNUMBER('IAP data'!K39),('IAP data'!K39/'Des IAP AFR'!K39)-1,"")</f>
        <v/>
      </c>
      <c r="L39" s="21" t="str">
        <f>IF(ISNUMBER('IAP data'!L39),('IAP data'!L39/'Des IAP AFR'!L39)-1,"")</f>
        <v/>
      </c>
      <c r="M39" s="21" t="str">
        <f>IF(ISNUMBER('IAP data'!M39),('IAP data'!M39/'Des IAP AFR'!M39)-1,"")</f>
        <v/>
      </c>
      <c r="N39" s="21" t="str">
        <f>IF(ISNUMBER('IAP data'!N39),('IAP data'!N39/'Des IAP AFR'!N39)-1,"")</f>
        <v/>
      </c>
      <c r="O39" s="21" t="str">
        <f>IF(ISNUMBER('IAP data'!O39),('IAP data'!O39/'Des IAP AFR'!O39)-1,"")</f>
        <v/>
      </c>
      <c r="P39" s="21" t="str">
        <f>IF(ISNUMBER('IAP data'!P39),('IAP data'!P39/'Des IAP AFR'!P39)-1,"")</f>
        <v/>
      </c>
      <c r="Q39" s="21" t="str">
        <f>IF(ISNUMBER('IAP data'!Q39),('IAP data'!Q39/'Des IAP AFR'!Q39)-1,"")</f>
        <v/>
      </c>
      <c r="R39" s="21" t="str">
        <f>IF(ISNUMBER('IAP data'!R39),('IAP data'!R39/'Des IAP AFR'!R39)-1,"")</f>
        <v/>
      </c>
      <c r="S39" s="21" t="str">
        <f>IF(ISNUMBER('IAP data'!S39),('IAP data'!S39/'Des IAP AFR'!S39)-1,"")</f>
        <v/>
      </c>
      <c r="T39" s="21" t="str">
        <f>IF(ISNUMBER('IAP data'!T39),('IAP data'!T39/'Des IAP AFR'!T39)-1,"")</f>
        <v/>
      </c>
      <c r="U39" s="21" t="str">
        <f>IF(ISNUMBER('IAP data'!U39),('IAP data'!U39/'Des IAP AFR'!U39)-1,"")</f>
        <v/>
      </c>
      <c r="V39" s="21" t="str">
        <f>IF(ISNUMBER('IAP data'!V39),('IAP data'!V39/'Des IAP AFR'!V39)-1,"")</f>
        <v/>
      </c>
    </row>
    <row r="40" spans="1:22" x14ac:dyDescent="0.25">
      <c r="A40" s="15">
        <v>11600</v>
      </c>
      <c r="B40" s="21" t="str">
        <f>IF(ISNUMBER('IAP data'!B40),('IAP data'!B40/'Des IAP AFR'!B40)-1,"")</f>
        <v/>
      </c>
      <c r="C40" s="21" t="str">
        <f>IF(ISNUMBER('IAP data'!C40),('IAP data'!C40/'Des IAP AFR'!C40)-1,"")</f>
        <v/>
      </c>
      <c r="D40" s="21" t="str">
        <f>IF(ISNUMBER('IAP data'!D40),('IAP data'!D40/'Des IAP AFR'!D40)-1,"")</f>
        <v/>
      </c>
      <c r="E40" s="21" t="str">
        <f>IF(ISNUMBER('IAP data'!E40),('IAP data'!E40/'Des IAP AFR'!E40)-1,"")</f>
        <v/>
      </c>
      <c r="F40" s="21" t="str">
        <f>IF(ISNUMBER('IAP data'!F40),('IAP data'!F40/'Des IAP AFR'!F40)-1,"")</f>
        <v/>
      </c>
      <c r="G40" s="21" t="str">
        <f>IF(ISNUMBER('IAP data'!G40),('IAP data'!G40/'Des IAP AFR'!G40)-1,"")</f>
        <v/>
      </c>
      <c r="H40" s="21" t="str">
        <f>IF(ISNUMBER('IAP data'!H40),('IAP data'!H40/'Des IAP AFR'!H40)-1,"")</f>
        <v/>
      </c>
      <c r="I40" s="21" t="str">
        <f>IF(ISNUMBER('IAP data'!I40),('IAP data'!I40/'Des IAP AFR'!I40)-1,"")</f>
        <v/>
      </c>
      <c r="J40" s="21" t="str">
        <f>IF(ISNUMBER('IAP data'!J40),('IAP data'!J40/'Des IAP AFR'!J40)-1,"")</f>
        <v/>
      </c>
      <c r="K40" s="21" t="str">
        <f>IF(ISNUMBER('IAP data'!K40),('IAP data'!K40/'Des IAP AFR'!K40)-1,"")</f>
        <v/>
      </c>
      <c r="L40" s="21" t="str">
        <f>IF(ISNUMBER('IAP data'!L40),('IAP data'!L40/'Des IAP AFR'!L40)-1,"")</f>
        <v/>
      </c>
      <c r="M40" s="21" t="str">
        <f>IF(ISNUMBER('IAP data'!M40),('IAP data'!M40/'Des IAP AFR'!M40)-1,"")</f>
        <v/>
      </c>
      <c r="N40" s="21" t="str">
        <f>IF(ISNUMBER('IAP data'!N40),('IAP data'!N40/'Des IAP AFR'!N40)-1,"")</f>
        <v/>
      </c>
      <c r="O40" s="21" t="str">
        <f>IF(ISNUMBER('IAP data'!O40),('IAP data'!O40/'Des IAP AFR'!O40)-1,"")</f>
        <v/>
      </c>
      <c r="P40" s="21" t="str">
        <f>IF(ISNUMBER('IAP data'!P40),('IAP data'!P40/'Des IAP AFR'!P40)-1,"")</f>
        <v/>
      </c>
      <c r="Q40" s="21" t="str">
        <f>IF(ISNUMBER('IAP data'!Q40),('IAP data'!Q40/'Des IAP AFR'!Q40)-1,"")</f>
        <v/>
      </c>
      <c r="R40" s="21" t="str">
        <f>IF(ISNUMBER('IAP data'!R40),('IAP data'!R40/'Des IAP AFR'!R40)-1,"")</f>
        <v/>
      </c>
      <c r="S40" s="21" t="str">
        <f>IF(ISNUMBER('IAP data'!S40),('IAP data'!S40/'Des IAP AFR'!S40)-1,"")</f>
        <v/>
      </c>
      <c r="T40" s="21" t="str">
        <f>IF(ISNUMBER('IAP data'!T40),('IAP data'!T40/'Des IAP AFR'!T40)-1,"")</f>
        <v/>
      </c>
      <c r="U40" s="21" t="str">
        <f>IF(ISNUMBER('IAP data'!U40),('IAP data'!U40/'Des IAP AFR'!U40)-1,"")</f>
        <v/>
      </c>
      <c r="V40" s="21" t="str">
        <f>IF(ISNUMBER('IAP data'!V40),('IAP data'!V40/'Des IAP AFR'!V40)-1,"")</f>
        <v/>
      </c>
    </row>
    <row r="41" spans="1:22" x14ac:dyDescent="0.25">
      <c r="A41" s="15">
        <v>12000</v>
      </c>
      <c r="B41" s="21" t="str">
        <f>IF(ISNUMBER('IAP data'!B41),('IAP data'!B41/'Des IAP AFR'!B41)-1,"")</f>
        <v/>
      </c>
      <c r="C41" s="21" t="str">
        <f>IF(ISNUMBER('IAP data'!C41),('IAP data'!C41/'Des IAP AFR'!C41)-1,"")</f>
        <v/>
      </c>
      <c r="D41" s="21" t="str">
        <f>IF(ISNUMBER('IAP data'!D41),('IAP data'!D41/'Des IAP AFR'!D41)-1,"")</f>
        <v/>
      </c>
      <c r="E41" s="21" t="str">
        <f>IF(ISNUMBER('IAP data'!E41),('IAP data'!E41/'Des IAP AFR'!E41)-1,"")</f>
        <v/>
      </c>
      <c r="F41" s="21" t="str">
        <f>IF(ISNUMBER('IAP data'!F41),('IAP data'!F41/'Des IAP AFR'!F41)-1,"")</f>
        <v/>
      </c>
      <c r="G41" s="21" t="str">
        <f>IF(ISNUMBER('IAP data'!G41),('IAP data'!G41/'Des IAP AFR'!G41)-1,"")</f>
        <v/>
      </c>
      <c r="H41" s="21" t="str">
        <f>IF(ISNUMBER('IAP data'!H41),('IAP data'!H41/'Des IAP AFR'!H41)-1,"")</f>
        <v/>
      </c>
      <c r="I41" s="21" t="str">
        <f>IF(ISNUMBER('IAP data'!I41),('IAP data'!I41/'Des IAP AFR'!I41)-1,"")</f>
        <v/>
      </c>
      <c r="J41" s="21" t="str">
        <f>IF(ISNUMBER('IAP data'!J41),('IAP data'!J41/'Des IAP AFR'!J41)-1,"")</f>
        <v/>
      </c>
      <c r="K41" s="21" t="str">
        <f>IF(ISNUMBER('IAP data'!K41),('IAP data'!K41/'Des IAP AFR'!K41)-1,"")</f>
        <v/>
      </c>
      <c r="L41" s="21" t="str">
        <f>IF(ISNUMBER('IAP data'!L41),('IAP data'!L41/'Des IAP AFR'!L41)-1,"")</f>
        <v/>
      </c>
      <c r="M41" s="21" t="str">
        <f>IF(ISNUMBER('IAP data'!M41),('IAP data'!M41/'Des IAP AFR'!M41)-1,"")</f>
        <v/>
      </c>
      <c r="N41" s="21" t="str">
        <f>IF(ISNUMBER('IAP data'!N41),('IAP data'!N41/'Des IAP AFR'!N41)-1,"")</f>
        <v/>
      </c>
      <c r="O41" s="21" t="str">
        <f>IF(ISNUMBER('IAP data'!O41),('IAP data'!O41/'Des IAP AFR'!O41)-1,"")</f>
        <v/>
      </c>
      <c r="P41" s="21" t="str">
        <f>IF(ISNUMBER('IAP data'!P41),('IAP data'!P41/'Des IAP AFR'!P41)-1,"")</f>
        <v/>
      </c>
      <c r="Q41" s="21" t="str">
        <f>IF(ISNUMBER('IAP data'!Q41),('IAP data'!Q41/'Des IAP AFR'!Q41)-1,"")</f>
        <v/>
      </c>
      <c r="R41" s="21" t="str">
        <f>IF(ISNUMBER('IAP data'!R41),('IAP data'!R41/'Des IAP AFR'!R41)-1,"")</f>
        <v/>
      </c>
      <c r="S41" s="21" t="str">
        <f>IF(ISNUMBER('IAP data'!S41),('IAP data'!S41/'Des IAP AFR'!S41)-1,"")</f>
        <v/>
      </c>
      <c r="T41" s="21" t="str">
        <f>IF(ISNUMBER('IAP data'!T41),('IAP data'!T41/'Des IAP AFR'!T41)-1,"")</f>
        <v/>
      </c>
      <c r="U41" s="21" t="str">
        <f>IF(ISNUMBER('IAP data'!U41),('IAP data'!U41/'Des IAP AFR'!U41)-1,"")</f>
        <v/>
      </c>
      <c r="V41" s="21" t="str">
        <f>IF(ISNUMBER('IAP data'!V41),('IAP data'!V41/'Des IAP AFR'!V41)-1,"")</f>
        <v/>
      </c>
    </row>
    <row r="42" spans="1:22" x14ac:dyDescent="0.25">
      <c r="A42" s="15">
        <v>12400</v>
      </c>
      <c r="B42" s="21" t="str">
        <f>IF(ISNUMBER('IAP data'!B42),('IAP data'!B42/'Des IAP AFR'!B42)-1,"")</f>
        <v/>
      </c>
      <c r="C42" s="21" t="str">
        <f>IF(ISNUMBER('IAP data'!C42),('IAP data'!C42/'Des IAP AFR'!C42)-1,"")</f>
        <v/>
      </c>
      <c r="D42" s="21" t="str">
        <f>IF(ISNUMBER('IAP data'!D42),('IAP data'!D42/'Des IAP AFR'!D42)-1,"")</f>
        <v/>
      </c>
      <c r="E42" s="21" t="str">
        <f>IF(ISNUMBER('IAP data'!E42),('IAP data'!E42/'Des IAP AFR'!E42)-1,"")</f>
        <v/>
      </c>
      <c r="F42" s="21" t="str">
        <f>IF(ISNUMBER('IAP data'!F42),('IAP data'!F42/'Des IAP AFR'!F42)-1,"")</f>
        <v/>
      </c>
      <c r="G42" s="21" t="str">
        <f>IF(ISNUMBER('IAP data'!G42),('IAP data'!G42/'Des IAP AFR'!G42)-1,"")</f>
        <v/>
      </c>
      <c r="H42" s="21" t="str">
        <f>IF(ISNUMBER('IAP data'!H42),('IAP data'!H42/'Des IAP AFR'!H42)-1,"")</f>
        <v/>
      </c>
      <c r="I42" s="21" t="str">
        <f>IF(ISNUMBER('IAP data'!I42),('IAP data'!I42/'Des IAP AFR'!I42)-1,"")</f>
        <v/>
      </c>
      <c r="J42" s="21" t="str">
        <f>IF(ISNUMBER('IAP data'!J42),('IAP data'!J42/'Des IAP AFR'!J42)-1,"")</f>
        <v/>
      </c>
      <c r="K42" s="21" t="str">
        <f>IF(ISNUMBER('IAP data'!K42),('IAP data'!K42/'Des IAP AFR'!K42)-1,"")</f>
        <v/>
      </c>
      <c r="L42" s="21" t="str">
        <f>IF(ISNUMBER('IAP data'!L42),('IAP data'!L42/'Des IAP AFR'!L42)-1,"")</f>
        <v/>
      </c>
      <c r="M42" s="21" t="str">
        <f>IF(ISNUMBER('IAP data'!M42),('IAP data'!M42/'Des IAP AFR'!M42)-1,"")</f>
        <v/>
      </c>
      <c r="N42" s="21" t="str">
        <f>IF(ISNUMBER('IAP data'!N42),('IAP data'!N42/'Des IAP AFR'!N42)-1,"")</f>
        <v/>
      </c>
      <c r="O42" s="21" t="str">
        <f>IF(ISNUMBER('IAP data'!O42),('IAP data'!O42/'Des IAP AFR'!O42)-1,"")</f>
        <v/>
      </c>
      <c r="P42" s="21" t="str">
        <f>IF(ISNUMBER('IAP data'!P42),('IAP data'!P42/'Des IAP AFR'!P42)-1,"")</f>
        <v/>
      </c>
      <c r="Q42" s="21" t="str">
        <f>IF(ISNUMBER('IAP data'!Q42),('IAP data'!Q42/'Des IAP AFR'!Q42)-1,"")</f>
        <v/>
      </c>
      <c r="R42" s="21" t="str">
        <f>IF(ISNUMBER('IAP data'!R42),('IAP data'!R42/'Des IAP AFR'!R42)-1,"")</f>
        <v/>
      </c>
      <c r="S42" s="21" t="str">
        <f>IF(ISNUMBER('IAP data'!S42),('IAP data'!S42/'Des IAP AFR'!S42)-1,"")</f>
        <v/>
      </c>
      <c r="T42" s="21" t="str">
        <f>IF(ISNUMBER('IAP data'!T42),('IAP data'!T42/'Des IAP AFR'!T42)-1,"")</f>
        <v/>
      </c>
      <c r="U42" s="21" t="str">
        <f>IF(ISNUMBER('IAP data'!U42),('IAP data'!U42/'Des IAP AFR'!U42)-1,"")</f>
        <v/>
      </c>
      <c r="V42" s="21" t="str">
        <f>IF(ISNUMBER('IAP data'!V42),('IAP data'!V42/'Des IAP AFR'!V42)-1,"")</f>
        <v/>
      </c>
    </row>
    <row r="43" spans="1:22" ht="13.8" thickBot="1" x14ac:dyDescent="0.3">
      <c r="A43" s="16">
        <v>12800</v>
      </c>
      <c r="B43" s="21" t="str">
        <f>IF(ISNUMBER('IAP data'!B43),('IAP data'!B43/'Des IAP AFR'!B43)-1,"")</f>
        <v/>
      </c>
      <c r="C43" s="21" t="str">
        <f>IF(ISNUMBER('IAP data'!C43),('IAP data'!C43/'Des IAP AFR'!C43)-1,"")</f>
        <v/>
      </c>
      <c r="D43" s="21" t="str">
        <f>IF(ISNUMBER('IAP data'!D43),('IAP data'!D43/'Des IAP AFR'!D43)-1,"")</f>
        <v/>
      </c>
      <c r="E43" s="21" t="str">
        <f>IF(ISNUMBER('IAP data'!E43),('IAP data'!E43/'Des IAP AFR'!E43)-1,"")</f>
        <v/>
      </c>
      <c r="F43" s="21" t="str">
        <f>IF(ISNUMBER('IAP data'!F43),('IAP data'!F43/'Des IAP AFR'!F43)-1,"")</f>
        <v/>
      </c>
      <c r="G43" s="21" t="str">
        <f>IF(ISNUMBER('IAP data'!G43),('IAP data'!G43/'Des IAP AFR'!G43)-1,"")</f>
        <v/>
      </c>
      <c r="H43" s="21" t="str">
        <f>IF(ISNUMBER('IAP data'!H43),('IAP data'!H43/'Des IAP AFR'!H43)-1,"")</f>
        <v/>
      </c>
      <c r="I43" s="21" t="str">
        <f>IF(ISNUMBER('IAP data'!I43),('IAP data'!I43/'Des IAP AFR'!I43)-1,"")</f>
        <v/>
      </c>
      <c r="J43" s="21" t="str">
        <f>IF(ISNUMBER('IAP data'!J43),('IAP data'!J43/'Des IAP AFR'!J43)-1,"")</f>
        <v/>
      </c>
      <c r="K43" s="21" t="str">
        <f>IF(ISNUMBER('IAP data'!K43),('IAP data'!K43/'Des IAP AFR'!K43)-1,"")</f>
        <v/>
      </c>
      <c r="L43" s="21" t="str">
        <f>IF(ISNUMBER('IAP data'!L43),('IAP data'!L43/'Des IAP AFR'!L43)-1,"")</f>
        <v/>
      </c>
      <c r="M43" s="21" t="str">
        <f>IF(ISNUMBER('IAP data'!M43),('IAP data'!M43/'Des IAP AFR'!M43)-1,"")</f>
        <v/>
      </c>
      <c r="N43" s="21" t="str">
        <f>IF(ISNUMBER('IAP data'!N43),('IAP data'!N43/'Des IAP AFR'!N43)-1,"")</f>
        <v/>
      </c>
      <c r="O43" s="21" t="str">
        <f>IF(ISNUMBER('IAP data'!O43),('IAP data'!O43/'Des IAP AFR'!O43)-1,"")</f>
        <v/>
      </c>
      <c r="P43" s="21" t="str">
        <f>IF(ISNUMBER('IAP data'!P43),('IAP data'!P43/'Des IAP AFR'!P43)-1,"")</f>
        <v/>
      </c>
      <c r="Q43" s="21" t="str">
        <f>IF(ISNUMBER('IAP data'!Q43),('IAP data'!Q43/'Des IAP AFR'!Q43)-1,"")</f>
        <v/>
      </c>
      <c r="R43" s="21" t="str">
        <f>IF(ISNUMBER('IAP data'!R43),('IAP data'!R43/'Des IAP AFR'!R43)-1,"")</f>
        <v/>
      </c>
      <c r="S43" s="21" t="str">
        <f>IF(ISNUMBER('IAP data'!S43),('IAP data'!S43/'Des IAP AFR'!S43)-1,"")</f>
        <v/>
      </c>
      <c r="T43" s="21" t="str">
        <f>IF(ISNUMBER('IAP data'!T43),('IAP data'!T43/'Des IAP AFR'!T43)-1,"")</f>
        <v/>
      </c>
      <c r="U43" s="21">
        <f>IF(ISNUMBER('IAP data'!U43),('IAP data'!U43/'Des IAP AFR'!U43)-1,"")</f>
        <v>0.34337822671156015</v>
      </c>
      <c r="V43" s="21" t="str">
        <f>IF(ISNUMBER('IAP data'!V43),('IAP data'!V43/'Des IAP AFR'!V43)-1,"")</f>
        <v/>
      </c>
    </row>
  </sheetData>
  <sheetProtection algorithmName="SHA-512" hashValue="oxcMz4blPMmGZ9s1nxzAojk8i89gkbfrXGBBSxmWbQ5hPiyhFQRuZoTV8ioIbPSqaDZf7FRIjyhQKN2HDOKZXw==" saltValue="uTf8n6rMnG9ZENJaDWfKAQ==" spinCount="100000" sheet="1" objects="1" scenarios="1"/>
  <conditionalFormatting sqref="B2:V43">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X43"/>
  <sheetViews>
    <sheetView zoomScale="70" zoomScaleNormal="70" workbookViewId="0">
      <selection activeCell="Q9" sqref="Q9"/>
    </sheetView>
  </sheetViews>
  <sheetFormatPr defaultRowHeight="13.2" x14ac:dyDescent="0.25"/>
  <cols>
    <col min="1" max="1" width="6.6640625" bestFit="1" customWidth="1"/>
    <col min="2" max="7" width="4.88671875" bestFit="1" customWidth="1"/>
    <col min="8" max="24" width="6" bestFit="1" customWidth="1"/>
  </cols>
  <sheetData>
    <row r="1" spans="1:24" x14ac:dyDescent="0.25">
      <c r="A1" s="12" t="s">
        <v>0</v>
      </c>
      <c r="B1" s="13">
        <v>0</v>
      </c>
      <c r="C1" s="13">
        <v>0.6</v>
      </c>
      <c r="D1" s="13">
        <v>1.2</v>
      </c>
      <c r="E1" s="13">
        <v>1.9</v>
      </c>
      <c r="F1" s="13">
        <v>2.5</v>
      </c>
      <c r="G1" s="13">
        <v>3.1</v>
      </c>
      <c r="H1" s="13">
        <v>3.7</v>
      </c>
      <c r="I1" s="13">
        <v>4.4000000000000004</v>
      </c>
      <c r="J1" s="13">
        <v>5.6</v>
      </c>
      <c r="K1" s="13">
        <v>6.8</v>
      </c>
      <c r="L1" s="13">
        <v>8.1</v>
      </c>
      <c r="M1" s="13">
        <v>9.3000000000000007</v>
      </c>
      <c r="N1" s="13">
        <v>10.6</v>
      </c>
      <c r="O1" s="13">
        <v>15.5</v>
      </c>
      <c r="P1" s="13">
        <v>20.5</v>
      </c>
      <c r="Q1" s="13">
        <v>25.5</v>
      </c>
      <c r="R1" s="13">
        <v>30.5</v>
      </c>
      <c r="S1" s="13">
        <v>40.4</v>
      </c>
      <c r="T1" s="13">
        <v>50.4</v>
      </c>
      <c r="U1" s="13">
        <v>60.3</v>
      </c>
      <c r="V1" s="13">
        <v>70.3</v>
      </c>
      <c r="W1" s="13">
        <v>90.2</v>
      </c>
      <c r="X1" s="14">
        <v>100</v>
      </c>
    </row>
    <row r="2" spans="1:24" x14ac:dyDescent="0.25">
      <c r="A2" s="15">
        <v>800</v>
      </c>
      <c r="B2" s="27">
        <f>IF(ISNUMBER('TPS Correction'!B2),'TPS Current'!B2*('TPS Correction'!B2+1),'TPS Current'!B2)</f>
        <v>46</v>
      </c>
      <c r="C2" s="27">
        <f>IF(ISNUMBER('TPS Correction'!C2),'TPS Current'!C2*('TPS Correction'!C2+1),'TPS Current'!C2)</f>
        <v>47</v>
      </c>
      <c r="D2" s="27">
        <f>IF(ISNUMBER('TPS Correction'!D2),'TPS Current'!D2*('TPS Correction'!D2+1),'TPS Current'!D2)</f>
        <v>71</v>
      </c>
      <c r="E2" s="27">
        <f>IF(ISNUMBER('TPS Correction'!E2),'TPS Current'!E2*('TPS Correction'!E2+1),'TPS Current'!E2)</f>
        <v>82</v>
      </c>
      <c r="F2" s="27">
        <f>IF(ISNUMBER('TPS Correction'!F2),'TPS Current'!F2*('TPS Correction'!F2+1),'TPS Current'!F2)</f>
        <v>92</v>
      </c>
      <c r="G2" s="27">
        <f>IF(ISNUMBER('TPS Correction'!G2),'TPS Current'!G2*('TPS Correction'!G2+1),'TPS Current'!G2)</f>
        <v>96</v>
      </c>
      <c r="H2" s="27">
        <f>IF(ISNUMBER('TPS Correction'!H2),'TPS Current'!H2*('TPS Correction'!H2+1),'TPS Current'!H2)</f>
        <v>104</v>
      </c>
      <c r="I2" s="27">
        <f>IF(ISNUMBER('TPS Correction'!I2),'TPS Current'!I2*('TPS Correction'!I2+1),'TPS Current'!I2)</f>
        <v>107</v>
      </c>
      <c r="J2" s="27">
        <f>IF(ISNUMBER('TPS Correction'!J2),'TPS Current'!J2*('TPS Correction'!J2+1),'TPS Current'!J2)</f>
        <v>117</v>
      </c>
      <c r="K2" s="27">
        <f>IF(ISNUMBER('TPS Correction'!K2),'TPS Current'!K2*('TPS Correction'!K2+1),'TPS Current'!K2)</f>
        <v>126</v>
      </c>
      <c r="L2" s="27">
        <f>IF(ISNUMBER('TPS Correction'!L2),'TPS Current'!L2*('TPS Correction'!L2+1),'TPS Current'!L2)</f>
        <v>129</v>
      </c>
      <c r="M2" s="27">
        <f>IF(ISNUMBER('TPS Correction'!M2),'TPS Current'!M2*('TPS Correction'!M2+1),'TPS Current'!M2)</f>
        <v>135</v>
      </c>
      <c r="N2" s="27">
        <f>IF(ISNUMBER('TPS Correction'!N2),'TPS Current'!N2*('TPS Correction'!N2+1),'TPS Current'!N2)</f>
        <v>135</v>
      </c>
      <c r="O2" s="27">
        <f>IF(ISNUMBER('TPS Correction'!O2),'TPS Current'!O2*('TPS Correction'!O2+1),'TPS Current'!O2)</f>
        <v>138</v>
      </c>
      <c r="P2" s="27">
        <f>IF(ISNUMBER('TPS Correction'!P2),'TPS Current'!P2*('TPS Correction'!P2+1),'TPS Current'!P2)</f>
        <v>142</v>
      </c>
      <c r="Q2" s="27">
        <f>IF(ISNUMBER('TPS Correction'!Q2),'TPS Current'!Q2*('TPS Correction'!Q2+1),'TPS Current'!Q2)</f>
        <v>147</v>
      </c>
      <c r="R2" s="27">
        <f>IF(ISNUMBER('TPS Correction'!R2),'TPS Current'!R2*('TPS Correction'!R2+1),'TPS Current'!R2)</f>
        <v>148</v>
      </c>
      <c r="S2" s="27">
        <f>IF(ISNUMBER('TPS Correction'!S2),'TPS Current'!S2*('TPS Correction'!S2+1),'TPS Current'!S2)</f>
        <v>151</v>
      </c>
      <c r="T2" s="27">
        <f>IF(ISNUMBER('TPS Correction'!T2),'TPS Current'!T2*('TPS Correction'!T2+1),'TPS Current'!T2)</f>
        <v>151</v>
      </c>
      <c r="U2" s="27">
        <f>IF(ISNUMBER('TPS Correction'!U2),'TPS Current'!U2*('TPS Correction'!U2+1),'TPS Current'!U2)</f>
        <v>152</v>
      </c>
      <c r="V2" s="27">
        <f>IF(ISNUMBER('TPS Correction'!V2),'TPS Current'!V2*('TPS Correction'!V2+1),'TPS Current'!V2)</f>
        <v>156</v>
      </c>
      <c r="W2" s="27">
        <f>IF(ISNUMBER('TPS Correction'!W2),'TPS Current'!W2*('TPS Correction'!W2+1),'TPS Current'!W2)</f>
        <v>159</v>
      </c>
      <c r="X2" s="27">
        <f>IF(ISNUMBER('TPS Correction'!X2),'TPS Current'!X2*('TPS Correction'!X2+1),'TPS Current'!X2)</f>
        <v>159</v>
      </c>
    </row>
    <row r="3" spans="1:24" x14ac:dyDescent="0.25">
      <c r="A3" s="15">
        <v>1000</v>
      </c>
      <c r="B3" s="27">
        <f>IF(ISNUMBER('TPS Correction'!B3),'TPS Current'!B3*('TPS Correction'!B3+1),'TPS Current'!B3)</f>
        <v>46</v>
      </c>
      <c r="C3" s="27">
        <f>IF(ISNUMBER('TPS Correction'!C3),'TPS Current'!C3*('TPS Correction'!C3+1),'TPS Current'!C3)</f>
        <v>47</v>
      </c>
      <c r="D3" s="27">
        <f>IF(ISNUMBER('TPS Correction'!D3),'TPS Current'!D3*('TPS Correction'!D3+1),'TPS Current'!D3)</f>
        <v>71</v>
      </c>
      <c r="E3" s="27">
        <f>IF(ISNUMBER('TPS Correction'!E3),'TPS Current'!E3*('TPS Correction'!E3+1),'TPS Current'!E3)</f>
        <v>82</v>
      </c>
      <c r="F3" s="27">
        <f>IF(ISNUMBER('TPS Correction'!F3),'TPS Current'!F3*('TPS Correction'!F3+1),'TPS Current'!F3)</f>
        <v>92</v>
      </c>
      <c r="G3" s="27">
        <f>IF(ISNUMBER('TPS Correction'!G3),'TPS Current'!G3*('TPS Correction'!G3+1),'TPS Current'!G3)</f>
        <v>96</v>
      </c>
      <c r="H3" s="27">
        <f>IF(ISNUMBER('TPS Correction'!H3),'TPS Current'!H3*('TPS Correction'!H3+1),'TPS Current'!H3)</f>
        <v>104</v>
      </c>
      <c r="I3" s="27">
        <f>IF(ISNUMBER('TPS Correction'!I3),'TPS Current'!I3*('TPS Correction'!I3+1),'TPS Current'!I3)</f>
        <v>107</v>
      </c>
      <c r="J3" s="27">
        <f>IF(ISNUMBER('TPS Correction'!J3),'TPS Current'!J3*('TPS Correction'!J3+1),'TPS Current'!J3)</f>
        <v>117</v>
      </c>
      <c r="K3" s="27">
        <f>IF(ISNUMBER('TPS Correction'!K3),'TPS Current'!K3*('TPS Correction'!K3+1),'TPS Current'!K3)</f>
        <v>126</v>
      </c>
      <c r="L3" s="27">
        <f>IF(ISNUMBER('TPS Correction'!L3),'TPS Current'!L3*('TPS Correction'!L3+1),'TPS Current'!L3)</f>
        <v>129</v>
      </c>
      <c r="M3" s="27">
        <f>IF(ISNUMBER('TPS Correction'!M3),'TPS Current'!M3*('TPS Correction'!M3+1),'TPS Current'!M3)</f>
        <v>135</v>
      </c>
      <c r="N3" s="27">
        <f>IF(ISNUMBER('TPS Correction'!N3),'TPS Current'!N3*('TPS Correction'!N3+1),'TPS Current'!N3)</f>
        <v>135</v>
      </c>
      <c r="O3" s="27">
        <f>IF(ISNUMBER('TPS Correction'!O3),'TPS Current'!O3*('TPS Correction'!O3+1),'TPS Current'!O3)</f>
        <v>138</v>
      </c>
      <c r="P3" s="27">
        <f>IF(ISNUMBER('TPS Correction'!P3),'TPS Current'!P3*('TPS Correction'!P3+1),'TPS Current'!P3)</f>
        <v>142</v>
      </c>
      <c r="Q3" s="27">
        <f>IF(ISNUMBER('TPS Correction'!Q3),'TPS Current'!Q3*('TPS Correction'!Q3+1),'TPS Current'!Q3)</f>
        <v>147</v>
      </c>
      <c r="R3" s="27">
        <f>IF(ISNUMBER('TPS Correction'!R3),'TPS Current'!R3*('TPS Correction'!R3+1),'TPS Current'!R3)</f>
        <v>148</v>
      </c>
      <c r="S3" s="27">
        <f>IF(ISNUMBER('TPS Correction'!S3),'TPS Current'!S3*('TPS Correction'!S3+1),'TPS Current'!S3)</f>
        <v>151</v>
      </c>
      <c r="T3" s="27">
        <f>IF(ISNUMBER('TPS Correction'!T3),'TPS Current'!T3*('TPS Correction'!T3+1),'TPS Current'!T3)</f>
        <v>151</v>
      </c>
      <c r="U3" s="27">
        <f>IF(ISNUMBER('TPS Correction'!U3),'TPS Current'!U3*('TPS Correction'!U3+1),'TPS Current'!U3)</f>
        <v>152</v>
      </c>
      <c r="V3" s="27">
        <f>IF(ISNUMBER('TPS Correction'!V3),'TPS Current'!V3*('TPS Correction'!V3+1),'TPS Current'!V3)</f>
        <v>156</v>
      </c>
      <c r="W3" s="27">
        <f>IF(ISNUMBER('TPS Correction'!W3),'TPS Current'!W3*('TPS Correction'!W3+1),'TPS Current'!W3)</f>
        <v>159</v>
      </c>
      <c r="X3" s="27">
        <f>IF(ISNUMBER('TPS Correction'!X3),'TPS Current'!X3*('TPS Correction'!X3+1),'TPS Current'!X3)</f>
        <v>159</v>
      </c>
    </row>
    <row r="4" spans="1:24" x14ac:dyDescent="0.25">
      <c r="A4" s="15">
        <v>1200</v>
      </c>
      <c r="B4" s="27">
        <f>IF(ISNUMBER('TPS Correction'!B4),'TPS Current'!B4*('TPS Correction'!B4+1),'TPS Current'!B4)</f>
        <v>42</v>
      </c>
      <c r="C4" s="27">
        <f>IF(ISNUMBER('TPS Correction'!C4),'TPS Current'!C4*('TPS Correction'!C4+1),'TPS Current'!C4)</f>
        <v>41</v>
      </c>
      <c r="D4" s="27">
        <f>IF(ISNUMBER('TPS Correction'!D4),'TPS Current'!D4*('TPS Correction'!D4+1),'TPS Current'!D4)</f>
        <v>64</v>
      </c>
      <c r="E4" s="27">
        <f>IF(ISNUMBER('TPS Correction'!E4),'TPS Current'!E4*('TPS Correction'!E4+1),'TPS Current'!E4)</f>
        <v>78</v>
      </c>
      <c r="F4" s="27">
        <f>IF(ISNUMBER('TPS Correction'!F4),'TPS Current'!F4*('TPS Correction'!F4+1),'TPS Current'!F4)</f>
        <v>84</v>
      </c>
      <c r="G4" s="27">
        <f>IF(ISNUMBER('TPS Correction'!G4),'TPS Current'!G4*('TPS Correction'!G4+1),'TPS Current'!G4)</f>
        <v>90</v>
      </c>
      <c r="H4" s="27">
        <f>IF(ISNUMBER('TPS Correction'!H4),'TPS Current'!H4*('TPS Correction'!H4+1),'TPS Current'!H4)</f>
        <v>94</v>
      </c>
      <c r="I4" s="27">
        <f>IF(ISNUMBER('TPS Correction'!I4),'TPS Current'!I4*('TPS Correction'!I4+1),'TPS Current'!I4)</f>
        <v>97</v>
      </c>
      <c r="J4" s="27">
        <f>IF(ISNUMBER('TPS Correction'!J4),'TPS Current'!J4*('TPS Correction'!J4+1),'TPS Current'!J4)</f>
        <v>107</v>
      </c>
      <c r="K4" s="27">
        <f>IF(ISNUMBER('TPS Correction'!K4),'TPS Current'!K4*('TPS Correction'!K4+1),'TPS Current'!K4)</f>
        <v>112</v>
      </c>
      <c r="L4" s="27">
        <f>IF(ISNUMBER('TPS Correction'!L4),'TPS Current'!L4*('TPS Correction'!L4+1),'TPS Current'!L4)</f>
        <v>119</v>
      </c>
      <c r="M4" s="27">
        <f>IF(ISNUMBER('TPS Correction'!M4),'TPS Current'!M4*('TPS Correction'!M4+1),'TPS Current'!M4)</f>
        <v>126</v>
      </c>
      <c r="N4" s="27">
        <f>IF(ISNUMBER('TPS Correction'!N4),'TPS Current'!N4*('TPS Correction'!N4+1),'TPS Current'!N4)</f>
        <v>131</v>
      </c>
      <c r="O4" s="27">
        <f>IF(ISNUMBER('TPS Correction'!O4),'TPS Current'!O4*('TPS Correction'!O4+1),'TPS Current'!O4)</f>
        <v>140</v>
      </c>
      <c r="P4" s="27">
        <f>IF(ISNUMBER('TPS Correction'!P4),'TPS Current'!P4*('TPS Correction'!P4+1),'TPS Current'!P4)</f>
        <v>140</v>
      </c>
      <c r="Q4" s="27">
        <f>IF(ISNUMBER('TPS Correction'!Q4),'TPS Current'!Q4*('TPS Correction'!Q4+1),'TPS Current'!Q4)</f>
        <v>140</v>
      </c>
      <c r="R4" s="27">
        <f>IF(ISNUMBER('TPS Correction'!R4),'TPS Current'!R4*('TPS Correction'!R4+1),'TPS Current'!R4)</f>
        <v>135</v>
      </c>
      <c r="S4" s="27">
        <f>IF(ISNUMBER('TPS Correction'!S4),'TPS Current'!S4*('TPS Correction'!S4+1),'TPS Current'!S4)</f>
        <v>134</v>
      </c>
      <c r="T4" s="27">
        <f>IF(ISNUMBER('TPS Correction'!T4),'TPS Current'!T4*('TPS Correction'!T4+1),'TPS Current'!T4)</f>
        <v>135</v>
      </c>
      <c r="U4" s="27">
        <f>IF(ISNUMBER('TPS Correction'!U4),'TPS Current'!U4*('TPS Correction'!U4+1),'TPS Current'!U4)</f>
        <v>136</v>
      </c>
      <c r="V4" s="27">
        <f>IF(ISNUMBER('TPS Correction'!V4),'TPS Current'!V4*('TPS Correction'!V4+1),'TPS Current'!V4)</f>
        <v>141</v>
      </c>
      <c r="W4" s="27">
        <f>IF(ISNUMBER('TPS Correction'!W4),'TPS Current'!W4*('TPS Correction'!W4+1),'TPS Current'!W4)</f>
        <v>142</v>
      </c>
      <c r="X4" s="27">
        <f>IF(ISNUMBER('TPS Correction'!X4),'TPS Current'!X4*('TPS Correction'!X4+1),'TPS Current'!X4)</f>
        <v>147</v>
      </c>
    </row>
    <row r="5" spans="1:24" x14ac:dyDescent="0.25">
      <c r="A5" s="15">
        <v>1400</v>
      </c>
      <c r="B5" s="27">
        <f>IF(ISNUMBER('TPS Correction'!B5),'TPS Current'!B5*('TPS Correction'!B5+1),'TPS Current'!B5)</f>
        <v>41</v>
      </c>
      <c r="C5" s="27">
        <f>IF(ISNUMBER('TPS Correction'!C5),'TPS Current'!C5*('TPS Correction'!C5+1),'TPS Current'!C5)</f>
        <v>39</v>
      </c>
      <c r="D5" s="27">
        <f>IF(ISNUMBER('TPS Correction'!D5),'TPS Current'!D5*('TPS Correction'!D5+1),'TPS Current'!D5)</f>
        <v>51</v>
      </c>
      <c r="E5" s="27">
        <f>IF(ISNUMBER('TPS Correction'!E5),'TPS Current'!E5*('TPS Correction'!E5+1),'TPS Current'!E5)</f>
        <v>72</v>
      </c>
      <c r="F5" s="27">
        <f>IF(ISNUMBER('TPS Correction'!F5),'TPS Current'!F5*('TPS Correction'!F5+1),'TPS Current'!F5)</f>
        <v>79</v>
      </c>
      <c r="G5" s="27">
        <f>IF(ISNUMBER('TPS Correction'!G5),'TPS Current'!G5*('TPS Correction'!G5+1),'TPS Current'!G5)</f>
        <v>84</v>
      </c>
      <c r="H5" s="27">
        <f>IF(ISNUMBER('TPS Correction'!H5),'TPS Current'!H5*('TPS Correction'!H5+1),'TPS Current'!H5)</f>
        <v>87</v>
      </c>
      <c r="I5" s="27">
        <f>IF(ISNUMBER('TPS Correction'!I5),'TPS Current'!I5*('TPS Correction'!I5+1),'TPS Current'!I5)</f>
        <v>91</v>
      </c>
      <c r="J5" s="27">
        <f>IF(ISNUMBER('TPS Correction'!J5),'TPS Current'!J5*('TPS Correction'!J5+1),'TPS Current'!J5)</f>
        <v>98</v>
      </c>
      <c r="K5" s="27">
        <f>IF(ISNUMBER('TPS Correction'!K5),'TPS Current'!K5*('TPS Correction'!K5+1),'TPS Current'!K5)</f>
        <v>104</v>
      </c>
      <c r="L5" s="27">
        <f>IF(ISNUMBER('TPS Correction'!L5),'TPS Current'!L5*('TPS Correction'!L5+1),'TPS Current'!L5)</f>
        <v>112</v>
      </c>
      <c r="M5" s="27">
        <f>IF(ISNUMBER('TPS Correction'!M5),'TPS Current'!M5*('TPS Correction'!M5+1),'TPS Current'!M5)</f>
        <v>116</v>
      </c>
      <c r="N5" s="27">
        <f>IF(ISNUMBER('TPS Correction'!N5),'TPS Current'!N5*('TPS Correction'!N5+1),'TPS Current'!N5)</f>
        <v>122</v>
      </c>
      <c r="O5" s="27">
        <f>IF(ISNUMBER('TPS Correction'!O5),'TPS Current'!O5*('TPS Correction'!O5+1),'TPS Current'!O5)</f>
        <v>134</v>
      </c>
      <c r="P5" s="27">
        <f>IF(ISNUMBER('TPS Correction'!P5),'TPS Current'!P5*('TPS Correction'!P5+1),'TPS Current'!P5)</f>
        <v>139</v>
      </c>
      <c r="Q5" s="27">
        <f>IF(ISNUMBER('TPS Correction'!Q5),'TPS Current'!Q5*('TPS Correction'!Q5+1),'TPS Current'!Q5)</f>
        <v>139</v>
      </c>
      <c r="R5" s="27">
        <f>IF(ISNUMBER('TPS Correction'!R5),'TPS Current'!R5*('TPS Correction'!R5+1),'TPS Current'!R5)</f>
        <v>139</v>
      </c>
      <c r="S5" s="27">
        <f>IF(ISNUMBER('TPS Correction'!S5),'TPS Current'!S5*('TPS Correction'!S5+1),'TPS Current'!S5)</f>
        <v>139</v>
      </c>
      <c r="T5" s="27">
        <f>IF(ISNUMBER('TPS Correction'!T5),'TPS Current'!T5*('TPS Correction'!T5+1),'TPS Current'!T5)</f>
        <v>139</v>
      </c>
      <c r="U5" s="27">
        <f>IF(ISNUMBER('TPS Correction'!U5),'TPS Current'!U5*('TPS Correction'!U5+1),'TPS Current'!U5)</f>
        <v>140</v>
      </c>
      <c r="V5" s="27">
        <f>IF(ISNUMBER('TPS Correction'!V5),'TPS Current'!V5*('TPS Correction'!V5+1),'TPS Current'!V5)</f>
        <v>140</v>
      </c>
      <c r="W5" s="27">
        <f>IF(ISNUMBER('TPS Correction'!W5),'TPS Current'!W5*('TPS Correction'!W5+1),'TPS Current'!W5)</f>
        <v>140</v>
      </c>
      <c r="X5" s="27">
        <f>IF(ISNUMBER('TPS Correction'!X5),'TPS Current'!X5*('TPS Correction'!X5+1),'TPS Current'!X5)</f>
        <v>140</v>
      </c>
    </row>
    <row r="6" spans="1:24" x14ac:dyDescent="0.25">
      <c r="A6" s="15">
        <v>1600</v>
      </c>
      <c r="B6" s="27">
        <f>IF(ISNUMBER('TPS Correction'!B6),'TPS Current'!B6*('TPS Correction'!B6+1),'TPS Current'!B6)</f>
        <v>41</v>
      </c>
      <c r="C6" s="27">
        <f>IF(ISNUMBER('TPS Correction'!C6),'TPS Current'!C6*('TPS Correction'!C6+1),'TPS Current'!C6)</f>
        <v>39</v>
      </c>
      <c r="D6" s="27">
        <f>IF(ISNUMBER('TPS Correction'!D6),'TPS Current'!D6*('TPS Correction'!D6+1),'TPS Current'!D6)</f>
        <v>49</v>
      </c>
      <c r="E6" s="27">
        <f>IF(ISNUMBER('TPS Correction'!E6),'TPS Current'!E6*('TPS Correction'!E6+1),'TPS Current'!E6)</f>
        <v>63</v>
      </c>
      <c r="F6" s="27">
        <f>IF(ISNUMBER('TPS Correction'!F6),'TPS Current'!F6*('TPS Correction'!F6+1),'TPS Current'!F6)</f>
        <v>71</v>
      </c>
      <c r="G6" s="27">
        <f>IF(ISNUMBER('TPS Correction'!G6),'TPS Current'!G6*('TPS Correction'!G6+1),'TPS Current'!G6)</f>
        <v>80</v>
      </c>
      <c r="H6" s="27">
        <f>IF(ISNUMBER('TPS Correction'!H6),'TPS Current'!H6*('TPS Correction'!H6+1),'TPS Current'!H6)</f>
        <v>84</v>
      </c>
      <c r="I6" s="27">
        <f>IF(ISNUMBER('TPS Correction'!I6),'TPS Current'!I6*('TPS Correction'!I6+1),'TPS Current'!I6)</f>
        <v>86</v>
      </c>
      <c r="J6" s="27">
        <f>IF(ISNUMBER('TPS Correction'!J6),'TPS Current'!J6*('TPS Correction'!J6+1),'TPS Current'!J6)</f>
        <v>92</v>
      </c>
      <c r="K6" s="27">
        <f>IF(ISNUMBER('TPS Correction'!K6),'TPS Current'!K6*('TPS Correction'!K6+1),'TPS Current'!K6)</f>
        <v>99</v>
      </c>
      <c r="L6" s="27">
        <f>IF(ISNUMBER('TPS Correction'!L6),'TPS Current'!L6*('TPS Correction'!L6+1),'TPS Current'!L6)</f>
        <v>104</v>
      </c>
      <c r="M6" s="27">
        <f>IF(ISNUMBER('TPS Correction'!M6),'TPS Current'!M6*('TPS Correction'!M6+1),'TPS Current'!M6)</f>
        <v>109</v>
      </c>
      <c r="N6" s="27">
        <f>IF(ISNUMBER('TPS Correction'!N6),'TPS Current'!N6*('TPS Correction'!N6+1),'TPS Current'!N6)</f>
        <v>116</v>
      </c>
      <c r="O6" s="27">
        <f>IF(ISNUMBER('TPS Correction'!O6),'TPS Current'!O6*('TPS Correction'!O6+1),'TPS Current'!O6)</f>
        <v>134</v>
      </c>
      <c r="P6" s="27">
        <f>IF(ISNUMBER('TPS Correction'!P6),'TPS Current'!P6*('TPS Correction'!P6+1),'TPS Current'!P6)</f>
        <v>138</v>
      </c>
      <c r="Q6" s="27">
        <f>IF(ISNUMBER('TPS Correction'!Q6),'TPS Current'!Q6*('TPS Correction'!Q6+1),'TPS Current'!Q6)</f>
        <v>140</v>
      </c>
      <c r="R6" s="27">
        <f>IF(ISNUMBER('TPS Correction'!R6),'TPS Current'!R6*('TPS Correction'!R6+1),'TPS Current'!R6)</f>
        <v>140</v>
      </c>
      <c r="S6" s="27">
        <f>IF(ISNUMBER('TPS Correction'!S6),'TPS Current'!S6*('TPS Correction'!S6+1),'TPS Current'!S6)</f>
        <v>140</v>
      </c>
      <c r="T6" s="27">
        <f>IF(ISNUMBER('TPS Correction'!T6),'TPS Current'!T6*('TPS Correction'!T6+1),'TPS Current'!T6)</f>
        <v>140</v>
      </c>
      <c r="U6" s="27">
        <f>IF(ISNUMBER('TPS Correction'!U6),'TPS Current'!U6*('TPS Correction'!U6+1),'TPS Current'!U6)</f>
        <v>140</v>
      </c>
      <c r="V6" s="27">
        <f>IF(ISNUMBER('TPS Correction'!V6),'TPS Current'!V6*('TPS Correction'!V6+1),'TPS Current'!V6)</f>
        <v>140</v>
      </c>
      <c r="W6" s="27">
        <f>IF(ISNUMBER('TPS Correction'!W6),'TPS Current'!W6*('TPS Correction'!W6+1),'TPS Current'!W6)</f>
        <v>142</v>
      </c>
      <c r="X6" s="27">
        <f>IF(ISNUMBER('TPS Correction'!X6),'TPS Current'!X6*('TPS Correction'!X6+1),'TPS Current'!X6)</f>
        <v>142</v>
      </c>
    </row>
    <row r="7" spans="1:24" x14ac:dyDescent="0.25">
      <c r="A7" s="15">
        <v>1800</v>
      </c>
      <c r="B7" s="27">
        <f>IF(ISNUMBER('TPS Correction'!B7),'TPS Current'!B7*('TPS Correction'!B7+1),'TPS Current'!B7)</f>
        <v>40</v>
      </c>
      <c r="C7" s="27">
        <f>IF(ISNUMBER('TPS Correction'!C7),'TPS Current'!C7*('TPS Correction'!C7+1),'TPS Current'!C7)</f>
        <v>37</v>
      </c>
      <c r="D7" s="27">
        <f>IF(ISNUMBER('TPS Correction'!D7),'TPS Current'!D7*('TPS Correction'!D7+1),'TPS Current'!D7)</f>
        <v>44</v>
      </c>
      <c r="E7" s="27">
        <f>IF(ISNUMBER('TPS Correction'!E7),'TPS Current'!E7*('TPS Correction'!E7+1),'TPS Current'!E7)</f>
        <v>59</v>
      </c>
      <c r="F7" s="27">
        <f>IF(ISNUMBER('TPS Correction'!F7),'TPS Current'!F7*('TPS Correction'!F7+1),'TPS Current'!F7)</f>
        <v>68</v>
      </c>
      <c r="G7" s="27">
        <f>IF(ISNUMBER('TPS Correction'!G7),'TPS Current'!G7*('TPS Correction'!G7+1),'TPS Current'!G7)</f>
        <v>76</v>
      </c>
      <c r="H7" s="27">
        <f>IF(ISNUMBER('TPS Correction'!H7),'TPS Current'!H7*('TPS Correction'!H7+1),'TPS Current'!H7)</f>
        <v>82</v>
      </c>
      <c r="I7" s="27">
        <f>IF(ISNUMBER('TPS Correction'!I7),'TPS Current'!I7*('TPS Correction'!I7+1),'TPS Current'!I7)</f>
        <v>85</v>
      </c>
      <c r="J7" s="27">
        <f>IF(ISNUMBER('TPS Correction'!J7),'TPS Current'!J7*('TPS Correction'!J7+1),'TPS Current'!J7)</f>
        <v>91</v>
      </c>
      <c r="K7" s="27">
        <f>IF(ISNUMBER('TPS Correction'!K7),'TPS Current'!K7*('TPS Correction'!K7+1),'TPS Current'!K7)</f>
        <v>97</v>
      </c>
      <c r="L7" s="27">
        <f>IF(ISNUMBER('TPS Correction'!L7),'TPS Current'!L7*('TPS Correction'!L7+1),'TPS Current'!L7)</f>
        <v>103</v>
      </c>
      <c r="M7" s="27">
        <f>IF(ISNUMBER('TPS Correction'!M7),'TPS Current'!M7*('TPS Correction'!M7+1),'TPS Current'!M7)</f>
        <v>108</v>
      </c>
      <c r="N7" s="27">
        <f>IF(ISNUMBER('TPS Correction'!N7),'TPS Current'!N7*('TPS Correction'!N7+1),'TPS Current'!N7)</f>
        <v>114</v>
      </c>
      <c r="O7" s="27">
        <f>IF(ISNUMBER('TPS Correction'!O7),'TPS Current'!O7*('TPS Correction'!O7+1),'TPS Current'!O7)</f>
        <v>133</v>
      </c>
      <c r="P7" s="27">
        <f>IF(ISNUMBER('TPS Correction'!P7),'TPS Current'!P7*('TPS Correction'!P7+1),'TPS Current'!P7)</f>
        <v>142</v>
      </c>
      <c r="Q7" s="27">
        <f>IF(ISNUMBER('TPS Correction'!Q7),'TPS Current'!Q7*('TPS Correction'!Q7+1),'TPS Current'!Q7)</f>
        <v>145</v>
      </c>
      <c r="R7" s="27">
        <f>IF(ISNUMBER('TPS Correction'!R7),'TPS Current'!R7*('TPS Correction'!R7+1),'TPS Current'!R7)</f>
        <v>146</v>
      </c>
      <c r="S7" s="27">
        <f>IF(ISNUMBER('TPS Correction'!S7),'TPS Current'!S7*('TPS Correction'!S7+1),'TPS Current'!S7)</f>
        <v>146</v>
      </c>
      <c r="T7" s="27">
        <f>IF(ISNUMBER('TPS Correction'!T7),'TPS Current'!T7*('TPS Correction'!T7+1),'TPS Current'!T7)</f>
        <v>146</v>
      </c>
      <c r="U7" s="27">
        <f>IF(ISNUMBER('TPS Correction'!U7),'TPS Current'!U7*('TPS Correction'!U7+1),'TPS Current'!U7)</f>
        <v>148</v>
      </c>
      <c r="V7" s="27">
        <f>IF(ISNUMBER('TPS Correction'!V7),'TPS Current'!V7*('TPS Correction'!V7+1),'TPS Current'!V7)</f>
        <v>148</v>
      </c>
      <c r="W7" s="27">
        <f>IF(ISNUMBER('TPS Correction'!W7),'TPS Current'!W7*('TPS Correction'!W7+1),'TPS Current'!W7)</f>
        <v>151</v>
      </c>
      <c r="X7" s="27">
        <f>IF(ISNUMBER('TPS Correction'!X7),'TPS Current'!X7*('TPS Correction'!X7+1),'TPS Current'!X7)</f>
        <v>159</v>
      </c>
    </row>
    <row r="8" spans="1:24" x14ac:dyDescent="0.25">
      <c r="A8" s="15">
        <v>2000</v>
      </c>
      <c r="B8" s="27">
        <f>IF(ISNUMBER('TPS Correction'!B8),'TPS Current'!B8*('TPS Correction'!B8+1),'TPS Current'!B8)</f>
        <v>36</v>
      </c>
      <c r="C8" s="27">
        <f>IF(ISNUMBER('TPS Correction'!C8),'TPS Current'!C8*('TPS Correction'!C8+1),'TPS Current'!C8)</f>
        <v>36</v>
      </c>
      <c r="D8" s="27">
        <f>IF(ISNUMBER('TPS Correction'!D8),'TPS Current'!D8*('TPS Correction'!D8+1),'TPS Current'!D8)</f>
        <v>41</v>
      </c>
      <c r="E8" s="27">
        <f>IF(ISNUMBER('TPS Correction'!E8),'TPS Current'!E8*('TPS Correction'!E8+1),'TPS Current'!E8)</f>
        <v>52</v>
      </c>
      <c r="F8" s="27">
        <f>IF(ISNUMBER('TPS Correction'!F8),'TPS Current'!F8*('TPS Correction'!F8+1),'TPS Current'!F8)</f>
        <v>64</v>
      </c>
      <c r="G8" s="27">
        <f>IF(ISNUMBER('TPS Correction'!G8),'TPS Current'!G8*('TPS Correction'!G8+1),'TPS Current'!G8)</f>
        <v>74</v>
      </c>
      <c r="H8" s="27">
        <f>IF(ISNUMBER('TPS Correction'!H8),'TPS Current'!H8*('TPS Correction'!H8+1),'TPS Current'!H8)</f>
        <v>81</v>
      </c>
      <c r="I8" s="27">
        <f>IF(ISNUMBER('TPS Correction'!I8),'TPS Current'!I8*('TPS Correction'!I8+1),'TPS Current'!I8)</f>
        <v>84</v>
      </c>
      <c r="J8" s="27">
        <f>IF(ISNUMBER('TPS Correction'!J8),'TPS Current'!J8*('TPS Correction'!J8+1),'TPS Current'!J8)</f>
        <v>91</v>
      </c>
      <c r="K8" s="27">
        <f>IF(ISNUMBER('TPS Correction'!K8),'TPS Current'!K8*('TPS Correction'!K8+1),'TPS Current'!K8)</f>
        <v>96</v>
      </c>
      <c r="L8" s="27">
        <f>IF(ISNUMBER('TPS Correction'!L8),'TPS Current'!L8*('TPS Correction'!L8+1),'TPS Current'!L8)</f>
        <v>102</v>
      </c>
      <c r="M8" s="27">
        <f>IF(ISNUMBER('TPS Correction'!M8),'TPS Current'!M8*('TPS Correction'!M8+1),'TPS Current'!M8)</f>
        <v>107</v>
      </c>
      <c r="N8" s="27">
        <f>IF(ISNUMBER('TPS Correction'!N8),'TPS Current'!N8*('TPS Correction'!N8+1),'TPS Current'!N8)</f>
        <v>113</v>
      </c>
      <c r="O8" s="27">
        <f>IF(ISNUMBER('TPS Correction'!O8),'TPS Current'!O8*('TPS Correction'!O8+1),'TPS Current'!O8)</f>
        <v>133</v>
      </c>
      <c r="P8" s="27">
        <f>IF(ISNUMBER('TPS Correction'!P8),'TPS Current'!P8*('TPS Correction'!P8+1),'TPS Current'!P8)</f>
        <v>143</v>
      </c>
      <c r="Q8" s="27">
        <f>IF(ISNUMBER('TPS Correction'!Q8),'TPS Current'!Q8*('TPS Correction'!Q8+1),'TPS Current'!Q8)</f>
        <v>150</v>
      </c>
      <c r="R8" s="27">
        <f>IF(ISNUMBER('TPS Correction'!R8),'TPS Current'!R8*('TPS Correction'!R8+1),'TPS Current'!R8)</f>
        <v>152</v>
      </c>
      <c r="S8" s="27">
        <f>IF(ISNUMBER('TPS Correction'!S8),'TPS Current'!S8*('TPS Correction'!S8+1),'TPS Current'!S8)</f>
        <v>152</v>
      </c>
      <c r="T8" s="27">
        <f>IF(ISNUMBER('TPS Correction'!T8),'TPS Current'!T8*('TPS Correction'!T8+1),'TPS Current'!T8)</f>
        <v>153</v>
      </c>
      <c r="U8" s="27">
        <f>IF(ISNUMBER('TPS Correction'!U8),'TPS Current'!U8*('TPS Correction'!U8+1),'TPS Current'!U8)</f>
        <v>153</v>
      </c>
      <c r="V8" s="27">
        <f>IF(ISNUMBER('TPS Correction'!V8),'TPS Current'!V8*('TPS Correction'!V8+1),'TPS Current'!V8)</f>
        <v>153</v>
      </c>
      <c r="W8" s="27">
        <f>IF(ISNUMBER('TPS Correction'!W8),'TPS Current'!W8*('TPS Correction'!W8+1),'TPS Current'!W8)</f>
        <v>154</v>
      </c>
      <c r="X8" s="27">
        <f>IF(ISNUMBER('TPS Correction'!X8),'TPS Current'!X8*('TPS Correction'!X8+1),'TPS Current'!X8)</f>
        <v>168</v>
      </c>
    </row>
    <row r="9" spans="1:24" x14ac:dyDescent="0.25">
      <c r="A9" s="15">
        <v>2200</v>
      </c>
      <c r="B9" s="27">
        <f>IF(ISNUMBER('TPS Correction'!B9),'TPS Current'!B9*('TPS Correction'!B9+1),'TPS Current'!B9)</f>
        <v>34</v>
      </c>
      <c r="C9" s="27">
        <f>IF(ISNUMBER('TPS Correction'!C9),'TPS Current'!C9*('TPS Correction'!C9+1),'TPS Current'!C9)</f>
        <v>34</v>
      </c>
      <c r="D9" s="27">
        <f>IF(ISNUMBER('TPS Correction'!D9),'TPS Current'!D9*('TPS Correction'!D9+1),'TPS Current'!D9)</f>
        <v>41</v>
      </c>
      <c r="E9" s="27">
        <f>IF(ISNUMBER('TPS Correction'!E9),'TPS Current'!E9*('TPS Correction'!E9+1),'TPS Current'!E9)</f>
        <v>47</v>
      </c>
      <c r="F9" s="27">
        <f>IF(ISNUMBER('TPS Correction'!F9),'TPS Current'!F9*('TPS Correction'!F9+1),'TPS Current'!F9)</f>
        <v>61</v>
      </c>
      <c r="G9" s="27">
        <f>IF(ISNUMBER('TPS Correction'!G9),'TPS Current'!G9*('TPS Correction'!G9+1),'TPS Current'!G9)</f>
        <v>69</v>
      </c>
      <c r="H9" s="27">
        <f>IF(ISNUMBER('TPS Correction'!H9),'TPS Current'!H9*('TPS Correction'!H9+1),'TPS Current'!H9)</f>
        <v>75</v>
      </c>
      <c r="I9" s="27">
        <f>IF(ISNUMBER('TPS Correction'!I9),'TPS Current'!I9*('TPS Correction'!I9+1),'TPS Current'!I9)</f>
        <v>79</v>
      </c>
      <c r="J9" s="27">
        <f>IF(ISNUMBER('TPS Correction'!J9),'TPS Current'!J9*('TPS Correction'!J9+1),'TPS Current'!J9)</f>
        <v>87</v>
      </c>
      <c r="K9" s="27">
        <f>IF(ISNUMBER('TPS Correction'!K9),'TPS Current'!K9*('TPS Correction'!K9+1),'TPS Current'!K9)</f>
        <v>91</v>
      </c>
      <c r="L9" s="27">
        <f>IF(ISNUMBER('TPS Correction'!L9),'TPS Current'!L9*('TPS Correction'!L9+1),'TPS Current'!L9)</f>
        <v>97</v>
      </c>
      <c r="M9" s="27">
        <f>IF(ISNUMBER('TPS Correction'!M9),'TPS Current'!M9*('TPS Correction'!M9+1),'TPS Current'!M9)</f>
        <v>102</v>
      </c>
      <c r="N9" s="27">
        <f>IF(ISNUMBER('TPS Correction'!N9),'TPS Current'!N9*('TPS Correction'!N9+1),'TPS Current'!N9)</f>
        <v>108</v>
      </c>
      <c r="O9" s="27">
        <f>IF(ISNUMBER('TPS Correction'!O9),'TPS Current'!O9*('TPS Correction'!O9+1),'TPS Current'!O9)</f>
        <v>123</v>
      </c>
      <c r="P9" s="27">
        <f>IF(ISNUMBER('TPS Correction'!P9),'TPS Current'!P9*('TPS Correction'!P9+1),'TPS Current'!P9)</f>
        <v>133</v>
      </c>
      <c r="Q9" s="27">
        <f>IF(ISNUMBER('TPS Correction'!Q9),'TPS Current'!Q9*('TPS Correction'!Q9+1),'TPS Current'!Q9)</f>
        <v>141</v>
      </c>
      <c r="R9" s="27">
        <f>IF(ISNUMBER('TPS Correction'!R9),'TPS Current'!R9*('TPS Correction'!R9+1),'TPS Current'!R9)</f>
        <v>145</v>
      </c>
      <c r="S9" s="27">
        <f>IF(ISNUMBER('TPS Correction'!S9),'TPS Current'!S9*('TPS Correction'!S9+1),'TPS Current'!S9)</f>
        <v>146</v>
      </c>
      <c r="T9" s="27">
        <f>IF(ISNUMBER('TPS Correction'!T9),'TPS Current'!T9*('TPS Correction'!T9+1),'TPS Current'!T9)</f>
        <v>146</v>
      </c>
      <c r="U9" s="27">
        <f>IF(ISNUMBER('TPS Correction'!U9),'TPS Current'!U9*('TPS Correction'!U9+1),'TPS Current'!U9)</f>
        <v>147</v>
      </c>
      <c r="V9" s="27">
        <f>IF(ISNUMBER('TPS Correction'!V9),'TPS Current'!V9*('TPS Correction'!V9+1),'TPS Current'!V9)</f>
        <v>148</v>
      </c>
      <c r="W9" s="27">
        <f>IF(ISNUMBER('TPS Correction'!W9),'TPS Current'!W9*('TPS Correction'!W9+1),'TPS Current'!W9)</f>
        <v>150</v>
      </c>
      <c r="X9" s="27">
        <f>IF(ISNUMBER('TPS Correction'!X9),'TPS Current'!X9*('TPS Correction'!X9+1),'TPS Current'!X9)</f>
        <v>159</v>
      </c>
    </row>
    <row r="10" spans="1:24" x14ac:dyDescent="0.25">
      <c r="A10" s="15">
        <v>2400</v>
      </c>
      <c r="B10" s="27">
        <f>IF(ISNUMBER('TPS Correction'!B10),'TPS Current'!B10*('TPS Correction'!B10+1),'TPS Current'!B10)</f>
        <v>32</v>
      </c>
      <c r="C10" s="27">
        <f>IF(ISNUMBER('TPS Correction'!C10),'TPS Current'!C10*('TPS Correction'!C10+1),'TPS Current'!C10)</f>
        <v>32</v>
      </c>
      <c r="D10" s="27">
        <f>IF(ISNUMBER('TPS Correction'!D10),'TPS Current'!D10*('TPS Correction'!D10+1),'TPS Current'!D10)</f>
        <v>40</v>
      </c>
      <c r="E10" s="27">
        <f>IF(ISNUMBER('TPS Correction'!E10),'TPS Current'!E10*('TPS Correction'!E10+1),'TPS Current'!E10)</f>
        <v>45</v>
      </c>
      <c r="F10" s="27">
        <f>IF(ISNUMBER('TPS Correction'!F10),'TPS Current'!F10*('TPS Correction'!F10+1),'TPS Current'!F10)</f>
        <v>58</v>
      </c>
      <c r="G10" s="27">
        <f>IF(ISNUMBER('TPS Correction'!G10),'TPS Current'!G10*('TPS Correction'!G10+1),'TPS Current'!G10)</f>
        <v>65</v>
      </c>
      <c r="H10" s="27">
        <f>IF(ISNUMBER('TPS Correction'!H10),'TPS Current'!H10*('TPS Correction'!H10+1),'TPS Current'!H10)</f>
        <v>70</v>
      </c>
      <c r="I10" s="27">
        <f>IF(ISNUMBER('TPS Correction'!I10),'TPS Current'!I10*('TPS Correction'!I10+1),'TPS Current'!I10)</f>
        <v>72</v>
      </c>
      <c r="J10" s="27">
        <f>IF(ISNUMBER('TPS Correction'!J10),'TPS Current'!J10*('TPS Correction'!J10+1),'TPS Current'!J10)</f>
        <v>82</v>
      </c>
      <c r="K10" s="27">
        <f>IF(ISNUMBER('TPS Correction'!K10),'TPS Current'!K10*('TPS Correction'!K10+1),'TPS Current'!K10)</f>
        <v>87</v>
      </c>
      <c r="L10" s="27">
        <f>IF(ISNUMBER('TPS Correction'!L10),'TPS Current'!L10*('TPS Correction'!L10+1),'TPS Current'!L10)</f>
        <v>91</v>
      </c>
      <c r="M10" s="27">
        <f>IF(ISNUMBER('TPS Correction'!M10),'TPS Current'!M10*('TPS Correction'!M10+1),'TPS Current'!M10)</f>
        <v>96</v>
      </c>
      <c r="N10" s="27">
        <f>IF(ISNUMBER('TPS Correction'!N10),'TPS Current'!N10*('TPS Correction'!N10+1),'TPS Current'!N10)</f>
        <v>99</v>
      </c>
      <c r="O10" s="27">
        <f>IF(ISNUMBER('TPS Correction'!O10),'TPS Current'!O10*('TPS Correction'!O10+1),'TPS Current'!O10)</f>
        <v>113</v>
      </c>
      <c r="P10" s="27">
        <f>IF(ISNUMBER('TPS Correction'!P10),'TPS Current'!P10*('TPS Correction'!P10+1),'TPS Current'!P10)</f>
        <v>124</v>
      </c>
      <c r="Q10" s="27">
        <f>IF(ISNUMBER('TPS Correction'!Q10),'TPS Current'!Q10*('TPS Correction'!Q10+1),'TPS Current'!Q10)</f>
        <v>134</v>
      </c>
      <c r="R10" s="27">
        <f>IF(ISNUMBER('TPS Correction'!R10),'TPS Current'!R10*('TPS Correction'!R10+1),'TPS Current'!R10)</f>
        <v>139</v>
      </c>
      <c r="S10" s="27">
        <f>IF(ISNUMBER('TPS Correction'!S10),'TPS Current'!S10*('TPS Correction'!S10+1),'TPS Current'!S10)</f>
        <v>140</v>
      </c>
      <c r="T10" s="27">
        <f>IF(ISNUMBER('TPS Correction'!T10),'TPS Current'!T10*('TPS Correction'!T10+1),'TPS Current'!T10)</f>
        <v>141</v>
      </c>
      <c r="U10" s="27">
        <f>IF(ISNUMBER('TPS Correction'!U10),'TPS Current'!U10*('TPS Correction'!U10+1),'TPS Current'!U10)</f>
        <v>142</v>
      </c>
      <c r="V10" s="27">
        <f>IF(ISNUMBER('TPS Correction'!V10),'TPS Current'!V10*('TPS Correction'!V10+1),'TPS Current'!V10)</f>
        <v>143</v>
      </c>
      <c r="W10" s="27">
        <f>IF(ISNUMBER('TPS Correction'!W10),'TPS Current'!W10*('TPS Correction'!W10+1),'TPS Current'!W10)</f>
        <v>146</v>
      </c>
      <c r="X10" s="27">
        <f>IF(ISNUMBER('TPS Correction'!X10),'TPS Current'!X10*('TPS Correction'!X10+1),'TPS Current'!X10)</f>
        <v>155</v>
      </c>
    </row>
    <row r="11" spans="1:24" x14ac:dyDescent="0.25">
      <c r="A11" s="15">
        <v>2600</v>
      </c>
      <c r="B11" s="27">
        <f>IF(ISNUMBER('TPS Correction'!B11),'TPS Current'!B11*('TPS Correction'!B11+1),'TPS Current'!B11)</f>
        <v>32</v>
      </c>
      <c r="C11" s="27">
        <f>IF(ISNUMBER('TPS Correction'!C11),'TPS Current'!C11*('TPS Correction'!C11+1),'TPS Current'!C11)</f>
        <v>32</v>
      </c>
      <c r="D11" s="27">
        <f>IF(ISNUMBER('TPS Correction'!D11),'TPS Current'!D11*('TPS Correction'!D11+1),'TPS Current'!D11)</f>
        <v>37</v>
      </c>
      <c r="E11" s="27">
        <f>IF(ISNUMBER('TPS Correction'!E11),'TPS Current'!E11*('TPS Correction'!E11+1),'TPS Current'!E11)</f>
        <v>42</v>
      </c>
      <c r="F11" s="27">
        <f>IF(ISNUMBER('TPS Correction'!F11),'TPS Current'!F11*('TPS Correction'!F11+1),'TPS Current'!F11)</f>
        <v>54</v>
      </c>
      <c r="G11" s="27">
        <f>IF(ISNUMBER('TPS Correction'!G11),'TPS Current'!G11*('TPS Correction'!G11+1),'TPS Current'!G11)</f>
        <v>60</v>
      </c>
      <c r="H11" s="27">
        <f>IF(ISNUMBER('TPS Correction'!H11),'TPS Current'!H11*('TPS Correction'!H11+1),'TPS Current'!H11)</f>
        <v>66</v>
      </c>
      <c r="I11" s="27">
        <f>IF(ISNUMBER('TPS Correction'!I11),'TPS Current'!I11*('TPS Correction'!I11+1),'TPS Current'!I11)</f>
        <v>70</v>
      </c>
      <c r="J11" s="27">
        <f>IF(ISNUMBER('TPS Correction'!J11),'TPS Current'!J11*('TPS Correction'!J11+1),'TPS Current'!J11)</f>
        <v>78</v>
      </c>
      <c r="K11" s="27">
        <f>IF(ISNUMBER('TPS Correction'!K11),'TPS Current'!K11*('TPS Correction'!K11+1),'TPS Current'!K11)</f>
        <v>82</v>
      </c>
      <c r="L11" s="27">
        <f>IF(ISNUMBER('TPS Correction'!L11),'TPS Current'!L11*('TPS Correction'!L11+1),'TPS Current'!L11)</f>
        <v>88</v>
      </c>
      <c r="M11" s="27">
        <f>IF(ISNUMBER('TPS Correction'!M11),'TPS Current'!M11*('TPS Correction'!M11+1),'TPS Current'!M11)</f>
        <v>92</v>
      </c>
      <c r="N11" s="27">
        <f>IF(ISNUMBER('TPS Correction'!N11),'TPS Current'!N11*('TPS Correction'!N11+1),'TPS Current'!N11)</f>
        <v>97</v>
      </c>
      <c r="O11" s="27">
        <f>IF(ISNUMBER('TPS Correction'!O11),'TPS Current'!O11*('TPS Correction'!O11+1),'TPS Current'!O11)</f>
        <v>109</v>
      </c>
      <c r="P11" s="27">
        <f>IF(ISNUMBER('TPS Correction'!P11),'TPS Current'!P11*('TPS Correction'!P11+1),'TPS Current'!P11)</f>
        <v>122</v>
      </c>
      <c r="Q11" s="27">
        <f>IF(ISNUMBER('TPS Correction'!Q11),'TPS Current'!Q11*('TPS Correction'!Q11+1),'TPS Current'!Q11)</f>
        <v>132</v>
      </c>
      <c r="R11" s="27">
        <f>IF(ISNUMBER('TPS Correction'!R11),'TPS Current'!R11*('TPS Correction'!R11+1),'TPS Current'!R11)</f>
        <v>138</v>
      </c>
      <c r="S11" s="27">
        <f>IF(ISNUMBER('TPS Correction'!S11),'TPS Current'!S11*('TPS Correction'!S11+1),'TPS Current'!S11)</f>
        <v>142</v>
      </c>
      <c r="T11" s="27">
        <f>IF(ISNUMBER('TPS Correction'!T11),'TPS Current'!T11*('TPS Correction'!T11+1),'TPS Current'!T11)</f>
        <v>143</v>
      </c>
      <c r="U11" s="27">
        <f>IF(ISNUMBER('TPS Correction'!U11),'TPS Current'!U11*('TPS Correction'!U11+1),'TPS Current'!U11)</f>
        <v>143</v>
      </c>
      <c r="V11" s="27">
        <f>IF(ISNUMBER('TPS Correction'!V11),'TPS Current'!V11*('TPS Correction'!V11+1),'TPS Current'!V11)</f>
        <v>147</v>
      </c>
      <c r="W11" s="27">
        <f>IF(ISNUMBER('TPS Correction'!W11),'TPS Current'!W11*('TPS Correction'!W11+1),'TPS Current'!W11)</f>
        <v>150</v>
      </c>
      <c r="X11" s="27">
        <f>IF(ISNUMBER('TPS Correction'!X11),'TPS Current'!X11*('TPS Correction'!X11+1),'TPS Current'!X11)</f>
        <v>158</v>
      </c>
    </row>
    <row r="12" spans="1:24" x14ac:dyDescent="0.25">
      <c r="A12" s="15">
        <v>2800</v>
      </c>
      <c r="B12" s="27">
        <f>IF(ISNUMBER('TPS Correction'!B12),'TPS Current'!B12*('TPS Correction'!B12+1),'TPS Current'!B12)</f>
        <v>32</v>
      </c>
      <c r="C12" s="27">
        <f>IF(ISNUMBER('TPS Correction'!C12),'TPS Current'!C12*('TPS Correction'!C12+1),'TPS Current'!C12)</f>
        <v>32</v>
      </c>
      <c r="D12" s="27">
        <f>IF(ISNUMBER('TPS Correction'!D12),'TPS Current'!D12*('TPS Correction'!D12+1),'TPS Current'!D12)</f>
        <v>32</v>
      </c>
      <c r="E12" s="27">
        <f>IF(ISNUMBER('TPS Correction'!E12),'TPS Current'!E12*('TPS Correction'!E12+1),'TPS Current'!E12)</f>
        <v>40</v>
      </c>
      <c r="F12" s="27">
        <f>IF(ISNUMBER('TPS Correction'!F12),'TPS Current'!F12*('TPS Correction'!F12+1),'TPS Current'!F12)</f>
        <v>51</v>
      </c>
      <c r="G12" s="27">
        <f>IF(ISNUMBER('TPS Correction'!G12),'TPS Current'!G12*('TPS Correction'!G12+1),'TPS Current'!G12)</f>
        <v>55</v>
      </c>
      <c r="H12" s="27">
        <f>IF(ISNUMBER('TPS Correction'!H12),'TPS Current'!H12*('TPS Correction'!H12+1),'TPS Current'!H12)</f>
        <v>63</v>
      </c>
      <c r="I12" s="27">
        <f>IF(ISNUMBER('TPS Correction'!I12),'TPS Current'!I12*('TPS Correction'!I12+1),'TPS Current'!I12)</f>
        <v>68</v>
      </c>
      <c r="J12" s="27">
        <f>IF(ISNUMBER('TPS Correction'!J12),'TPS Current'!J12*('TPS Correction'!J12+1),'TPS Current'!J12)</f>
        <v>75</v>
      </c>
      <c r="K12" s="27">
        <f>IF(ISNUMBER('TPS Correction'!K12),'TPS Current'!K12*('TPS Correction'!K12+1),'TPS Current'!K12)</f>
        <v>80</v>
      </c>
      <c r="L12" s="27">
        <f>IF(ISNUMBER('TPS Correction'!L12),'TPS Current'!L12*('TPS Correction'!L12+1),'TPS Current'!L12)</f>
        <v>86</v>
      </c>
      <c r="M12" s="27">
        <f>IF(ISNUMBER('TPS Correction'!M12),'TPS Current'!M12*('TPS Correction'!M12+1),'TPS Current'!M12)</f>
        <v>91</v>
      </c>
      <c r="N12" s="27">
        <f>IF(ISNUMBER('TPS Correction'!N12),'TPS Current'!N12*('TPS Correction'!N12+1),'TPS Current'!N12)</f>
        <v>94</v>
      </c>
      <c r="O12" s="27">
        <f>IF(ISNUMBER('TPS Correction'!O12),'TPS Current'!O12*('TPS Correction'!O12+1),'TPS Current'!O12)</f>
        <v>108</v>
      </c>
      <c r="P12" s="27">
        <f>IF(ISNUMBER('TPS Correction'!P12),'TPS Current'!P12*('TPS Correction'!P12+1),'TPS Current'!P12)</f>
        <v>120</v>
      </c>
      <c r="Q12" s="27">
        <f>IF(ISNUMBER('TPS Correction'!Q12),'TPS Current'!Q12*('TPS Correction'!Q12+1),'TPS Current'!Q12)</f>
        <v>130</v>
      </c>
      <c r="R12" s="27">
        <f>IF(ISNUMBER('TPS Correction'!R12),'TPS Current'!R12*('TPS Correction'!R12+1),'TPS Current'!R12)</f>
        <v>138</v>
      </c>
      <c r="S12" s="27">
        <f>IF(ISNUMBER('TPS Correction'!S12),'TPS Current'!S12*('TPS Correction'!S12+1),'TPS Current'!S12)</f>
        <v>145</v>
      </c>
      <c r="T12" s="27">
        <f>IF(ISNUMBER('TPS Correction'!T12),'TPS Current'!T12*('TPS Correction'!T12+1),'TPS Current'!T12)</f>
        <v>145</v>
      </c>
      <c r="U12" s="27">
        <f>IF(ISNUMBER('TPS Correction'!U12),'TPS Current'!U12*('TPS Correction'!U12+1),'TPS Current'!U12)</f>
        <v>147</v>
      </c>
      <c r="V12" s="27">
        <f>IF(ISNUMBER('TPS Correction'!V12),'TPS Current'!V12*('TPS Correction'!V12+1),'TPS Current'!V12)</f>
        <v>150</v>
      </c>
      <c r="W12" s="27">
        <f>IF(ISNUMBER('TPS Correction'!W12),'TPS Current'!W12*('TPS Correction'!W12+1),'TPS Current'!W12)</f>
        <v>154</v>
      </c>
      <c r="X12" s="27">
        <f>IF(ISNUMBER('TPS Correction'!X12),'TPS Current'!X12*('TPS Correction'!X12+1),'TPS Current'!X12)</f>
        <v>160</v>
      </c>
    </row>
    <row r="13" spans="1:24" x14ac:dyDescent="0.25">
      <c r="A13" s="15">
        <v>3000</v>
      </c>
      <c r="B13" s="27">
        <f>IF(ISNUMBER('TPS Correction'!B13),'TPS Current'!B13*('TPS Correction'!B13+1),'TPS Current'!B13)</f>
        <v>30</v>
      </c>
      <c r="C13" s="27">
        <f>IF(ISNUMBER('TPS Correction'!C13),'TPS Current'!C13*('TPS Correction'!C13+1),'TPS Current'!C13)</f>
        <v>30</v>
      </c>
      <c r="D13" s="27">
        <f>IF(ISNUMBER('TPS Correction'!D13),'TPS Current'!D13*('TPS Correction'!D13+1),'TPS Current'!D13)</f>
        <v>30</v>
      </c>
      <c r="E13" s="27">
        <f>IF(ISNUMBER('TPS Correction'!E13),'TPS Current'!E13*('TPS Correction'!E13+1),'TPS Current'!E13)</f>
        <v>38</v>
      </c>
      <c r="F13" s="27">
        <f>IF(ISNUMBER('TPS Correction'!F13),'TPS Current'!F13*('TPS Correction'!F13+1),'TPS Current'!F13)</f>
        <v>47</v>
      </c>
      <c r="G13" s="27">
        <f>IF(ISNUMBER('TPS Correction'!G13),'TPS Current'!G13*('TPS Correction'!G13+1),'TPS Current'!G13)</f>
        <v>52</v>
      </c>
      <c r="H13" s="27">
        <f>IF(ISNUMBER('TPS Correction'!H13),'TPS Current'!H13*('TPS Correction'!H13+1),'TPS Current'!H13)</f>
        <v>61</v>
      </c>
      <c r="I13" s="27">
        <f>IF(ISNUMBER('TPS Correction'!I13),'TPS Current'!I13*('TPS Correction'!I13+1),'TPS Current'!I13)</f>
        <v>66</v>
      </c>
      <c r="J13" s="27">
        <f>IF(ISNUMBER('TPS Correction'!J13),'TPS Current'!J13*('TPS Correction'!J13+1),'TPS Current'!J13)</f>
        <v>74</v>
      </c>
      <c r="K13" s="27">
        <f>IF(ISNUMBER('TPS Correction'!K13),'TPS Current'!K13*('TPS Correction'!K13+1),'TPS Current'!K13)</f>
        <v>80</v>
      </c>
      <c r="L13" s="27">
        <f>IF(ISNUMBER('TPS Correction'!L13),'TPS Current'!L13*('TPS Correction'!L13+1),'TPS Current'!L13)</f>
        <v>86</v>
      </c>
      <c r="M13" s="27">
        <f>IF(ISNUMBER('TPS Correction'!M13),'TPS Current'!M13*('TPS Correction'!M13+1),'TPS Current'!M13)</f>
        <v>91</v>
      </c>
      <c r="N13" s="27">
        <f>IF(ISNUMBER('TPS Correction'!N13),'TPS Current'!N13*('TPS Correction'!N13+1),'TPS Current'!N13)</f>
        <v>96</v>
      </c>
      <c r="O13" s="27">
        <f>IF(ISNUMBER('TPS Correction'!O13),'TPS Current'!O13*('TPS Correction'!O13+1),'TPS Current'!O13)</f>
        <v>112</v>
      </c>
      <c r="P13" s="27">
        <f>IF(ISNUMBER('TPS Correction'!P13),'TPS Current'!P13*('TPS Correction'!P13+1),'TPS Current'!P13)</f>
        <v>127</v>
      </c>
      <c r="Q13" s="27">
        <f>IF(ISNUMBER('TPS Correction'!Q13),'TPS Current'!Q13*('TPS Correction'!Q13+1),'TPS Current'!Q13)</f>
        <v>135</v>
      </c>
      <c r="R13" s="27">
        <f>IF(ISNUMBER('TPS Correction'!R13),'TPS Current'!R13*('TPS Correction'!R13+1),'TPS Current'!R13)</f>
        <v>146</v>
      </c>
      <c r="S13" s="27">
        <f>IF(ISNUMBER('TPS Correction'!S13),'TPS Current'!S13*('TPS Correction'!S13+1),'TPS Current'!S13)</f>
        <v>153</v>
      </c>
      <c r="T13" s="27">
        <f>IF(ISNUMBER('TPS Correction'!T13),'TPS Current'!T13*('TPS Correction'!T13+1),'TPS Current'!T13)</f>
        <v>153</v>
      </c>
      <c r="U13" s="27">
        <f>IF(ISNUMBER('TPS Correction'!U13),'TPS Current'!U13*('TPS Correction'!U13+1),'TPS Current'!U13)</f>
        <v>154</v>
      </c>
      <c r="V13" s="27">
        <f>IF(ISNUMBER('TPS Correction'!V13),'TPS Current'!V13*('TPS Correction'!V13+1),'TPS Current'!V13)</f>
        <v>159</v>
      </c>
      <c r="W13" s="27">
        <f>IF(ISNUMBER('TPS Correction'!W13),'TPS Current'!W13*('TPS Correction'!W13+1),'TPS Current'!W13)</f>
        <v>163</v>
      </c>
      <c r="X13" s="27">
        <f>IF(ISNUMBER('TPS Correction'!X13),'TPS Current'!X13*('TPS Correction'!X13+1),'TPS Current'!X13)</f>
        <v>167</v>
      </c>
    </row>
    <row r="14" spans="1:24" x14ac:dyDescent="0.25">
      <c r="A14" s="15">
        <v>3200</v>
      </c>
      <c r="B14" s="27">
        <f>IF(ISNUMBER('TPS Correction'!B14),'TPS Current'!B14*('TPS Correction'!B14+1),'TPS Current'!B14)</f>
        <v>30</v>
      </c>
      <c r="C14" s="27">
        <f>IF(ISNUMBER('TPS Correction'!C14),'TPS Current'!C14*('TPS Correction'!C14+1),'TPS Current'!C14)</f>
        <v>30</v>
      </c>
      <c r="D14" s="27">
        <f>IF(ISNUMBER('TPS Correction'!D14),'TPS Current'!D14*('TPS Correction'!D14+1),'TPS Current'!D14)</f>
        <v>30</v>
      </c>
      <c r="E14" s="27">
        <f>IF(ISNUMBER('TPS Correction'!E14),'TPS Current'!E14*('TPS Correction'!E14+1),'TPS Current'!E14)</f>
        <v>36</v>
      </c>
      <c r="F14" s="27">
        <f>IF(ISNUMBER('TPS Correction'!F14),'TPS Current'!F14*('TPS Correction'!F14+1),'TPS Current'!F14)</f>
        <v>43</v>
      </c>
      <c r="G14" s="27">
        <f>IF(ISNUMBER('TPS Correction'!G14),'TPS Current'!G14*('TPS Correction'!G14+1),'TPS Current'!G14)</f>
        <v>50</v>
      </c>
      <c r="H14" s="27">
        <f>IF(ISNUMBER('TPS Correction'!H14),'TPS Current'!H14*('TPS Correction'!H14+1),'TPS Current'!H14)</f>
        <v>60</v>
      </c>
      <c r="I14" s="27">
        <f>IF(ISNUMBER('TPS Correction'!I14),'TPS Current'!I14*('TPS Correction'!I14+1),'TPS Current'!I14)</f>
        <v>64</v>
      </c>
      <c r="J14" s="27">
        <f>IF(ISNUMBER('TPS Correction'!J14),'TPS Current'!J14*('TPS Correction'!J14+1),'TPS Current'!J14)</f>
        <v>74</v>
      </c>
      <c r="K14" s="27">
        <f>IF(ISNUMBER('TPS Correction'!K14),'TPS Current'!K14*('TPS Correction'!K14+1),'TPS Current'!K14)</f>
        <v>80</v>
      </c>
      <c r="L14" s="27">
        <f>IF(ISNUMBER('TPS Correction'!L14),'TPS Current'!L14*('TPS Correction'!L14+1),'TPS Current'!L14)</f>
        <v>85</v>
      </c>
      <c r="M14" s="27">
        <f>IF(ISNUMBER('TPS Correction'!M14),'TPS Current'!M14*('TPS Correction'!M14+1),'TPS Current'!M14)</f>
        <v>90</v>
      </c>
      <c r="N14" s="27">
        <f>IF(ISNUMBER('TPS Correction'!N14),'TPS Current'!N14*('TPS Correction'!N14+1),'TPS Current'!N14)</f>
        <v>97</v>
      </c>
      <c r="O14" s="27">
        <f>IF(ISNUMBER('TPS Correction'!O14),'TPS Current'!O14*('TPS Correction'!O14+1),'TPS Current'!O14)</f>
        <v>117</v>
      </c>
      <c r="P14" s="27">
        <f>IF(ISNUMBER('TPS Correction'!P14),'TPS Current'!P14*('TPS Correction'!P14+1),'TPS Current'!P14)</f>
        <v>132</v>
      </c>
      <c r="Q14" s="27">
        <f>IF(ISNUMBER('TPS Correction'!Q14),'TPS Current'!Q14*('TPS Correction'!Q14+1),'TPS Current'!Q14)</f>
        <v>141</v>
      </c>
      <c r="R14" s="27">
        <f>IF(ISNUMBER('TPS Correction'!R14),'TPS Current'!R14*('TPS Correction'!R14+1),'TPS Current'!R14)</f>
        <v>152</v>
      </c>
      <c r="S14" s="27">
        <f>IF(ISNUMBER('TPS Correction'!S14),'TPS Current'!S14*('TPS Correction'!S14+1),'TPS Current'!S14)</f>
        <v>161</v>
      </c>
      <c r="T14" s="27">
        <f>IF(ISNUMBER('TPS Correction'!T14),'TPS Current'!T14*('TPS Correction'!T14+1),'TPS Current'!T14)</f>
        <v>161</v>
      </c>
      <c r="U14" s="27">
        <f>IF(ISNUMBER('TPS Correction'!U14),'TPS Current'!U14*('TPS Correction'!U14+1),'TPS Current'!U14)</f>
        <v>162</v>
      </c>
      <c r="V14" s="27">
        <f>IF(ISNUMBER('TPS Correction'!V14),'TPS Current'!V14*('TPS Correction'!V14+1),'TPS Current'!V14)</f>
        <v>166</v>
      </c>
      <c r="W14" s="27">
        <f>IF(ISNUMBER('TPS Correction'!W14),'TPS Current'!W14*('TPS Correction'!W14+1),'TPS Current'!W14)</f>
        <v>171</v>
      </c>
      <c r="X14" s="27">
        <f>IF(ISNUMBER('TPS Correction'!X14),'TPS Current'!X14*('TPS Correction'!X14+1),'TPS Current'!X14)</f>
        <v>172</v>
      </c>
    </row>
    <row r="15" spans="1:24" x14ac:dyDescent="0.25">
      <c r="A15" s="15">
        <v>3400</v>
      </c>
      <c r="B15" s="27">
        <f>IF(ISNUMBER('TPS Correction'!B15),'TPS Current'!B15*('TPS Correction'!B15+1),'TPS Current'!B15)</f>
        <v>30</v>
      </c>
      <c r="C15" s="27">
        <f>IF(ISNUMBER('TPS Correction'!C15),'TPS Current'!C15*('TPS Correction'!C15+1),'TPS Current'!C15)</f>
        <v>30</v>
      </c>
      <c r="D15" s="27">
        <f>IF(ISNUMBER('TPS Correction'!D15),'TPS Current'!D15*('TPS Correction'!D15+1),'TPS Current'!D15)</f>
        <v>30</v>
      </c>
      <c r="E15" s="27">
        <f>IF(ISNUMBER('TPS Correction'!E15),'TPS Current'!E15*('TPS Correction'!E15+1),'TPS Current'!E15)</f>
        <v>34</v>
      </c>
      <c r="F15" s="27">
        <f>IF(ISNUMBER('TPS Correction'!F15),'TPS Current'!F15*('TPS Correction'!F15+1),'TPS Current'!F15)</f>
        <v>41</v>
      </c>
      <c r="G15" s="27">
        <f>IF(ISNUMBER('TPS Correction'!G15),'TPS Current'!G15*('TPS Correction'!G15+1),'TPS Current'!G15)</f>
        <v>47</v>
      </c>
      <c r="H15" s="27">
        <f>IF(ISNUMBER('TPS Correction'!H15),'TPS Current'!H15*('TPS Correction'!H15+1),'TPS Current'!H15)</f>
        <v>58</v>
      </c>
      <c r="I15" s="27">
        <f>IF(ISNUMBER('TPS Correction'!I15),'TPS Current'!I15*('TPS Correction'!I15+1),'TPS Current'!I15)</f>
        <v>63</v>
      </c>
      <c r="J15" s="27">
        <f>IF(ISNUMBER('TPS Correction'!J15),'TPS Current'!J15*('TPS Correction'!J15+1),'TPS Current'!J15)</f>
        <v>72</v>
      </c>
      <c r="K15" s="27">
        <f>IF(ISNUMBER('TPS Correction'!K15),'TPS Current'!K15*('TPS Correction'!K15+1),'TPS Current'!K15)</f>
        <v>80</v>
      </c>
      <c r="L15" s="27">
        <f>IF(ISNUMBER('TPS Correction'!L15),'TPS Current'!L15*('TPS Correction'!L15+1),'TPS Current'!L15)</f>
        <v>85</v>
      </c>
      <c r="M15" s="27">
        <f>IF(ISNUMBER('TPS Correction'!M15),'TPS Current'!M15*('TPS Correction'!M15+1),'TPS Current'!M15)</f>
        <v>91</v>
      </c>
      <c r="N15" s="27">
        <f>IF(ISNUMBER('TPS Correction'!N15),'TPS Current'!N15*('TPS Correction'!N15+1),'TPS Current'!N15)</f>
        <v>97</v>
      </c>
      <c r="O15" s="27">
        <f>IF(ISNUMBER('TPS Correction'!O15),'TPS Current'!O15*('TPS Correction'!O15+1),'TPS Current'!O15)</f>
        <v>116</v>
      </c>
      <c r="P15" s="27">
        <f>IF(ISNUMBER('TPS Correction'!P15),'TPS Current'!P15*('TPS Correction'!P15+1),'TPS Current'!P15)</f>
        <v>132</v>
      </c>
      <c r="Q15" s="27">
        <f>IF(ISNUMBER('TPS Correction'!Q15),'TPS Current'!Q15*('TPS Correction'!Q15+1),'TPS Current'!Q15)</f>
        <v>143</v>
      </c>
      <c r="R15" s="27">
        <f>IF(ISNUMBER('TPS Correction'!R15),'TPS Current'!R15*('TPS Correction'!R15+1),'TPS Current'!R15)</f>
        <v>155</v>
      </c>
      <c r="S15" s="27">
        <f>IF(ISNUMBER('TPS Correction'!S15),'TPS Current'!S15*('TPS Correction'!S15+1),'TPS Current'!S15)</f>
        <v>166</v>
      </c>
      <c r="T15" s="27">
        <f>IF(ISNUMBER('TPS Correction'!T15),'TPS Current'!T15*('TPS Correction'!T15+1),'TPS Current'!T15)</f>
        <v>169</v>
      </c>
      <c r="U15" s="27">
        <f>IF(ISNUMBER('TPS Correction'!U15),'TPS Current'!U15*('TPS Correction'!U15+1),'TPS Current'!U15)</f>
        <v>170</v>
      </c>
      <c r="V15" s="27">
        <f>IF(ISNUMBER('TPS Correction'!V15),'TPS Current'!V15*('TPS Correction'!V15+1),'TPS Current'!V15)</f>
        <v>173</v>
      </c>
      <c r="W15" s="27">
        <f>IF(ISNUMBER('TPS Correction'!W15),'TPS Current'!W15*('TPS Correction'!W15+1),'TPS Current'!W15)</f>
        <v>178</v>
      </c>
      <c r="X15" s="27">
        <f>IF(ISNUMBER('TPS Correction'!X15),'TPS Current'!X15*('TPS Correction'!X15+1),'TPS Current'!X15)</f>
        <v>186</v>
      </c>
    </row>
    <row r="16" spans="1:24" x14ac:dyDescent="0.25">
      <c r="A16" s="15">
        <v>3600</v>
      </c>
      <c r="B16" s="27">
        <f>IF(ISNUMBER('TPS Correction'!B16),'TPS Current'!B16*('TPS Correction'!B16+1),'TPS Current'!B16)</f>
        <v>30</v>
      </c>
      <c r="C16" s="27">
        <f>IF(ISNUMBER('TPS Correction'!C16),'TPS Current'!C16*('TPS Correction'!C16+1),'TPS Current'!C16)</f>
        <v>30</v>
      </c>
      <c r="D16" s="27">
        <f>IF(ISNUMBER('TPS Correction'!D16),'TPS Current'!D16*('TPS Correction'!D16+1),'TPS Current'!D16)</f>
        <v>30</v>
      </c>
      <c r="E16" s="27">
        <f>IF(ISNUMBER('TPS Correction'!E16),'TPS Current'!E16*('TPS Correction'!E16+1),'TPS Current'!E16)</f>
        <v>32</v>
      </c>
      <c r="F16" s="27">
        <f>IF(ISNUMBER('TPS Correction'!F16),'TPS Current'!F16*('TPS Correction'!F16+1),'TPS Current'!F16)</f>
        <v>39</v>
      </c>
      <c r="G16" s="27">
        <f>IF(ISNUMBER('TPS Correction'!G16),'TPS Current'!G16*('TPS Correction'!G16+1),'TPS Current'!G16)</f>
        <v>46</v>
      </c>
      <c r="H16" s="27">
        <f>IF(ISNUMBER('TPS Correction'!H16),'TPS Current'!H16*('TPS Correction'!H16+1),'TPS Current'!H16)</f>
        <v>54</v>
      </c>
      <c r="I16" s="27">
        <f>IF(ISNUMBER('TPS Correction'!I16),'TPS Current'!I16*('TPS Correction'!I16+1),'TPS Current'!I16)</f>
        <v>61</v>
      </c>
      <c r="J16" s="27">
        <f>IF(ISNUMBER('TPS Correction'!J16),'TPS Current'!J16*('TPS Correction'!J16+1),'TPS Current'!J16)</f>
        <v>71</v>
      </c>
      <c r="K16" s="27">
        <f>IF(ISNUMBER('TPS Correction'!K16),'TPS Current'!K16*('TPS Correction'!K16+1),'TPS Current'!K16)</f>
        <v>81</v>
      </c>
      <c r="L16" s="27">
        <f>IF(ISNUMBER('TPS Correction'!L16),'TPS Current'!L16*('TPS Correction'!L16+1),'TPS Current'!L16)</f>
        <v>86</v>
      </c>
      <c r="M16" s="27">
        <f>IF(ISNUMBER('TPS Correction'!M16),'TPS Current'!M16*('TPS Correction'!M16+1),'TPS Current'!M16)</f>
        <v>91</v>
      </c>
      <c r="N16" s="27">
        <f>IF(ISNUMBER('TPS Correction'!N16),'TPS Current'!N16*('TPS Correction'!N16+1),'TPS Current'!N16)</f>
        <v>98</v>
      </c>
      <c r="O16" s="27">
        <f>IF(ISNUMBER('TPS Correction'!O16),'TPS Current'!O16*('TPS Correction'!O16+1),'TPS Current'!O16)</f>
        <v>114</v>
      </c>
      <c r="P16" s="27">
        <f>IF(ISNUMBER('TPS Correction'!P16),'TPS Current'!P16*('TPS Correction'!P16+1),'TPS Current'!P16)</f>
        <v>128</v>
      </c>
      <c r="Q16" s="27">
        <f>IF(ISNUMBER('TPS Correction'!Q16),'TPS Current'!Q16*('TPS Correction'!Q16+1),'TPS Current'!Q16)</f>
        <v>143</v>
      </c>
      <c r="R16" s="27">
        <f>IF(ISNUMBER('TPS Correction'!R16),'TPS Current'!R16*('TPS Correction'!R16+1),'TPS Current'!R16)</f>
        <v>158</v>
      </c>
      <c r="S16" s="27">
        <f>IF(ISNUMBER('TPS Correction'!S16),'TPS Current'!S16*('TPS Correction'!S16+1),'TPS Current'!S16)</f>
        <v>172</v>
      </c>
      <c r="T16" s="27">
        <f>IF(ISNUMBER('TPS Correction'!T16),'TPS Current'!T16*('TPS Correction'!T16+1),'TPS Current'!T16)</f>
        <v>174</v>
      </c>
      <c r="U16" s="27">
        <f>IF(ISNUMBER('TPS Correction'!U16),'TPS Current'!U16*('TPS Correction'!U16+1),'TPS Current'!U16)</f>
        <v>174</v>
      </c>
      <c r="V16" s="27">
        <f>IF(ISNUMBER('TPS Correction'!V16),'TPS Current'!V16*('TPS Correction'!V16+1),'TPS Current'!V16)</f>
        <v>178</v>
      </c>
      <c r="W16" s="27">
        <f>IF(ISNUMBER('TPS Correction'!W16),'TPS Current'!W16*('TPS Correction'!W16+1),'TPS Current'!W16)</f>
        <v>185</v>
      </c>
      <c r="X16" s="27">
        <f>IF(ISNUMBER('TPS Correction'!X16),'TPS Current'!X16*('TPS Correction'!X16+1),'TPS Current'!X16)</f>
        <v>195</v>
      </c>
    </row>
    <row r="17" spans="1:24" x14ac:dyDescent="0.25">
      <c r="A17" s="15">
        <v>3800</v>
      </c>
      <c r="B17" s="27">
        <f>IF(ISNUMBER('TPS Correction'!B17),'TPS Current'!B17*('TPS Correction'!B17+1),'TPS Current'!B17)</f>
        <v>30</v>
      </c>
      <c r="C17" s="27">
        <f>IF(ISNUMBER('TPS Correction'!C17),'TPS Current'!C17*('TPS Correction'!C17+1),'TPS Current'!C17)</f>
        <v>30</v>
      </c>
      <c r="D17" s="27">
        <f>IF(ISNUMBER('TPS Correction'!D17),'TPS Current'!D17*('TPS Correction'!D17+1),'TPS Current'!D17)</f>
        <v>30</v>
      </c>
      <c r="E17" s="27">
        <f>IF(ISNUMBER('TPS Correction'!E17),'TPS Current'!E17*('TPS Correction'!E17+1),'TPS Current'!E17)</f>
        <v>32</v>
      </c>
      <c r="F17" s="27">
        <f>IF(ISNUMBER('TPS Correction'!F17),'TPS Current'!F17*('TPS Correction'!F17+1),'TPS Current'!F17)</f>
        <v>38</v>
      </c>
      <c r="G17" s="27">
        <f>IF(ISNUMBER('TPS Correction'!G17),'TPS Current'!G17*('TPS Correction'!G17+1),'TPS Current'!G17)</f>
        <v>46</v>
      </c>
      <c r="H17" s="27">
        <f>IF(ISNUMBER('TPS Correction'!H17),'TPS Current'!H17*('TPS Correction'!H17+1),'TPS Current'!H17)</f>
        <v>54</v>
      </c>
      <c r="I17" s="27">
        <f>IF(ISNUMBER('TPS Correction'!I17),'TPS Current'!I17*('TPS Correction'!I17+1),'TPS Current'!I17)</f>
        <v>60</v>
      </c>
      <c r="J17" s="27">
        <f>IF(ISNUMBER('TPS Correction'!J17),'TPS Current'!J17*('TPS Correction'!J17+1),'TPS Current'!J17)</f>
        <v>71</v>
      </c>
      <c r="K17" s="27">
        <f>IF(ISNUMBER('TPS Correction'!K17),'TPS Current'!K17*('TPS Correction'!K17+1),'TPS Current'!K17)</f>
        <v>82</v>
      </c>
      <c r="L17" s="27">
        <f>IF(ISNUMBER('TPS Correction'!L17),'TPS Current'!L17*('TPS Correction'!L17+1),'TPS Current'!L17)</f>
        <v>87</v>
      </c>
      <c r="M17" s="27">
        <f>IF(ISNUMBER('TPS Correction'!M17),'TPS Current'!M17*('TPS Correction'!M17+1),'TPS Current'!M17)</f>
        <v>92</v>
      </c>
      <c r="N17" s="27">
        <f>IF(ISNUMBER('TPS Correction'!N17),'TPS Current'!N17*('TPS Correction'!N17+1),'TPS Current'!N17)</f>
        <v>97</v>
      </c>
      <c r="O17" s="27">
        <f>IF(ISNUMBER('TPS Correction'!O17),'TPS Current'!O17*('TPS Correction'!O17+1),'TPS Current'!O17)</f>
        <v>112</v>
      </c>
      <c r="P17" s="27">
        <f>IF(ISNUMBER('TPS Correction'!P17),'TPS Current'!P17*('TPS Correction'!P17+1),'TPS Current'!P17)</f>
        <v>128</v>
      </c>
      <c r="Q17" s="27">
        <f>IF(ISNUMBER('TPS Correction'!Q17),'TPS Current'!Q17*('TPS Correction'!Q17+1),'TPS Current'!Q17)</f>
        <v>141</v>
      </c>
      <c r="R17" s="27">
        <f>IF(ISNUMBER('TPS Correction'!R17),'TPS Current'!R17*('TPS Correction'!R17+1),'TPS Current'!R17)</f>
        <v>155</v>
      </c>
      <c r="S17" s="27">
        <f>IF(ISNUMBER('TPS Correction'!S17),'TPS Current'!S17*('TPS Correction'!S17+1),'TPS Current'!S17)</f>
        <v>172</v>
      </c>
      <c r="T17" s="27">
        <f>IF(ISNUMBER('TPS Correction'!T17),'TPS Current'!T17*('TPS Correction'!T17+1),'TPS Current'!T17)</f>
        <v>176</v>
      </c>
      <c r="U17" s="27">
        <f>IF(ISNUMBER('TPS Correction'!U17),'TPS Current'!U17*('TPS Correction'!U17+1),'TPS Current'!U17)</f>
        <v>177</v>
      </c>
      <c r="V17" s="27">
        <f>IF(ISNUMBER('TPS Correction'!V17),'TPS Current'!V17*('TPS Correction'!V17+1),'TPS Current'!V17)</f>
        <v>182</v>
      </c>
      <c r="W17" s="27">
        <f>IF(ISNUMBER('TPS Correction'!W17),'TPS Current'!W17*('TPS Correction'!W17+1),'TPS Current'!W17)</f>
        <v>184</v>
      </c>
      <c r="X17" s="27">
        <f>IF(ISNUMBER('TPS Correction'!X17),'TPS Current'!X17*('TPS Correction'!X17+1),'TPS Current'!X17)</f>
        <v>198</v>
      </c>
    </row>
    <row r="18" spans="1:24" x14ac:dyDescent="0.25">
      <c r="A18" s="15">
        <v>4000</v>
      </c>
      <c r="B18" s="27">
        <f>IF(ISNUMBER('TPS Correction'!B18),'TPS Current'!B18*('TPS Correction'!B18+1),'TPS Current'!B18)</f>
        <v>30</v>
      </c>
      <c r="C18" s="27">
        <f>IF(ISNUMBER('TPS Correction'!C18),'TPS Current'!C18*('TPS Correction'!C18+1),'TPS Current'!C18)</f>
        <v>30</v>
      </c>
      <c r="D18" s="27">
        <f>IF(ISNUMBER('TPS Correction'!D18),'TPS Current'!D18*('TPS Correction'!D18+1),'TPS Current'!D18)</f>
        <v>30</v>
      </c>
      <c r="E18" s="27">
        <f>IF(ISNUMBER('TPS Correction'!E18),'TPS Current'!E18*('TPS Correction'!E18+1),'TPS Current'!E18)</f>
        <v>32</v>
      </c>
      <c r="F18" s="27">
        <f>IF(ISNUMBER('TPS Correction'!F18),'TPS Current'!F18*('TPS Correction'!F18+1),'TPS Current'!F18)</f>
        <v>38</v>
      </c>
      <c r="G18" s="27">
        <f>IF(ISNUMBER('TPS Correction'!G18),'TPS Current'!G18*('TPS Correction'!G18+1),'TPS Current'!G18)</f>
        <v>46</v>
      </c>
      <c r="H18" s="27">
        <f>IF(ISNUMBER('TPS Correction'!H18),'TPS Current'!H18*('TPS Correction'!H18+1),'TPS Current'!H18)</f>
        <v>54</v>
      </c>
      <c r="I18" s="27">
        <f>IF(ISNUMBER('TPS Correction'!I18),'TPS Current'!I18*('TPS Correction'!I18+1),'TPS Current'!I18)</f>
        <v>59</v>
      </c>
      <c r="J18" s="27">
        <f>IF(ISNUMBER('TPS Correction'!J18),'TPS Current'!J18*('TPS Correction'!J18+1),'TPS Current'!J18)</f>
        <v>74</v>
      </c>
      <c r="K18" s="27">
        <f>IF(ISNUMBER('TPS Correction'!K18),'TPS Current'!K18*('TPS Correction'!K18+1),'TPS Current'!K18)</f>
        <v>84</v>
      </c>
      <c r="L18" s="27">
        <f>IF(ISNUMBER('TPS Correction'!L18),'TPS Current'!L18*('TPS Correction'!L18+1),'TPS Current'!L18)</f>
        <v>89</v>
      </c>
      <c r="M18" s="27">
        <f>IF(ISNUMBER('TPS Correction'!M18),'TPS Current'!M18*('TPS Correction'!M18+1),'TPS Current'!M18)</f>
        <v>92</v>
      </c>
      <c r="N18" s="27">
        <f>IF(ISNUMBER('TPS Correction'!N18),'TPS Current'!N18*('TPS Correction'!N18+1),'TPS Current'!N18)</f>
        <v>97</v>
      </c>
      <c r="O18" s="27">
        <f>IF(ISNUMBER('TPS Correction'!O18),'TPS Current'!O18*('TPS Correction'!O18+1),'TPS Current'!O18)</f>
        <v>111</v>
      </c>
      <c r="P18" s="27">
        <f>IF(ISNUMBER('TPS Correction'!P18),'TPS Current'!P18*('TPS Correction'!P18+1),'TPS Current'!P18)</f>
        <v>126</v>
      </c>
      <c r="Q18" s="27">
        <f>IF(ISNUMBER('TPS Correction'!Q18),'TPS Current'!Q18*('TPS Correction'!Q18+1),'TPS Current'!Q18)</f>
        <v>139</v>
      </c>
      <c r="R18" s="27">
        <f>IF(ISNUMBER('TPS Correction'!R18),'TPS Current'!R18*('TPS Correction'!R18+1),'TPS Current'!R18)</f>
        <v>152</v>
      </c>
      <c r="S18" s="27">
        <f>IF(ISNUMBER('TPS Correction'!S18),'TPS Current'!S18*('TPS Correction'!S18+1),'TPS Current'!S18)</f>
        <v>172</v>
      </c>
      <c r="T18" s="27">
        <f>IF(ISNUMBER('TPS Correction'!T18),'TPS Current'!T18*('TPS Correction'!T18+1),'TPS Current'!T18)</f>
        <v>181</v>
      </c>
      <c r="U18" s="27">
        <f>IF(ISNUMBER('TPS Correction'!U18),'TPS Current'!U18*('TPS Correction'!U18+1),'TPS Current'!U18)</f>
        <v>178</v>
      </c>
      <c r="V18" s="27">
        <f>IF(ISNUMBER('TPS Correction'!V18),'TPS Current'!V18*('TPS Correction'!V18+1),'TPS Current'!V18)</f>
        <v>183</v>
      </c>
      <c r="W18" s="27">
        <f>IF(ISNUMBER('TPS Correction'!W18),'TPS Current'!W18*('TPS Correction'!W18+1),'TPS Current'!W18)</f>
        <v>184</v>
      </c>
      <c r="X18" s="27">
        <f>IF(ISNUMBER('TPS Correction'!X18),'TPS Current'!X18*('TPS Correction'!X18+1),'TPS Current'!X18)</f>
        <v>201</v>
      </c>
    </row>
    <row r="19" spans="1:24" x14ac:dyDescent="0.25">
      <c r="A19" s="15">
        <v>4200</v>
      </c>
      <c r="B19" s="27">
        <f>IF(ISNUMBER('TPS Correction'!B19),'TPS Current'!B19*('TPS Correction'!B19+1),'TPS Current'!B19)</f>
        <v>30</v>
      </c>
      <c r="C19" s="27">
        <f>IF(ISNUMBER('TPS Correction'!C19),'TPS Current'!C19*('TPS Correction'!C19+1),'TPS Current'!C19)</f>
        <v>30</v>
      </c>
      <c r="D19" s="27">
        <f>IF(ISNUMBER('TPS Correction'!D19),'TPS Current'!D19*('TPS Correction'!D19+1),'TPS Current'!D19)</f>
        <v>30</v>
      </c>
      <c r="E19" s="27">
        <f>IF(ISNUMBER('TPS Correction'!E19),'TPS Current'!E19*('TPS Correction'!E19+1),'TPS Current'!E19)</f>
        <v>32</v>
      </c>
      <c r="F19" s="27">
        <f>IF(ISNUMBER('TPS Correction'!F19),'TPS Current'!F19*('TPS Correction'!F19+1),'TPS Current'!F19)</f>
        <v>37</v>
      </c>
      <c r="G19" s="27">
        <f>IF(ISNUMBER('TPS Correction'!G19),'TPS Current'!G19*('TPS Correction'!G19+1),'TPS Current'!G19)</f>
        <v>45</v>
      </c>
      <c r="H19" s="27">
        <f>IF(ISNUMBER('TPS Correction'!H19),'TPS Current'!H19*('TPS Correction'!H19+1),'TPS Current'!H19)</f>
        <v>52</v>
      </c>
      <c r="I19" s="27">
        <f>IF(ISNUMBER('TPS Correction'!I19),'TPS Current'!I19*('TPS Correction'!I19+1),'TPS Current'!I19)</f>
        <v>58</v>
      </c>
      <c r="J19" s="27">
        <f>IF(ISNUMBER('TPS Correction'!J19),'TPS Current'!J19*('TPS Correction'!J19+1),'TPS Current'!J19)</f>
        <v>72</v>
      </c>
      <c r="K19" s="27">
        <f>IF(ISNUMBER('TPS Correction'!K19),'TPS Current'!K19*('TPS Correction'!K19+1),'TPS Current'!K19)</f>
        <v>84</v>
      </c>
      <c r="L19" s="27">
        <f>IF(ISNUMBER('TPS Correction'!L19),'TPS Current'!L19*('TPS Correction'!L19+1),'TPS Current'!L19)</f>
        <v>89</v>
      </c>
      <c r="M19" s="27">
        <f>IF(ISNUMBER('TPS Correction'!M19),'TPS Current'!M19*('TPS Correction'!M19+1),'TPS Current'!M19)</f>
        <v>93</v>
      </c>
      <c r="N19" s="27">
        <f>IF(ISNUMBER('TPS Correction'!N19),'TPS Current'!N19*('TPS Correction'!N19+1),'TPS Current'!N19)</f>
        <v>98</v>
      </c>
      <c r="O19" s="27">
        <f>IF(ISNUMBER('TPS Correction'!O19),'TPS Current'!O19*('TPS Correction'!O19+1),'TPS Current'!O19)</f>
        <v>110</v>
      </c>
      <c r="P19" s="27">
        <f>IF(ISNUMBER('TPS Correction'!P19),'TPS Current'!P19*('TPS Correction'!P19+1),'TPS Current'!P19)</f>
        <v>124</v>
      </c>
      <c r="Q19" s="27">
        <f>IF(ISNUMBER('TPS Correction'!Q19),'TPS Current'!Q19*('TPS Correction'!Q19+1),'TPS Current'!Q19)</f>
        <v>135</v>
      </c>
      <c r="R19" s="27">
        <f>IF(ISNUMBER('TPS Correction'!R19),'TPS Current'!R19*('TPS Correction'!R19+1),'TPS Current'!R19)</f>
        <v>148</v>
      </c>
      <c r="S19" s="27">
        <f>IF(ISNUMBER('TPS Correction'!S19),'TPS Current'!S19*('TPS Correction'!S19+1),'TPS Current'!S19)</f>
        <v>171</v>
      </c>
      <c r="T19" s="27">
        <f>IF(ISNUMBER('TPS Correction'!T19),'TPS Current'!T19*('TPS Correction'!T19+1),'TPS Current'!T19)</f>
        <v>181</v>
      </c>
      <c r="U19" s="27">
        <f>IF(ISNUMBER('TPS Correction'!U19),'TPS Current'!U19*('TPS Correction'!U19+1),'TPS Current'!U19)</f>
        <v>181</v>
      </c>
      <c r="V19" s="27">
        <f>IF(ISNUMBER('TPS Correction'!V19),'TPS Current'!V19*('TPS Correction'!V19+1),'TPS Current'!V19)</f>
        <v>183</v>
      </c>
      <c r="W19" s="27">
        <f>IF(ISNUMBER('TPS Correction'!W19),'TPS Current'!W19*('TPS Correction'!W19+1),'TPS Current'!W19)</f>
        <v>184</v>
      </c>
      <c r="X19" s="27">
        <f>IF(ISNUMBER('TPS Correction'!X19),'TPS Current'!X19*('TPS Correction'!X19+1),'TPS Current'!X19)</f>
        <v>200</v>
      </c>
    </row>
    <row r="20" spans="1:24" x14ac:dyDescent="0.25">
      <c r="A20" s="15">
        <v>4400</v>
      </c>
      <c r="B20" s="27">
        <f>IF(ISNUMBER('TPS Correction'!B20),'TPS Current'!B20*('TPS Correction'!B20+1),'TPS Current'!B20)</f>
        <v>30</v>
      </c>
      <c r="C20" s="27">
        <f>IF(ISNUMBER('TPS Correction'!C20),'TPS Current'!C20*('TPS Correction'!C20+1),'TPS Current'!C20)</f>
        <v>30</v>
      </c>
      <c r="D20" s="27">
        <f>IF(ISNUMBER('TPS Correction'!D20),'TPS Current'!D20*('TPS Correction'!D20+1),'TPS Current'!D20)</f>
        <v>30</v>
      </c>
      <c r="E20" s="27">
        <f>IF(ISNUMBER('TPS Correction'!E20),'TPS Current'!E20*('TPS Correction'!E20+1),'TPS Current'!E20)</f>
        <v>32</v>
      </c>
      <c r="F20" s="27">
        <f>IF(ISNUMBER('TPS Correction'!F20),'TPS Current'!F20*('TPS Correction'!F20+1),'TPS Current'!F20)</f>
        <v>35</v>
      </c>
      <c r="G20" s="27">
        <f>IF(ISNUMBER('TPS Correction'!G20),'TPS Current'!G20*('TPS Correction'!G20+1),'TPS Current'!G20)</f>
        <v>42</v>
      </c>
      <c r="H20" s="27">
        <f>IF(ISNUMBER('TPS Correction'!H20),'TPS Current'!H20*('TPS Correction'!H20+1),'TPS Current'!H20)</f>
        <v>52</v>
      </c>
      <c r="I20" s="27">
        <f>IF(ISNUMBER('TPS Correction'!I20),'TPS Current'!I20*('TPS Correction'!I20+1),'TPS Current'!I20)</f>
        <v>59</v>
      </c>
      <c r="J20" s="27">
        <f>IF(ISNUMBER('TPS Correction'!J20),'TPS Current'!J20*('TPS Correction'!J20+1),'TPS Current'!J20)</f>
        <v>72</v>
      </c>
      <c r="K20" s="27">
        <f>IF(ISNUMBER('TPS Correction'!K20),'TPS Current'!K20*('TPS Correction'!K20+1),'TPS Current'!K20)</f>
        <v>83</v>
      </c>
      <c r="L20" s="27">
        <f>IF(ISNUMBER('TPS Correction'!L20),'TPS Current'!L20*('TPS Correction'!L20+1),'TPS Current'!L20)</f>
        <v>89</v>
      </c>
      <c r="M20" s="27">
        <f>IF(ISNUMBER('TPS Correction'!M20),'TPS Current'!M20*('TPS Correction'!M20+1),'TPS Current'!M20)</f>
        <v>93</v>
      </c>
      <c r="N20" s="27">
        <f>IF(ISNUMBER('TPS Correction'!N20),'TPS Current'!N20*('TPS Correction'!N20+1),'TPS Current'!N20)</f>
        <v>97</v>
      </c>
      <c r="O20" s="27">
        <f>IF(ISNUMBER('TPS Correction'!O20),'TPS Current'!O20*('TPS Correction'!O20+1),'TPS Current'!O20)</f>
        <v>109</v>
      </c>
      <c r="P20" s="27">
        <f>IF(ISNUMBER('TPS Correction'!P20),'TPS Current'!P20*('TPS Correction'!P20+1),'TPS Current'!P20)</f>
        <v>122</v>
      </c>
      <c r="Q20" s="27">
        <f>IF(ISNUMBER('TPS Correction'!Q20),'TPS Current'!Q20*('TPS Correction'!Q20+1),'TPS Current'!Q20)</f>
        <v>132</v>
      </c>
      <c r="R20" s="27">
        <f>IF(ISNUMBER('TPS Correction'!R20),'TPS Current'!R20*('TPS Correction'!R20+1),'TPS Current'!R20)</f>
        <v>143</v>
      </c>
      <c r="S20" s="27">
        <f>IF(ISNUMBER('TPS Correction'!S20),'TPS Current'!S20*('TPS Correction'!S20+1),'TPS Current'!S20)</f>
        <v>170</v>
      </c>
      <c r="T20" s="27">
        <f>IF(ISNUMBER('TPS Correction'!T20),'TPS Current'!T20*('TPS Correction'!T20+1),'TPS Current'!T20)</f>
        <v>183</v>
      </c>
      <c r="U20" s="27">
        <f>IF(ISNUMBER('TPS Correction'!U20),'TPS Current'!U20*('TPS Correction'!U20+1),'TPS Current'!U20)</f>
        <v>184</v>
      </c>
      <c r="V20" s="27">
        <f>IF(ISNUMBER('TPS Correction'!V20),'TPS Current'!V20*('TPS Correction'!V20+1),'TPS Current'!V20)</f>
        <v>183</v>
      </c>
      <c r="W20" s="27">
        <f>IF(ISNUMBER('TPS Correction'!W20),'TPS Current'!W20*('TPS Correction'!W20+1),'TPS Current'!W20)</f>
        <v>186</v>
      </c>
      <c r="X20" s="27">
        <f>IF(ISNUMBER('TPS Correction'!X20),'TPS Current'!X20*('TPS Correction'!X20+1),'TPS Current'!X20)</f>
        <v>198</v>
      </c>
    </row>
    <row r="21" spans="1:24" x14ac:dyDescent="0.25">
      <c r="A21" s="15">
        <v>4600</v>
      </c>
      <c r="B21" s="27">
        <f>IF(ISNUMBER('TPS Correction'!B21),'TPS Current'!B21*('TPS Correction'!B21+1),'TPS Current'!B21)</f>
        <v>30</v>
      </c>
      <c r="C21" s="27">
        <f>IF(ISNUMBER('TPS Correction'!C21),'TPS Current'!C21*('TPS Correction'!C21+1),'TPS Current'!C21)</f>
        <v>30</v>
      </c>
      <c r="D21" s="27">
        <f>IF(ISNUMBER('TPS Correction'!D21),'TPS Current'!D21*('TPS Correction'!D21+1),'TPS Current'!D21)</f>
        <v>30</v>
      </c>
      <c r="E21" s="27">
        <f>IF(ISNUMBER('TPS Correction'!E21),'TPS Current'!E21*('TPS Correction'!E21+1),'TPS Current'!E21)</f>
        <v>30</v>
      </c>
      <c r="F21" s="27">
        <f>IF(ISNUMBER('TPS Correction'!F21),'TPS Current'!F21*('TPS Correction'!F21+1),'TPS Current'!F21)</f>
        <v>34</v>
      </c>
      <c r="G21" s="27">
        <f>IF(ISNUMBER('TPS Correction'!G21),'TPS Current'!G21*('TPS Correction'!G21+1),'TPS Current'!G21)</f>
        <v>41</v>
      </c>
      <c r="H21" s="27">
        <f>IF(ISNUMBER('TPS Correction'!H21),'TPS Current'!H21*('TPS Correction'!H21+1),'TPS Current'!H21)</f>
        <v>49</v>
      </c>
      <c r="I21" s="27">
        <f>IF(ISNUMBER('TPS Correction'!I21),'TPS Current'!I21*('TPS Correction'!I21+1),'TPS Current'!I21)</f>
        <v>57</v>
      </c>
      <c r="J21" s="27">
        <f>IF(ISNUMBER('TPS Correction'!J21),'TPS Current'!J21*('TPS Correction'!J21+1),'TPS Current'!J21)</f>
        <v>68</v>
      </c>
      <c r="K21" s="27">
        <f>IF(ISNUMBER('TPS Correction'!K21),'TPS Current'!K21*('TPS Correction'!K21+1),'TPS Current'!K21)</f>
        <v>79</v>
      </c>
      <c r="L21" s="27">
        <f>IF(ISNUMBER('TPS Correction'!L21),'TPS Current'!L21*('TPS Correction'!L21+1),'TPS Current'!L21)</f>
        <v>85</v>
      </c>
      <c r="M21" s="27">
        <f>IF(ISNUMBER('TPS Correction'!M21),'TPS Current'!M21*('TPS Correction'!M21+1),'TPS Current'!M21)</f>
        <v>89</v>
      </c>
      <c r="N21" s="27">
        <f>IF(ISNUMBER('TPS Correction'!N21),'TPS Current'!N21*('TPS Correction'!N21+1),'TPS Current'!N21)</f>
        <v>93</v>
      </c>
      <c r="O21" s="27">
        <f>IF(ISNUMBER('TPS Correction'!O21),'TPS Current'!O21*('TPS Correction'!O21+1),'TPS Current'!O21)</f>
        <v>105</v>
      </c>
      <c r="P21" s="27">
        <f>IF(ISNUMBER('TPS Correction'!P21),'TPS Current'!P21*('TPS Correction'!P21+1),'TPS Current'!P21)</f>
        <v>116</v>
      </c>
      <c r="Q21" s="27">
        <f>IF(ISNUMBER('TPS Correction'!Q21),'TPS Current'!Q21*('TPS Correction'!Q21+1),'TPS Current'!Q21)</f>
        <v>126</v>
      </c>
      <c r="R21" s="27">
        <f>IF(ISNUMBER('TPS Correction'!R21),'TPS Current'!R21*('TPS Correction'!R21+1),'TPS Current'!R21)</f>
        <v>140</v>
      </c>
      <c r="S21" s="27">
        <f>IF(ISNUMBER('TPS Correction'!S21),'TPS Current'!S21*('TPS Correction'!S21+1),'TPS Current'!S21)</f>
        <v>166</v>
      </c>
      <c r="T21" s="27">
        <f>IF(ISNUMBER('TPS Correction'!T21),'TPS Current'!T21*('TPS Correction'!T21+1),'TPS Current'!T21)</f>
        <v>181</v>
      </c>
      <c r="U21" s="27">
        <f>IF(ISNUMBER('TPS Correction'!U21),'TPS Current'!U21*('TPS Correction'!U21+1),'TPS Current'!U21)</f>
        <v>185</v>
      </c>
      <c r="V21" s="27">
        <f>IF(ISNUMBER('TPS Correction'!V21),'TPS Current'!V21*('TPS Correction'!V21+1),'TPS Current'!V21)</f>
        <v>187</v>
      </c>
      <c r="W21" s="27">
        <f>IF(ISNUMBER('TPS Correction'!W21),'TPS Current'!W21*('TPS Correction'!W21+1),'TPS Current'!W21)</f>
        <v>191</v>
      </c>
      <c r="X21" s="27">
        <f>IF(ISNUMBER('TPS Correction'!X21),'TPS Current'!X21*('TPS Correction'!X21+1),'TPS Current'!X21)</f>
        <v>201</v>
      </c>
    </row>
    <row r="22" spans="1:24" x14ac:dyDescent="0.25">
      <c r="A22" s="15">
        <v>4800</v>
      </c>
      <c r="B22" s="27">
        <f>IF(ISNUMBER('TPS Correction'!B22),'TPS Current'!B22*('TPS Correction'!B22+1),'TPS Current'!B22)</f>
        <v>28</v>
      </c>
      <c r="C22" s="27">
        <f>IF(ISNUMBER('TPS Correction'!C22),'TPS Current'!C22*('TPS Correction'!C22+1),'TPS Current'!C22)</f>
        <v>28</v>
      </c>
      <c r="D22" s="27">
        <f>IF(ISNUMBER('TPS Correction'!D22),'TPS Current'!D22*('TPS Correction'!D22+1),'TPS Current'!D22)</f>
        <v>28</v>
      </c>
      <c r="E22" s="27">
        <f>IF(ISNUMBER('TPS Correction'!E22),'TPS Current'!E22*('TPS Correction'!E22+1),'TPS Current'!E22)</f>
        <v>28</v>
      </c>
      <c r="F22" s="27">
        <f>IF(ISNUMBER('TPS Correction'!F22),'TPS Current'!F22*('TPS Correction'!F22+1),'TPS Current'!F22)</f>
        <v>32</v>
      </c>
      <c r="G22" s="27">
        <f>IF(ISNUMBER('TPS Correction'!G22),'TPS Current'!G22*('TPS Correction'!G22+1),'TPS Current'!G22)</f>
        <v>38</v>
      </c>
      <c r="H22" s="27">
        <f>IF(ISNUMBER('TPS Correction'!H22),'TPS Current'!H22*('TPS Correction'!H22+1),'TPS Current'!H22)</f>
        <v>47</v>
      </c>
      <c r="I22" s="27">
        <f>IF(ISNUMBER('TPS Correction'!I22),'TPS Current'!I22*('TPS Correction'!I22+1),'TPS Current'!I22)</f>
        <v>51</v>
      </c>
      <c r="J22" s="27">
        <f>IF(ISNUMBER('TPS Correction'!J22),'TPS Current'!J22*('TPS Correction'!J22+1),'TPS Current'!J22)</f>
        <v>63</v>
      </c>
      <c r="K22" s="27">
        <f>IF(ISNUMBER('TPS Correction'!K22),'TPS Current'!K22*('TPS Correction'!K22+1),'TPS Current'!K22)</f>
        <v>72</v>
      </c>
      <c r="L22" s="27">
        <f>IF(ISNUMBER('TPS Correction'!L22),'TPS Current'!L22*('TPS Correction'!L22+1),'TPS Current'!L22)</f>
        <v>81</v>
      </c>
      <c r="M22" s="27">
        <f>IF(ISNUMBER('TPS Correction'!M22),'TPS Current'!M22*('TPS Correction'!M22+1),'TPS Current'!M22)</f>
        <v>84</v>
      </c>
      <c r="N22" s="27">
        <f>IF(ISNUMBER('TPS Correction'!N22),'TPS Current'!N22*('TPS Correction'!N22+1),'TPS Current'!N22)</f>
        <v>88</v>
      </c>
      <c r="O22" s="27">
        <f>IF(ISNUMBER('TPS Correction'!O22),'TPS Current'!O22*('TPS Correction'!O22+1),'TPS Current'!O22)</f>
        <v>99</v>
      </c>
      <c r="P22" s="27">
        <f>IF(ISNUMBER('TPS Correction'!P22),'TPS Current'!P22*('TPS Correction'!P22+1),'TPS Current'!P22)</f>
        <v>111</v>
      </c>
      <c r="Q22" s="27">
        <f>IF(ISNUMBER('TPS Correction'!Q22),'TPS Current'!Q22*('TPS Correction'!Q22+1),'TPS Current'!Q22)</f>
        <v>120</v>
      </c>
      <c r="R22" s="27">
        <f>IF(ISNUMBER('TPS Correction'!R22),'TPS Current'!R22*('TPS Correction'!R22+1),'TPS Current'!R22)</f>
        <v>133</v>
      </c>
      <c r="S22" s="27">
        <f>IF(ISNUMBER('TPS Correction'!S22),'TPS Current'!S22*('TPS Correction'!S22+1),'TPS Current'!S22)</f>
        <v>161</v>
      </c>
      <c r="T22" s="27">
        <f>IF(ISNUMBER('TPS Correction'!T22),'TPS Current'!T22*('TPS Correction'!T22+1),'TPS Current'!T22)</f>
        <v>178</v>
      </c>
      <c r="U22" s="27">
        <f>IF(ISNUMBER('TPS Correction'!U22),'TPS Current'!U22*('TPS Correction'!U22+1),'TPS Current'!U22)</f>
        <v>186</v>
      </c>
      <c r="V22" s="27">
        <f>IF(ISNUMBER('TPS Correction'!V22),'TPS Current'!V22*('TPS Correction'!V22+1),'TPS Current'!V22)</f>
        <v>190</v>
      </c>
      <c r="W22" s="27">
        <f>IF(ISNUMBER('TPS Correction'!W22),'TPS Current'!W22*('TPS Correction'!W22+1),'TPS Current'!W22)</f>
        <v>195</v>
      </c>
      <c r="X22" s="27">
        <f>IF(ISNUMBER('TPS Correction'!X22),'TPS Current'!X22*('TPS Correction'!X22+1),'TPS Current'!X22)</f>
        <v>206</v>
      </c>
    </row>
    <row r="23" spans="1:24" x14ac:dyDescent="0.25">
      <c r="A23" s="15">
        <v>5000</v>
      </c>
      <c r="B23" s="27">
        <f>IF(ISNUMBER('TPS Correction'!B23),'TPS Current'!B23*('TPS Correction'!B23+1),'TPS Current'!B23)</f>
        <v>28</v>
      </c>
      <c r="C23" s="27">
        <f>IF(ISNUMBER('TPS Correction'!C23),'TPS Current'!C23*('TPS Correction'!C23+1),'TPS Current'!C23)</f>
        <v>28</v>
      </c>
      <c r="D23" s="27">
        <f>IF(ISNUMBER('TPS Correction'!D23),'TPS Current'!D23*('TPS Correction'!D23+1),'TPS Current'!D23)</f>
        <v>28</v>
      </c>
      <c r="E23" s="27">
        <f>IF(ISNUMBER('TPS Correction'!E23),'TPS Current'!E23*('TPS Correction'!E23+1),'TPS Current'!E23)</f>
        <v>32</v>
      </c>
      <c r="F23" s="27">
        <f>IF(ISNUMBER('TPS Correction'!F23),'TPS Current'!F23*('TPS Correction'!F23+1),'TPS Current'!F23)</f>
        <v>32</v>
      </c>
      <c r="G23" s="27">
        <f>IF(ISNUMBER('TPS Correction'!G23),'TPS Current'!G23*('TPS Correction'!G23+1),'TPS Current'!G23)</f>
        <v>36</v>
      </c>
      <c r="H23" s="27">
        <f>IF(ISNUMBER('TPS Correction'!H23),'TPS Current'!H23*('TPS Correction'!H23+1),'TPS Current'!H23)</f>
        <v>43</v>
      </c>
      <c r="I23" s="27">
        <f>IF(ISNUMBER('TPS Correction'!I23),'TPS Current'!I23*('TPS Correction'!I23+1),'TPS Current'!I23)</f>
        <v>48</v>
      </c>
      <c r="J23" s="27">
        <f>IF(ISNUMBER('TPS Correction'!J23),'TPS Current'!J23*('TPS Correction'!J23+1),'TPS Current'!J23)</f>
        <v>59</v>
      </c>
      <c r="K23" s="27">
        <f>IF(ISNUMBER('TPS Correction'!K23),'TPS Current'!K23*('TPS Correction'!K23+1),'TPS Current'!K23)</f>
        <v>68</v>
      </c>
      <c r="L23" s="27">
        <f>IF(ISNUMBER('TPS Correction'!L23),'TPS Current'!L23*('TPS Correction'!L23+1),'TPS Current'!L23)</f>
        <v>75</v>
      </c>
      <c r="M23" s="27">
        <f>IF(ISNUMBER('TPS Correction'!M23),'TPS Current'!M23*('TPS Correction'!M23+1),'TPS Current'!M23)</f>
        <v>80</v>
      </c>
      <c r="N23" s="27">
        <f>IF(ISNUMBER('TPS Correction'!N23),'TPS Current'!N23*('TPS Correction'!N23+1),'TPS Current'!N23)</f>
        <v>83</v>
      </c>
      <c r="O23" s="27">
        <f>IF(ISNUMBER('TPS Correction'!O23),'TPS Current'!O23*('TPS Correction'!O23+1),'TPS Current'!O23)</f>
        <v>93</v>
      </c>
      <c r="P23" s="27">
        <f>IF(ISNUMBER('TPS Correction'!P23),'TPS Current'!P23*('TPS Correction'!P23+1),'TPS Current'!P23)</f>
        <v>105</v>
      </c>
      <c r="Q23" s="27">
        <f>IF(ISNUMBER('TPS Correction'!Q23),'TPS Current'!Q23*('TPS Correction'!Q23+1),'TPS Current'!Q23)</f>
        <v>114</v>
      </c>
      <c r="R23" s="27">
        <f>IF(ISNUMBER('TPS Correction'!R23),'TPS Current'!R23*('TPS Correction'!R23+1),'TPS Current'!R23)</f>
        <v>128</v>
      </c>
      <c r="S23" s="27">
        <f>IF(ISNUMBER('TPS Correction'!S23),'TPS Current'!S23*('TPS Correction'!S23+1),'TPS Current'!S23)</f>
        <v>154</v>
      </c>
      <c r="T23" s="27">
        <f>IF(ISNUMBER('TPS Correction'!T23),'TPS Current'!T23*('TPS Correction'!T23+1),'TPS Current'!T23)</f>
        <v>175</v>
      </c>
      <c r="U23" s="27">
        <f>IF(ISNUMBER('TPS Correction'!U23),'TPS Current'!U23*('TPS Correction'!U23+1),'TPS Current'!U23)</f>
        <v>185</v>
      </c>
      <c r="V23" s="27">
        <f>IF(ISNUMBER('TPS Correction'!V23),'TPS Current'!V23*('TPS Correction'!V23+1),'TPS Current'!V23)</f>
        <v>189</v>
      </c>
      <c r="W23" s="27">
        <f>IF(ISNUMBER('TPS Correction'!W23),'TPS Current'!W23*('TPS Correction'!W23+1),'TPS Current'!W23)</f>
        <v>193</v>
      </c>
      <c r="X23" s="27">
        <f>IF(ISNUMBER('TPS Correction'!X23),'TPS Current'!X23*('TPS Correction'!X23+1),'TPS Current'!X23)</f>
        <v>203</v>
      </c>
    </row>
    <row r="24" spans="1:24" x14ac:dyDescent="0.25">
      <c r="A24" s="15">
        <v>5200</v>
      </c>
      <c r="B24" s="27">
        <f>IF(ISNUMBER('TPS Correction'!B24),'TPS Current'!B24*('TPS Correction'!B24+1),'TPS Current'!B24)</f>
        <v>28</v>
      </c>
      <c r="C24" s="27">
        <f>IF(ISNUMBER('TPS Correction'!C24),'TPS Current'!C24*('TPS Correction'!C24+1),'TPS Current'!C24)</f>
        <v>28</v>
      </c>
      <c r="D24" s="27">
        <f>IF(ISNUMBER('TPS Correction'!D24),'TPS Current'!D24*('TPS Correction'!D24+1),'TPS Current'!D24)</f>
        <v>28</v>
      </c>
      <c r="E24" s="27">
        <f>IF(ISNUMBER('TPS Correction'!E24),'TPS Current'!E24*('TPS Correction'!E24+1),'TPS Current'!E24)</f>
        <v>32</v>
      </c>
      <c r="F24" s="27">
        <f>IF(ISNUMBER('TPS Correction'!F24),'TPS Current'!F24*('TPS Correction'!F24+1),'TPS Current'!F24)</f>
        <v>32</v>
      </c>
      <c r="G24" s="27">
        <f>IF(ISNUMBER('TPS Correction'!G24),'TPS Current'!G24*('TPS Correction'!G24+1),'TPS Current'!G24)</f>
        <v>34</v>
      </c>
      <c r="H24" s="27">
        <f>IF(ISNUMBER('TPS Correction'!H24),'TPS Current'!H24*('TPS Correction'!H24+1),'TPS Current'!H24)</f>
        <v>39</v>
      </c>
      <c r="I24" s="27">
        <f>IF(ISNUMBER('TPS Correction'!I24),'TPS Current'!I24*('TPS Correction'!I24+1),'TPS Current'!I24)</f>
        <v>44</v>
      </c>
      <c r="J24" s="27">
        <f>IF(ISNUMBER('TPS Correction'!J24),'TPS Current'!J24*('TPS Correction'!J24+1),'TPS Current'!J24)</f>
        <v>57</v>
      </c>
      <c r="K24" s="27">
        <f>IF(ISNUMBER('TPS Correction'!K24),'TPS Current'!K24*('TPS Correction'!K24+1),'TPS Current'!K24)</f>
        <v>65</v>
      </c>
      <c r="L24" s="27">
        <f>IF(ISNUMBER('TPS Correction'!L24),'TPS Current'!L24*('TPS Correction'!L24+1),'TPS Current'!L24)</f>
        <v>71</v>
      </c>
      <c r="M24" s="27">
        <f>IF(ISNUMBER('TPS Correction'!M24),'TPS Current'!M24*('TPS Correction'!M24+1),'TPS Current'!M24)</f>
        <v>78</v>
      </c>
      <c r="N24" s="27">
        <f>IF(ISNUMBER('TPS Correction'!N24),'TPS Current'!N24*('TPS Correction'!N24+1),'TPS Current'!N24)</f>
        <v>81</v>
      </c>
      <c r="O24" s="27">
        <f>IF(ISNUMBER('TPS Correction'!O24),'TPS Current'!O24*('TPS Correction'!O24+1),'TPS Current'!O24)</f>
        <v>89</v>
      </c>
      <c r="P24" s="27">
        <f>IF(ISNUMBER('TPS Correction'!P24),'TPS Current'!P24*('TPS Correction'!P24+1),'TPS Current'!P24)</f>
        <v>101</v>
      </c>
      <c r="Q24" s="27">
        <f>IF(ISNUMBER('TPS Correction'!Q24),'TPS Current'!Q24*('TPS Correction'!Q24+1),'TPS Current'!Q24)</f>
        <v>111</v>
      </c>
      <c r="R24" s="27">
        <f>IF(ISNUMBER('TPS Correction'!R24),'TPS Current'!R24*('TPS Correction'!R24+1),'TPS Current'!R24)</f>
        <v>123</v>
      </c>
      <c r="S24" s="27">
        <f>IF(ISNUMBER('TPS Correction'!S24),'TPS Current'!S24*('TPS Correction'!S24+1),'TPS Current'!S24)</f>
        <v>151</v>
      </c>
      <c r="T24" s="27">
        <f>IF(ISNUMBER('TPS Correction'!T24),'TPS Current'!T24*('TPS Correction'!T24+1),'TPS Current'!T24)</f>
        <v>172</v>
      </c>
      <c r="U24" s="27">
        <f>IF(ISNUMBER('TPS Correction'!U24),'TPS Current'!U24*('TPS Correction'!U24+1),'TPS Current'!U24)</f>
        <v>183</v>
      </c>
      <c r="V24" s="27">
        <f>IF(ISNUMBER('TPS Correction'!V24),'TPS Current'!V24*('TPS Correction'!V24+1),'TPS Current'!V24)</f>
        <v>186</v>
      </c>
      <c r="W24" s="27">
        <f>IF(ISNUMBER('TPS Correction'!W24),'TPS Current'!W24*('TPS Correction'!W24+1),'TPS Current'!W24)</f>
        <v>190</v>
      </c>
      <c r="X24" s="27">
        <f>IF(ISNUMBER('TPS Correction'!X24),'TPS Current'!X24*('TPS Correction'!X24+1),'TPS Current'!X24)</f>
        <v>198</v>
      </c>
    </row>
    <row r="25" spans="1:24" x14ac:dyDescent="0.25">
      <c r="A25" s="15">
        <v>5600</v>
      </c>
      <c r="B25" s="27">
        <f>IF(ISNUMBER('TPS Correction'!B25),'TPS Current'!B25*('TPS Correction'!B25+1),'TPS Current'!B25)</f>
        <v>28</v>
      </c>
      <c r="C25" s="27">
        <f>IF(ISNUMBER('TPS Correction'!C25),'TPS Current'!C25*('TPS Correction'!C25+1),'TPS Current'!C25)</f>
        <v>28</v>
      </c>
      <c r="D25" s="27">
        <f>IF(ISNUMBER('TPS Correction'!D25),'TPS Current'!D25*('TPS Correction'!D25+1),'TPS Current'!D25)</f>
        <v>28</v>
      </c>
      <c r="E25" s="27">
        <f>IF(ISNUMBER('TPS Correction'!E25),'TPS Current'!E25*('TPS Correction'!E25+1),'TPS Current'!E25)</f>
        <v>32</v>
      </c>
      <c r="F25" s="27">
        <f>IF(ISNUMBER('TPS Correction'!F25),'TPS Current'!F25*('TPS Correction'!F25+1),'TPS Current'!F25)</f>
        <v>32</v>
      </c>
      <c r="G25" s="27">
        <f>IF(ISNUMBER('TPS Correction'!G25),'TPS Current'!G25*('TPS Correction'!G25+1),'TPS Current'!G25)</f>
        <v>32</v>
      </c>
      <c r="H25" s="27">
        <f>IF(ISNUMBER('TPS Correction'!H25),'TPS Current'!H25*('TPS Correction'!H25+1),'TPS Current'!H25)</f>
        <v>37</v>
      </c>
      <c r="I25" s="27">
        <f>IF(ISNUMBER('TPS Correction'!I25),'TPS Current'!I25*('TPS Correction'!I25+1),'TPS Current'!I25)</f>
        <v>42</v>
      </c>
      <c r="J25" s="27">
        <f>IF(ISNUMBER('TPS Correction'!J25),'TPS Current'!J25*('TPS Correction'!J25+1),'TPS Current'!J25)</f>
        <v>51</v>
      </c>
      <c r="K25" s="27">
        <f>IF(ISNUMBER('TPS Correction'!K25),'TPS Current'!K25*('TPS Correction'!K25+1),'TPS Current'!K25)</f>
        <v>62</v>
      </c>
      <c r="L25" s="27">
        <f>IF(ISNUMBER('TPS Correction'!L25),'TPS Current'!L25*('TPS Correction'!L25+1),'TPS Current'!L25)</f>
        <v>68</v>
      </c>
      <c r="M25" s="27">
        <f>IF(ISNUMBER('TPS Correction'!M25),'TPS Current'!M25*('TPS Correction'!M25+1),'TPS Current'!M25)</f>
        <v>75</v>
      </c>
      <c r="N25" s="27">
        <f>IF(ISNUMBER('TPS Correction'!N25),'TPS Current'!N25*('TPS Correction'!N25+1),'TPS Current'!N25)</f>
        <v>79</v>
      </c>
      <c r="O25" s="27">
        <f>IF(ISNUMBER('TPS Correction'!O25),'TPS Current'!O25*('TPS Correction'!O25+1),'TPS Current'!O25)</f>
        <v>88</v>
      </c>
      <c r="P25" s="27">
        <f>IF(ISNUMBER('TPS Correction'!P25),'TPS Current'!P25*('TPS Correction'!P25+1),'TPS Current'!P25)</f>
        <v>99</v>
      </c>
      <c r="Q25" s="27">
        <f>IF(ISNUMBER('TPS Correction'!Q25),'TPS Current'!Q25*('TPS Correction'!Q25+1),'TPS Current'!Q25)</f>
        <v>139.59090909090912</v>
      </c>
      <c r="R25" s="27">
        <f>IF(ISNUMBER('TPS Correction'!R25),'TPS Current'!R25*('TPS Correction'!R25+1),'TPS Current'!R25)</f>
        <v>123</v>
      </c>
      <c r="S25" s="27">
        <f>IF(ISNUMBER('TPS Correction'!S25),'TPS Current'!S25*('TPS Correction'!S25+1),'TPS Current'!S25)</f>
        <v>151</v>
      </c>
      <c r="T25" s="27">
        <f>IF(ISNUMBER('TPS Correction'!T25),'TPS Current'!T25*('TPS Correction'!T25+1),'TPS Current'!T25)</f>
        <v>174</v>
      </c>
      <c r="U25" s="27">
        <f>IF(ISNUMBER('TPS Correction'!U25),'TPS Current'!U25*('TPS Correction'!U25+1),'TPS Current'!U25)</f>
        <v>186</v>
      </c>
      <c r="V25" s="27">
        <f>IF(ISNUMBER('TPS Correction'!V25),'TPS Current'!V25*('TPS Correction'!V25+1),'TPS Current'!V25)</f>
        <v>191</v>
      </c>
      <c r="W25" s="27">
        <f>IF(ISNUMBER('TPS Correction'!W25),'TPS Current'!W25*('TPS Correction'!W25+1),'TPS Current'!W25)</f>
        <v>194</v>
      </c>
      <c r="X25" s="27">
        <f>IF(ISNUMBER('TPS Correction'!X25),'TPS Current'!X25*('TPS Correction'!X25+1),'TPS Current'!X25)</f>
        <v>202</v>
      </c>
    </row>
    <row r="26" spans="1:24" x14ac:dyDescent="0.25">
      <c r="A26" s="15">
        <v>6000</v>
      </c>
      <c r="B26" s="27">
        <f>IF(ISNUMBER('TPS Correction'!B26),'TPS Current'!B26*('TPS Correction'!B26+1),'TPS Current'!B26)</f>
        <v>28</v>
      </c>
      <c r="C26" s="27">
        <f>IF(ISNUMBER('TPS Correction'!C26),'TPS Current'!C26*('TPS Correction'!C26+1),'TPS Current'!C26)</f>
        <v>28</v>
      </c>
      <c r="D26" s="27">
        <f>IF(ISNUMBER('TPS Correction'!D26),'TPS Current'!D26*('TPS Correction'!D26+1),'TPS Current'!D26)</f>
        <v>28</v>
      </c>
      <c r="E26" s="27">
        <f>IF(ISNUMBER('TPS Correction'!E26),'TPS Current'!E26*('TPS Correction'!E26+1),'TPS Current'!E26)</f>
        <v>30</v>
      </c>
      <c r="F26" s="27">
        <f>IF(ISNUMBER('TPS Correction'!F26),'TPS Current'!F26*('TPS Correction'!F26+1),'TPS Current'!F26)</f>
        <v>30</v>
      </c>
      <c r="G26" s="27">
        <f>IF(ISNUMBER('TPS Correction'!G26),'TPS Current'!G26*('TPS Correction'!G26+1),'TPS Current'!G26)</f>
        <v>29</v>
      </c>
      <c r="H26" s="27">
        <f>IF(ISNUMBER('TPS Correction'!H26),'TPS Current'!H26*('TPS Correction'!H26+1),'TPS Current'!H26)</f>
        <v>35</v>
      </c>
      <c r="I26" s="27">
        <f>IF(ISNUMBER('TPS Correction'!I26),'TPS Current'!I26*('TPS Correction'!I26+1),'TPS Current'!I26)</f>
        <v>40</v>
      </c>
      <c r="J26" s="27">
        <f>IF(ISNUMBER('TPS Correction'!J26),'TPS Current'!J26*('TPS Correction'!J26+1),'TPS Current'!J26)</f>
        <v>48</v>
      </c>
      <c r="K26" s="27">
        <f>IF(ISNUMBER('TPS Correction'!K26),'TPS Current'!K26*('TPS Correction'!K26+1),'TPS Current'!K26)</f>
        <v>58</v>
      </c>
      <c r="L26" s="27">
        <f>IF(ISNUMBER('TPS Correction'!L26),'TPS Current'!L26*('TPS Correction'!L26+1),'TPS Current'!L26)</f>
        <v>65</v>
      </c>
      <c r="M26" s="27">
        <f>IF(ISNUMBER('TPS Correction'!M26),'TPS Current'!M26*('TPS Correction'!M26+1),'TPS Current'!M26)</f>
        <v>72</v>
      </c>
      <c r="N26" s="27">
        <f>IF(ISNUMBER('TPS Correction'!N26),'TPS Current'!N26*('TPS Correction'!N26+1),'TPS Current'!N26)</f>
        <v>75</v>
      </c>
      <c r="O26" s="27">
        <f>IF(ISNUMBER('TPS Correction'!O26),'TPS Current'!O26*('TPS Correction'!O26+1),'TPS Current'!O26)</f>
        <v>87</v>
      </c>
      <c r="P26" s="27">
        <f>IF(ISNUMBER('TPS Correction'!P26),'TPS Current'!P26*('TPS Correction'!P26+1),'TPS Current'!P26)</f>
        <v>98</v>
      </c>
      <c r="Q26" s="27">
        <f>IF(ISNUMBER('TPS Correction'!Q26),'TPS Current'!Q26*('TPS Correction'!Q26+1),'TPS Current'!Q26)</f>
        <v>109</v>
      </c>
      <c r="R26" s="27">
        <f>IF(ISNUMBER('TPS Correction'!R26),'TPS Current'!R26*('TPS Correction'!R26+1),'TPS Current'!R26)</f>
        <v>125</v>
      </c>
      <c r="S26" s="27">
        <f>IF(ISNUMBER('TPS Correction'!S26),'TPS Current'!S26*('TPS Correction'!S26+1),'TPS Current'!S26)</f>
        <v>152</v>
      </c>
      <c r="T26" s="27">
        <f>IF(ISNUMBER('TPS Correction'!T26),'TPS Current'!T26*('TPS Correction'!T26+1),'TPS Current'!T26)</f>
        <v>177</v>
      </c>
      <c r="U26" s="27">
        <f>IF(ISNUMBER('TPS Correction'!U26),'TPS Current'!U26*('TPS Correction'!U26+1),'TPS Current'!U26)</f>
        <v>193</v>
      </c>
      <c r="V26" s="27">
        <f>IF(ISNUMBER('TPS Correction'!V26),'TPS Current'!V26*('TPS Correction'!V26+1),'TPS Current'!V26)</f>
        <v>202</v>
      </c>
      <c r="W26" s="27">
        <f>IF(ISNUMBER('TPS Correction'!W26),'TPS Current'!W26*('TPS Correction'!W26+1),'TPS Current'!W26)</f>
        <v>206</v>
      </c>
      <c r="X26" s="27">
        <f>IF(ISNUMBER('TPS Correction'!X26),'TPS Current'!X26*('TPS Correction'!X26+1),'TPS Current'!X26)</f>
        <v>213</v>
      </c>
    </row>
    <row r="27" spans="1:24" x14ac:dyDescent="0.25">
      <c r="A27" s="15">
        <v>6400</v>
      </c>
      <c r="B27" s="27">
        <f>IF(ISNUMBER('TPS Correction'!B27),'TPS Current'!B27*('TPS Correction'!B27+1),'TPS Current'!B27)</f>
        <v>28</v>
      </c>
      <c r="C27" s="27">
        <f>IF(ISNUMBER('TPS Correction'!C27),'TPS Current'!C27*('TPS Correction'!C27+1),'TPS Current'!C27)</f>
        <v>28</v>
      </c>
      <c r="D27" s="27">
        <f>IF(ISNUMBER('TPS Correction'!D27),'TPS Current'!D27*('TPS Correction'!D27+1),'TPS Current'!D27)</f>
        <v>28</v>
      </c>
      <c r="E27" s="27">
        <f>IF(ISNUMBER('TPS Correction'!E27),'TPS Current'!E27*('TPS Correction'!E27+1),'TPS Current'!E27)</f>
        <v>28</v>
      </c>
      <c r="F27" s="27">
        <f>IF(ISNUMBER('TPS Correction'!F27),'TPS Current'!F27*('TPS Correction'!F27+1),'TPS Current'!F27)</f>
        <v>28</v>
      </c>
      <c r="G27" s="27">
        <f>IF(ISNUMBER('TPS Correction'!G27),'TPS Current'!G27*('TPS Correction'!G27+1),'TPS Current'!G27)</f>
        <v>32</v>
      </c>
      <c r="H27" s="27">
        <f>IF(ISNUMBER('TPS Correction'!H27),'TPS Current'!H27*('TPS Correction'!H27+1),'TPS Current'!H27)</f>
        <v>34</v>
      </c>
      <c r="I27" s="27">
        <f>IF(ISNUMBER('TPS Correction'!I27),'TPS Current'!I27*('TPS Correction'!I27+1),'TPS Current'!I27)</f>
        <v>37</v>
      </c>
      <c r="J27" s="27">
        <f>IF(ISNUMBER('TPS Correction'!J27),'TPS Current'!J27*('TPS Correction'!J27+1),'TPS Current'!J27)</f>
        <v>41</v>
      </c>
      <c r="K27" s="27">
        <f>IF(ISNUMBER('TPS Correction'!K27),'TPS Current'!K27*('TPS Correction'!K27+1),'TPS Current'!K27)</f>
        <v>46</v>
      </c>
      <c r="L27" s="27">
        <f>IF(ISNUMBER('TPS Correction'!L27),'TPS Current'!L27*('TPS Correction'!L27+1),'TPS Current'!L27)</f>
        <v>57</v>
      </c>
      <c r="M27" s="27">
        <f>IF(ISNUMBER('TPS Correction'!M27),'TPS Current'!M27*('TPS Correction'!M27+1),'TPS Current'!M27)</f>
        <v>64</v>
      </c>
      <c r="N27" s="27">
        <f>IF(ISNUMBER('TPS Correction'!N27),'TPS Current'!N27*('TPS Correction'!N27+1),'TPS Current'!N27)</f>
        <v>70</v>
      </c>
      <c r="O27" s="27">
        <f>IF(ISNUMBER('TPS Correction'!O27),'TPS Current'!O27*('TPS Correction'!O27+1),'TPS Current'!O27)</f>
        <v>84</v>
      </c>
      <c r="P27" s="27">
        <f>IF(ISNUMBER('TPS Correction'!P27),'TPS Current'!P27*('TPS Correction'!P27+1),'TPS Current'!P27)</f>
        <v>94</v>
      </c>
      <c r="Q27" s="27">
        <f>IF(ISNUMBER('TPS Correction'!Q27),'TPS Current'!Q27*('TPS Correction'!Q27+1),'TPS Current'!Q27)</f>
        <v>107</v>
      </c>
      <c r="R27" s="27">
        <f>IF(ISNUMBER('TPS Correction'!R27),'TPS Current'!R27*('TPS Correction'!R27+1),'TPS Current'!R27)</f>
        <v>125</v>
      </c>
      <c r="S27" s="27">
        <f>IF(ISNUMBER('TPS Correction'!S27),'TPS Current'!S27*('TPS Correction'!S27+1),'TPS Current'!S27)</f>
        <v>151</v>
      </c>
      <c r="T27" s="27">
        <f>IF(ISNUMBER('TPS Correction'!T27),'TPS Current'!T27*('TPS Correction'!T27+1),'TPS Current'!T27)</f>
        <v>176</v>
      </c>
      <c r="U27" s="27">
        <f>IF(ISNUMBER('TPS Correction'!U27),'TPS Current'!U27*('TPS Correction'!U27+1),'TPS Current'!U27)</f>
        <v>194</v>
      </c>
      <c r="V27" s="27">
        <f>IF(ISNUMBER('TPS Correction'!V27),'TPS Current'!V27*('TPS Correction'!V27+1),'TPS Current'!V27)</f>
        <v>202</v>
      </c>
      <c r="W27" s="27">
        <f>IF(ISNUMBER('TPS Correction'!W27),'TPS Current'!W27*('TPS Correction'!W27+1),'TPS Current'!W27)</f>
        <v>206</v>
      </c>
      <c r="X27" s="27">
        <f>IF(ISNUMBER('TPS Correction'!X27),'TPS Current'!X27*('TPS Correction'!X27+1),'TPS Current'!X27)</f>
        <v>212</v>
      </c>
    </row>
    <row r="28" spans="1:24" x14ac:dyDescent="0.25">
      <c r="A28" s="15">
        <v>6800</v>
      </c>
      <c r="B28" s="27">
        <f>IF(ISNUMBER('TPS Correction'!B28),'TPS Current'!B28*('TPS Correction'!B28+1),'TPS Current'!B28)</f>
        <v>27</v>
      </c>
      <c r="C28" s="27">
        <f>IF(ISNUMBER('TPS Correction'!C28),'TPS Current'!C28*('TPS Correction'!C28+1),'TPS Current'!C28)</f>
        <v>27</v>
      </c>
      <c r="D28" s="27">
        <f>IF(ISNUMBER('TPS Correction'!D28),'TPS Current'!D28*('TPS Correction'!D28+1),'TPS Current'!D28)</f>
        <v>27</v>
      </c>
      <c r="E28" s="27">
        <f>IF(ISNUMBER('TPS Correction'!E28),'TPS Current'!E28*('TPS Correction'!E28+1),'TPS Current'!E28)</f>
        <v>27</v>
      </c>
      <c r="F28" s="27">
        <f>IF(ISNUMBER('TPS Correction'!F28),'TPS Current'!F28*('TPS Correction'!F28+1),'TPS Current'!F28)</f>
        <v>27</v>
      </c>
      <c r="G28" s="27">
        <f>IF(ISNUMBER('TPS Correction'!G28),'TPS Current'!G28*('TPS Correction'!G28+1),'TPS Current'!G28)</f>
        <v>32</v>
      </c>
      <c r="H28" s="27">
        <f>IF(ISNUMBER('TPS Correction'!H28),'TPS Current'!H28*('TPS Correction'!H28+1),'TPS Current'!H28)</f>
        <v>32</v>
      </c>
      <c r="I28" s="27">
        <f>IF(ISNUMBER('TPS Correction'!I28),'TPS Current'!I28*('TPS Correction'!I28+1),'TPS Current'!I28)</f>
        <v>34</v>
      </c>
      <c r="J28" s="27">
        <f>IF(ISNUMBER('TPS Correction'!J28),'TPS Current'!J28*('TPS Correction'!J28+1),'TPS Current'!J28)</f>
        <v>37</v>
      </c>
      <c r="K28" s="27">
        <f>IF(ISNUMBER('TPS Correction'!K28),'TPS Current'!K28*('TPS Correction'!K28+1),'TPS Current'!K28)</f>
        <v>43</v>
      </c>
      <c r="L28" s="27">
        <f>IF(ISNUMBER('TPS Correction'!L28),'TPS Current'!L28*('TPS Correction'!L28+1),'TPS Current'!L28)</f>
        <v>50</v>
      </c>
      <c r="M28" s="27">
        <f>IF(ISNUMBER('TPS Correction'!M28),'TPS Current'!M28*('TPS Correction'!M28+1),'TPS Current'!M28)</f>
        <v>60</v>
      </c>
      <c r="N28" s="27">
        <f>IF(ISNUMBER('TPS Correction'!N28),'TPS Current'!N28*('TPS Correction'!N28+1),'TPS Current'!N28)</f>
        <v>68</v>
      </c>
      <c r="O28" s="27">
        <f>IF(ISNUMBER('TPS Correction'!O28),'TPS Current'!O28*('TPS Correction'!O28+1),'TPS Current'!O28)</f>
        <v>82</v>
      </c>
      <c r="P28" s="27">
        <f>IF(ISNUMBER('TPS Correction'!P28),'TPS Current'!P28*('TPS Correction'!P28+1),'TPS Current'!P28)</f>
        <v>92</v>
      </c>
      <c r="Q28" s="27">
        <f>IF(ISNUMBER('TPS Correction'!Q28),'TPS Current'!Q28*('TPS Correction'!Q28+1),'TPS Current'!Q28)</f>
        <v>106</v>
      </c>
      <c r="R28" s="27">
        <f>IF(ISNUMBER('TPS Correction'!R28),'TPS Current'!R28*('TPS Correction'!R28+1),'TPS Current'!R28)</f>
        <v>124</v>
      </c>
      <c r="S28" s="27">
        <f>IF(ISNUMBER('TPS Correction'!S28),'TPS Current'!S28*('TPS Correction'!S28+1),'TPS Current'!S28)</f>
        <v>149</v>
      </c>
      <c r="T28" s="27">
        <f>IF(ISNUMBER('TPS Correction'!T28),'TPS Current'!T28*('TPS Correction'!T28+1),'TPS Current'!T28)</f>
        <v>174</v>
      </c>
      <c r="U28" s="27">
        <f>IF(ISNUMBER('TPS Correction'!U28),'TPS Current'!U28*('TPS Correction'!U28+1),'TPS Current'!U28)</f>
        <v>195</v>
      </c>
      <c r="V28" s="27">
        <f>IF(ISNUMBER('TPS Correction'!V28),'TPS Current'!V28*('TPS Correction'!V28+1),'TPS Current'!V28)</f>
        <v>205</v>
      </c>
      <c r="W28" s="27">
        <f>IF(ISNUMBER('TPS Correction'!W28),'TPS Current'!W28*('TPS Correction'!W28+1),'TPS Current'!W28)</f>
        <v>257</v>
      </c>
      <c r="X28" s="27">
        <f>IF(ISNUMBER('TPS Correction'!X28),'TPS Current'!X28*('TPS Correction'!X28+1),'TPS Current'!X28)</f>
        <v>261</v>
      </c>
    </row>
    <row r="29" spans="1:24" x14ac:dyDescent="0.25">
      <c r="A29" s="15">
        <v>7200</v>
      </c>
      <c r="B29" s="27">
        <f>IF(ISNUMBER('TPS Correction'!B29),'TPS Current'!B29*('TPS Correction'!B29+1),'TPS Current'!B29)</f>
        <v>26</v>
      </c>
      <c r="C29" s="27">
        <f>IF(ISNUMBER('TPS Correction'!C29),'TPS Current'!C29*('TPS Correction'!C29+1),'TPS Current'!C29)</f>
        <v>26</v>
      </c>
      <c r="D29" s="27">
        <f>IF(ISNUMBER('TPS Correction'!D29),'TPS Current'!D29*('TPS Correction'!D29+1),'TPS Current'!D29)</f>
        <v>26</v>
      </c>
      <c r="E29" s="27">
        <f>IF(ISNUMBER('TPS Correction'!E29),'TPS Current'!E29*('TPS Correction'!E29+1),'TPS Current'!E29)</f>
        <v>26</v>
      </c>
      <c r="F29" s="27">
        <f>IF(ISNUMBER('TPS Correction'!F29),'TPS Current'!F29*('TPS Correction'!F29+1),'TPS Current'!F29)</f>
        <v>26</v>
      </c>
      <c r="G29" s="27">
        <f>IF(ISNUMBER('TPS Correction'!G29),'TPS Current'!G29*('TPS Correction'!G29+1),'TPS Current'!G29)</f>
        <v>30</v>
      </c>
      <c r="H29" s="27">
        <f>IF(ISNUMBER('TPS Correction'!H29),'TPS Current'!H29*('TPS Correction'!H29+1),'TPS Current'!H29)</f>
        <v>32</v>
      </c>
      <c r="I29" s="27">
        <f>IF(ISNUMBER('TPS Correction'!I29),'TPS Current'!I29*('TPS Correction'!I29+1),'TPS Current'!I29)</f>
        <v>32</v>
      </c>
      <c r="J29" s="27">
        <f>IF(ISNUMBER('TPS Correction'!J29),'TPS Current'!J29*('TPS Correction'!J29+1),'TPS Current'!J29)</f>
        <v>34</v>
      </c>
      <c r="K29" s="27">
        <f>IF(ISNUMBER('TPS Correction'!K29),'TPS Current'!K29*('TPS Correction'!K29+1),'TPS Current'!K29)</f>
        <v>40</v>
      </c>
      <c r="L29" s="27">
        <f>IF(ISNUMBER('TPS Correction'!L29),'TPS Current'!L29*('TPS Correction'!L29+1),'TPS Current'!L29)</f>
        <v>46</v>
      </c>
      <c r="M29" s="27">
        <f>IF(ISNUMBER('TPS Correction'!M29),'TPS Current'!M29*('TPS Correction'!M29+1),'TPS Current'!M29)</f>
        <v>58</v>
      </c>
      <c r="N29" s="27">
        <f>IF(ISNUMBER('TPS Correction'!N29),'TPS Current'!N29*('TPS Correction'!N29+1),'TPS Current'!N29)</f>
        <v>67</v>
      </c>
      <c r="O29" s="27">
        <f>IF(ISNUMBER('TPS Correction'!O29),'TPS Current'!O29*('TPS Correction'!O29+1),'TPS Current'!O29)</f>
        <v>80</v>
      </c>
      <c r="P29" s="27">
        <f>IF(ISNUMBER('TPS Correction'!P29),'TPS Current'!P29*('TPS Correction'!P29+1),'TPS Current'!P29)</f>
        <v>90</v>
      </c>
      <c r="Q29" s="27">
        <f>IF(ISNUMBER('TPS Correction'!Q29),'TPS Current'!Q29*('TPS Correction'!Q29+1),'TPS Current'!Q29)</f>
        <v>104</v>
      </c>
      <c r="R29" s="27">
        <f>IF(ISNUMBER('TPS Correction'!R29),'TPS Current'!R29*('TPS Correction'!R29+1),'TPS Current'!R29)</f>
        <v>120</v>
      </c>
      <c r="S29" s="27">
        <f>IF(ISNUMBER('TPS Correction'!S29),'TPS Current'!S29*('TPS Correction'!S29+1),'TPS Current'!S29)</f>
        <v>147</v>
      </c>
      <c r="T29" s="27">
        <f>IF(ISNUMBER('TPS Correction'!T29),'TPS Current'!T29*('TPS Correction'!T29+1),'TPS Current'!T29)</f>
        <v>173</v>
      </c>
      <c r="U29" s="27">
        <f>IF(ISNUMBER('TPS Correction'!U29),'TPS Current'!U29*('TPS Correction'!U29+1),'TPS Current'!U29)</f>
        <v>196</v>
      </c>
      <c r="V29" s="27">
        <f>IF(ISNUMBER('TPS Correction'!V29),'TPS Current'!V29*('TPS Correction'!V29+1),'TPS Current'!V29)</f>
        <v>210</v>
      </c>
      <c r="W29" s="27">
        <f>IF(ISNUMBER('TPS Correction'!W29),'TPS Current'!W29*('TPS Correction'!W29+1),'TPS Current'!W29)</f>
        <v>262</v>
      </c>
      <c r="X29" s="27">
        <f>IF(ISNUMBER('TPS Correction'!X29),'TPS Current'!X29*('TPS Correction'!X29+1),'TPS Current'!X29)</f>
        <v>268</v>
      </c>
    </row>
    <row r="30" spans="1:24" x14ac:dyDescent="0.25">
      <c r="A30" s="15">
        <v>7600</v>
      </c>
      <c r="B30" s="27">
        <f>IF(ISNUMBER('TPS Correction'!B30),'TPS Current'!B30*('TPS Correction'!B30+1),'TPS Current'!B30)</f>
        <v>26</v>
      </c>
      <c r="C30" s="27">
        <f>IF(ISNUMBER('TPS Correction'!C30),'TPS Current'!C30*('TPS Correction'!C30+1),'TPS Current'!C30)</f>
        <v>26</v>
      </c>
      <c r="D30" s="27">
        <f>IF(ISNUMBER('TPS Correction'!D30),'TPS Current'!D30*('TPS Correction'!D30+1),'TPS Current'!D30)</f>
        <v>26</v>
      </c>
      <c r="E30" s="27">
        <f>IF(ISNUMBER('TPS Correction'!E30),'TPS Current'!E30*('TPS Correction'!E30+1),'TPS Current'!E30)</f>
        <v>26</v>
      </c>
      <c r="F30" s="27">
        <f>IF(ISNUMBER('TPS Correction'!F30),'TPS Current'!F30*('TPS Correction'!F30+1),'TPS Current'!F30)</f>
        <v>26</v>
      </c>
      <c r="G30" s="27">
        <f>IF(ISNUMBER('TPS Correction'!G30),'TPS Current'!G30*('TPS Correction'!G30+1),'TPS Current'!G30)</f>
        <v>28</v>
      </c>
      <c r="H30" s="27">
        <f>IF(ISNUMBER('TPS Correction'!H30),'TPS Current'!H30*('TPS Correction'!H30+1),'TPS Current'!H30)</f>
        <v>30</v>
      </c>
      <c r="I30" s="27">
        <f>IF(ISNUMBER('TPS Correction'!I30),'TPS Current'!I30*('TPS Correction'!I30+1),'TPS Current'!I30)</f>
        <v>30</v>
      </c>
      <c r="J30" s="27">
        <f>IF(ISNUMBER('TPS Correction'!J30),'TPS Current'!J30*('TPS Correction'!J30+1),'TPS Current'!J30)</f>
        <v>34</v>
      </c>
      <c r="K30" s="27">
        <f>IF(ISNUMBER('TPS Correction'!K30),'TPS Current'!K30*('TPS Correction'!K30+1),'TPS Current'!K30)</f>
        <v>38</v>
      </c>
      <c r="L30" s="27">
        <f>IF(ISNUMBER('TPS Correction'!L30),'TPS Current'!L30*('TPS Correction'!L30+1),'TPS Current'!L30)</f>
        <v>45</v>
      </c>
      <c r="M30" s="27">
        <f>IF(ISNUMBER('TPS Correction'!M30),'TPS Current'!M30*('TPS Correction'!M30+1),'TPS Current'!M30)</f>
        <v>54</v>
      </c>
      <c r="N30" s="27">
        <f>IF(ISNUMBER('TPS Correction'!N30),'TPS Current'!N30*('TPS Correction'!N30+1),'TPS Current'!N30)</f>
        <v>66</v>
      </c>
      <c r="O30" s="27">
        <f>IF(ISNUMBER('TPS Correction'!O30),'TPS Current'!O30*('TPS Correction'!O30+1),'TPS Current'!O30)</f>
        <v>76</v>
      </c>
      <c r="P30" s="27">
        <f>IF(ISNUMBER('TPS Correction'!P30),'TPS Current'!P30*('TPS Correction'!P30+1),'TPS Current'!P30)</f>
        <v>89</v>
      </c>
      <c r="Q30" s="27">
        <f>IF(ISNUMBER('TPS Correction'!Q30),'TPS Current'!Q30*('TPS Correction'!Q30+1),'TPS Current'!Q30)</f>
        <v>103</v>
      </c>
      <c r="R30" s="27">
        <f>IF(ISNUMBER('TPS Correction'!R30),'TPS Current'!R30*('TPS Correction'!R30+1),'TPS Current'!R30)</f>
        <v>117</v>
      </c>
      <c r="S30" s="27">
        <f>IF(ISNUMBER('TPS Correction'!S30),'TPS Current'!S30*('TPS Correction'!S30+1),'TPS Current'!S30)</f>
        <v>143</v>
      </c>
      <c r="T30" s="27">
        <f>IF(ISNUMBER('TPS Correction'!T30),'TPS Current'!T30*('TPS Correction'!T30+1),'TPS Current'!T30)</f>
        <v>172</v>
      </c>
      <c r="U30" s="27">
        <f>IF(ISNUMBER('TPS Correction'!U30),'TPS Current'!U30*('TPS Correction'!U30+1),'TPS Current'!U30)</f>
        <v>196</v>
      </c>
      <c r="V30" s="27">
        <f>IF(ISNUMBER('TPS Correction'!V30),'TPS Current'!V30*('TPS Correction'!V30+1),'TPS Current'!V30)</f>
        <v>212</v>
      </c>
      <c r="W30" s="27">
        <f>IF(ISNUMBER('TPS Correction'!W30),'TPS Current'!W30*('TPS Correction'!W30+1),'TPS Current'!W30)</f>
        <v>268</v>
      </c>
      <c r="X30" s="27">
        <f>IF(ISNUMBER('TPS Correction'!X30),'TPS Current'!X30*('TPS Correction'!X30+1),'TPS Current'!X30)</f>
        <v>273</v>
      </c>
    </row>
    <row r="31" spans="1:24" x14ac:dyDescent="0.25">
      <c r="A31" s="15">
        <v>8000</v>
      </c>
      <c r="B31" s="27">
        <f>IF(ISNUMBER('TPS Correction'!B31),'TPS Current'!B31*('TPS Correction'!B31+1),'TPS Current'!B31)</f>
        <v>24</v>
      </c>
      <c r="C31" s="27">
        <f>IF(ISNUMBER('TPS Correction'!C31),'TPS Current'!C31*('TPS Correction'!C31+1),'TPS Current'!C31)</f>
        <v>24</v>
      </c>
      <c r="D31" s="27">
        <f>IF(ISNUMBER('TPS Correction'!D31),'TPS Current'!D31*('TPS Correction'!D31+1),'TPS Current'!D31)</f>
        <v>24</v>
      </c>
      <c r="E31" s="27">
        <f>IF(ISNUMBER('TPS Correction'!E31),'TPS Current'!E31*('TPS Correction'!E31+1),'TPS Current'!E31)</f>
        <v>24</v>
      </c>
      <c r="F31" s="27">
        <f>IF(ISNUMBER('TPS Correction'!F31),'TPS Current'!F31*('TPS Correction'!F31+1),'TPS Current'!F31)</f>
        <v>24</v>
      </c>
      <c r="G31" s="27">
        <f>IF(ISNUMBER('TPS Correction'!G31),'TPS Current'!G31*('TPS Correction'!G31+1),'TPS Current'!G31)</f>
        <v>28</v>
      </c>
      <c r="H31" s="27">
        <f>IF(ISNUMBER('TPS Correction'!H31),'TPS Current'!H31*('TPS Correction'!H31+1),'TPS Current'!H31)</f>
        <v>30</v>
      </c>
      <c r="I31" s="27">
        <f>IF(ISNUMBER('TPS Correction'!I31),'TPS Current'!I31*('TPS Correction'!I31+1),'TPS Current'!I31)</f>
        <v>30</v>
      </c>
      <c r="J31" s="27">
        <f>IF(ISNUMBER('TPS Correction'!J31),'TPS Current'!J31*('TPS Correction'!J31+1),'TPS Current'!J31)</f>
        <v>32</v>
      </c>
      <c r="K31" s="27">
        <f>IF(ISNUMBER('TPS Correction'!K31),'TPS Current'!K31*('TPS Correction'!K31+1),'TPS Current'!K31)</f>
        <v>37</v>
      </c>
      <c r="L31" s="27">
        <f>IF(ISNUMBER('TPS Correction'!L31),'TPS Current'!L31*('TPS Correction'!L31+1),'TPS Current'!L31)</f>
        <v>44</v>
      </c>
      <c r="M31" s="27">
        <f>IF(ISNUMBER('TPS Correction'!M31),'TPS Current'!M31*('TPS Correction'!M31+1),'TPS Current'!M31)</f>
        <v>52</v>
      </c>
      <c r="N31" s="27">
        <f>IF(ISNUMBER('TPS Correction'!N31),'TPS Current'!N31*('TPS Correction'!N31+1),'TPS Current'!N31)</f>
        <v>63</v>
      </c>
      <c r="O31" s="27">
        <f>IF(ISNUMBER('TPS Correction'!O31),'TPS Current'!O31*('TPS Correction'!O31+1),'TPS Current'!O31)</f>
        <v>75</v>
      </c>
      <c r="P31" s="27">
        <f>IF(ISNUMBER('TPS Correction'!P31),'TPS Current'!P31*('TPS Correction'!P31+1),'TPS Current'!P31)</f>
        <v>88</v>
      </c>
      <c r="Q31" s="27">
        <f>IF(ISNUMBER('TPS Correction'!Q31),'TPS Current'!Q31*('TPS Correction'!Q31+1),'TPS Current'!Q31)</f>
        <v>102</v>
      </c>
      <c r="R31" s="27">
        <f>IF(ISNUMBER('TPS Correction'!R31),'TPS Current'!R31*('TPS Correction'!R31+1),'TPS Current'!R31)</f>
        <v>116</v>
      </c>
      <c r="S31" s="27">
        <f>IF(ISNUMBER('TPS Correction'!S31),'TPS Current'!S31*('TPS Correction'!S31+1),'TPS Current'!S31)</f>
        <v>142</v>
      </c>
      <c r="T31" s="27">
        <f>IF(ISNUMBER('TPS Correction'!T31),'TPS Current'!T31*('TPS Correction'!T31+1),'TPS Current'!T31)</f>
        <v>170</v>
      </c>
      <c r="U31" s="27">
        <f>IF(ISNUMBER('TPS Correction'!U31),'TPS Current'!U31*('TPS Correction'!U31+1),'TPS Current'!U31)</f>
        <v>194</v>
      </c>
      <c r="V31" s="27">
        <f>IF(ISNUMBER('TPS Correction'!V31),'TPS Current'!V31*('TPS Correction'!V31+1),'TPS Current'!V31)</f>
        <v>210</v>
      </c>
      <c r="W31" s="27">
        <f>IF(ISNUMBER('TPS Correction'!W31),'TPS Current'!W31*('TPS Correction'!W31+1),'TPS Current'!W31)</f>
        <v>255</v>
      </c>
      <c r="X31" s="27">
        <f>IF(ISNUMBER('TPS Correction'!X31),'TPS Current'!X31*('TPS Correction'!X31+1),'TPS Current'!X31)</f>
        <v>260</v>
      </c>
    </row>
    <row r="32" spans="1:24" x14ac:dyDescent="0.25">
      <c r="A32" s="15">
        <v>8400</v>
      </c>
      <c r="B32" s="27">
        <f>IF(ISNUMBER('TPS Correction'!B32),'TPS Current'!B32*('TPS Correction'!B32+1),'TPS Current'!B32)</f>
        <v>23</v>
      </c>
      <c r="C32" s="27">
        <f>IF(ISNUMBER('TPS Correction'!C32),'TPS Current'!C32*('TPS Correction'!C32+1),'TPS Current'!C32)</f>
        <v>23</v>
      </c>
      <c r="D32" s="27">
        <f>IF(ISNUMBER('TPS Correction'!D32),'TPS Current'!D32*('TPS Correction'!D32+1),'TPS Current'!D32)</f>
        <v>23</v>
      </c>
      <c r="E32" s="27">
        <f>IF(ISNUMBER('TPS Correction'!E32),'TPS Current'!E32*('TPS Correction'!E32+1),'TPS Current'!E32)</f>
        <v>24</v>
      </c>
      <c r="F32" s="27">
        <f>IF(ISNUMBER('TPS Correction'!F32),'TPS Current'!F32*('TPS Correction'!F32+1),'TPS Current'!F32)</f>
        <v>24</v>
      </c>
      <c r="G32" s="27">
        <f>IF(ISNUMBER('TPS Correction'!G32),'TPS Current'!G32*('TPS Correction'!G32+1),'TPS Current'!G32)</f>
        <v>28</v>
      </c>
      <c r="H32" s="27">
        <f>IF(ISNUMBER('TPS Correction'!H32),'TPS Current'!H32*('TPS Correction'!H32+1),'TPS Current'!H32)</f>
        <v>30</v>
      </c>
      <c r="I32" s="27">
        <f>IF(ISNUMBER('TPS Correction'!I32),'TPS Current'!I32*('TPS Correction'!I32+1),'TPS Current'!I32)</f>
        <v>30</v>
      </c>
      <c r="J32" s="27">
        <f>IF(ISNUMBER('TPS Correction'!J32),'TPS Current'!J32*('TPS Correction'!J32+1),'TPS Current'!J32)</f>
        <v>32</v>
      </c>
      <c r="K32" s="27">
        <f>IF(ISNUMBER('TPS Correction'!K32),'TPS Current'!K32*('TPS Correction'!K32+1),'TPS Current'!K32)</f>
        <v>37</v>
      </c>
      <c r="L32" s="27">
        <f>IF(ISNUMBER('TPS Correction'!L32),'TPS Current'!L32*('TPS Correction'!L32+1),'TPS Current'!L32)</f>
        <v>44</v>
      </c>
      <c r="M32" s="27">
        <f>IF(ISNUMBER('TPS Correction'!M32),'TPS Current'!M32*('TPS Correction'!M32+1),'TPS Current'!M32)</f>
        <v>52</v>
      </c>
      <c r="N32" s="27">
        <f>IF(ISNUMBER('TPS Correction'!N32),'TPS Current'!N32*('TPS Correction'!N32+1),'TPS Current'!N32)</f>
        <v>62</v>
      </c>
      <c r="O32" s="27">
        <f>IF(ISNUMBER('TPS Correction'!O32),'TPS Current'!O32*('TPS Correction'!O32+1),'TPS Current'!O32)</f>
        <v>75</v>
      </c>
      <c r="P32" s="27">
        <f>IF(ISNUMBER('TPS Correction'!P32),'TPS Current'!P32*('TPS Correction'!P32+1),'TPS Current'!P32)</f>
        <v>88</v>
      </c>
      <c r="Q32" s="27">
        <f>IF(ISNUMBER('TPS Correction'!Q32),'TPS Current'!Q32*('TPS Correction'!Q32+1),'TPS Current'!Q32)</f>
        <v>98</v>
      </c>
      <c r="R32" s="27">
        <f>IF(ISNUMBER('TPS Correction'!R32),'TPS Current'!R32*('TPS Correction'!R32+1),'TPS Current'!R32)</f>
        <v>112</v>
      </c>
      <c r="S32" s="27">
        <f>IF(ISNUMBER('TPS Correction'!S32),'TPS Current'!S32*('TPS Correction'!S32+1),'TPS Current'!S32)</f>
        <v>139</v>
      </c>
      <c r="T32" s="27">
        <f>IF(ISNUMBER('TPS Correction'!T32),'TPS Current'!T32*('TPS Correction'!T32+1),'TPS Current'!T32)</f>
        <v>169</v>
      </c>
      <c r="U32" s="27">
        <f>IF(ISNUMBER('TPS Correction'!U32),'TPS Current'!U32*('TPS Correction'!U32+1),'TPS Current'!U32)</f>
        <v>191</v>
      </c>
      <c r="V32" s="27">
        <f>IF(ISNUMBER('TPS Correction'!V32),'TPS Current'!V32*('TPS Correction'!V32+1),'TPS Current'!V32)</f>
        <v>207</v>
      </c>
      <c r="W32" s="27">
        <f>IF(ISNUMBER('TPS Correction'!W32),'TPS Current'!W32*('TPS Correction'!W32+1),'TPS Current'!W32)</f>
        <v>252</v>
      </c>
      <c r="X32" s="27">
        <f>IF(ISNUMBER('TPS Correction'!X32),'TPS Current'!X32*('TPS Correction'!X32+1),'TPS Current'!X32)</f>
        <v>258</v>
      </c>
    </row>
    <row r="33" spans="1:24" x14ac:dyDescent="0.25">
      <c r="A33" s="15">
        <v>8800</v>
      </c>
      <c r="B33" s="27">
        <f>IF(ISNUMBER('TPS Correction'!B33),'TPS Current'!B33*('TPS Correction'!B33+1),'TPS Current'!B33)</f>
        <v>23</v>
      </c>
      <c r="C33" s="27">
        <f>IF(ISNUMBER('TPS Correction'!C33),'TPS Current'!C33*('TPS Correction'!C33+1),'TPS Current'!C33)</f>
        <v>23</v>
      </c>
      <c r="D33" s="27">
        <f>IF(ISNUMBER('TPS Correction'!D33),'TPS Current'!D33*('TPS Correction'!D33+1),'TPS Current'!D33)</f>
        <v>23</v>
      </c>
      <c r="E33" s="27">
        <f>IF(ISNUMBER('TPS Correction'!E33),'TPS Current'!E33*('TPS Correction'!E33+1),'TPS Current'!E33)</f>
        <v>24</v>
      </c>
      <c r="F33" s="27">
        <f>IF(ISNUMBER('TPS Correction'!F33),'TPS Current'!F33*('TPS Correction'!F33+1),'TPS Current'!F33)</f>
        <v>24</v>
      </c>
      <c r="G33" s="27">
        <f>IF(ISNUMBER('TPS Correction'!G33),'TPS Current'!G33*('TPS Correction'!G33+1),'TPS Current'!G33)</f>
        <v>28</v>
      </c>
      <c r="H33" s="27">
        <f>IF(ISNUMBER('TPS Correction'!H33),'TPS Current'!H33*('TPS Correction'!H33+1),'TPS Current'!H33)</f>
        <v>30</v>
      </c>
      <c r="I33" s="27">
        <f>IF(ISNUMBER('TPS Correction'!I33),'TPS Current'!I33*('TPS Correction'!I33+1),'TPS Current'!I33)</f>
        <v>30</v>
      </c>
      <c r="J33" s="27">
        <f>IF(ISNUMBER('TPS Correction'!J33),'TPS Current'!J33*('TPS Correction'!J33+1),'TPS Current'!J33)</f>
        <v>32</v>
      </c>
      <c r="K33" s="27">
        <f>IF(ISNUMBER('TPS Correction'!K33),'TPS Current'!K33*('TPS Correction'!K33+1),'TPS Current'!K33)</f>
        <v>36</v>
      </c>
      <c r="L33" s="27">
        <f>IF(ISNUMBER('TPS Correction'!L33),'TPS Current'!L33*('TPS Correction'!L33+1),'TPS Current'!L33)</f>
        <v>42</v>
      </c>
      <c r="M33" s="27">
        <f>IF(ISNUMBER('TPS Correction'!M33),'TPS Current'!M33*('TPS Correction'!M33+1),'TPS Current'!M33)</f>
        <v>49</v>
      </c>
      <c r="N33" s="27">
        <f>IF(ISNUMBER('TPS Correction'!N33),'TPS Current'!N33*('TPS Correction'!N33+1),'TPS Current'!N33)</f>
        <v>60</v>
      </c>
      <c r="O33" s="27">
        <f>IF(ISNUMBER('TPS Correction'!O33),'TPS Current'!O33*('TPS Correction'!O33+1),'TPS Current'!O33)</f>
        <v>75</v>
      </c>
      <c r="P33" s="27">
        <f>IF(ISNUMBER('TPS Correction'!P33),'TPS Current'!P33*('TPS Correction'!P33+1),'TPS Current'!P33)</f>
        <v>85</v>
      </c>
      <c r="Q33" s="27">
        <f>IF(ISNUMBER('TPS Correction'!Q33),'TPS Current'!Q33*('TPS Correction'!Q33+1),'TPS Current'!Q33)</f>
        <v>93</v>
      </c>
      <c r="R33" s="27">
        <f>IF(ISNUMBER('TPS Correction'!R33),'TPS Current'!R33*('TPS Correction'!R33+1),'TPS Current'!R33)</f>
        <v>111</v>
      </c>
      <c r="S33" s="27">
        <f>IF(ISNUMBER('TPS Correction'!S33),'TPS Current'!S33*('TPS Correction'!S33+1),'TPS Current'!S33)</f>
        <v>136</v>
      </c>
      <c r="T33" s="27">
        <f>IF(ISNUMBER('TPS Correction'!T33),'TPS Current'!T33*('TPS Correction'!T33+1),'TPS Current'!T33)</f>
        <v>166</v>
      </c>
      <c r="U33" s="27">
        <f>IF(ISNUMBER('TPS Correction'!U33),'TPS Current'!U33*('TPS Correction'!U33+1),'TPS Current'!U33)</f>
        <v>190</v>
      </c>
      <c r="V33" s="27">
        <f>IF(ISNUMBER('TPS Correction'!V33),'TPS Current'!V33*('TPS Correction'!V33+1),'TPS Current'!V33)</f>
        <v>207</v>
      </c>
      <c r="W33" s="27">
        <f>IF(ISNUMBER('TPS Correction'!W33),'TPS Current'!W33*('TPS Correction'!W33+1),'TPS Current'!W33)</f>
        <v>243</v>
      </c>
      <c r="X33" s="27">
        <f>IF(ISNUMBER('TPS Correction'!X33),'TPS Current'!X33*('TPS Correction'!X33+1),'TPS Current'!X33)</f>
        <v>249</v>
      </c>
    </row>
    <row r="34" spans="1:24" x14ac:dyDescent="0.25">
      <c r="A34" s="15">
        <v>9200</v>
      </c>
      <c r="B34" s="27">
        <f>IF(ISNUMBER('TPS Correction'!B34),'TPS Current'!B34*('TPS Correction'!B34+1),'TPS Current'!B34)</f>
        <v>20</v>
      </c>
      <c r="C34" s="27">
        <f>IF(ISNUMBER('TPS Correction'!C34),'TPS Current'!C34*('TPS Correction'!C34+1),'TPS Current'!C34)</f>
        <v>20</v>
      </c>
      <c r="D34" s="27">
        <f>IF(ISNUMBER('TPS Correction'!D34),'TPS Current'!D34*('TPS Correction'!D34+1),'TPS Current'!D34)</f>
        <v>20</v>
      </c>
      <c r="E34" s="27">
        <f>IF(ISNUMBER('TPS Correction'!E34),'TPS Current'!E34*('TPS Correction'!E34+1),'TPS Current'!E34)</f>
        <v>23</v>
      </c>
      <c r="F34" s="27">
        <f>IF(ISNUMBER('TPS Correction'!F34),'TPS Current'!F34*('TPS Correction'!F34+1),'TPS Current'!F34)</f>
        <v>24</v>
      </c>
      <c r="G34" s="27">
        <f>IF(ISNUMBER('TPS Correction'!G34),'TPS Current'!G34*('TPS Correction'!G34+1),'TPS Current'!G34)</f>
        <v>28</v>
      </c>
      <c r="H34" s="27">
        <f>IF(ISNUMBER('TPS Correction'!H34),'TPS Current'!H34*('TPS Correction'!H34+1),'TPS Current'!H34)</f>
        <v>30</v>
      </c>
      <c r="I34" s="27">
        <f>IF(ISNUMBER('TPS Correction'!I34),'TPS Current'!I34*('TPS Correction'!I34+1),'TPS Current'!I34)</f>
        <v>30</v>
      </c>
      <c r="J34" s="27">
        <f>IF(ISNUMBER('TPS Correction'!J34),'TPS Current'!J34*('TPS Correction'!J34+1),'TPS Current'!J34)</f>
        <v>32</v>
      </c>
      <c r="K34" s="27">
        <f>IF(ISNUMBER('TPS Correction'!K34),'TPS Current'!K34*('TPS Correction'!K34+1),'TPS Current'!K34)</f>
        <v>36</v>
      </c>
      <c r="L34" s="27">
        <f>IF(ISNUMBER('TPS Correction'!L34),'TPS Current'!L34*('TPS Correction'!L34+1),'TPS Current'!L34)</f>
        <v>41</v>
      </c>
      <c r="M34" s="27">
        <f>IF(ISNUMBER('TPS Correction'!M34),'TPS Current'!M34*('TPS Correction'!M34+1),'TPS Current'!M34)</f>
        <v>49</v>
      </c>
      <c r="N34" s="27">
        <f>IF(ISNUMBER('TPS Correction'!N34),'TPS Current'!N34*('TPS Correction'!N34+1),'TPS Current'!N34)</f>
        <v>59</v>
      </c>
      <c r="O34" s="27">
        <f>IF(ISNUMBER('TPS Correction'!O34),'TPS Current'!O34*('TPS Correction'!O34+1),'TPS Current'!O34)</f>
        <v>72</v>
      </c>
      <c r="P34" s="27">
        <f>IF(ISNUMBER('TPS Correction'!P34),'TPS Current'!P34*('TPS Correction'!P34+1),'TPS Current'!P34)</f>
        <v>84</v>
      </c>
      <c r="Q34" s="27">
        <f>IF(ISNUMBER('TPS Correction'!Q34),'TPS Current'!Q34*('TPS Correction'!Q34+1),'TPS Current'!Q34)</f>
        <v>92</v>
      </c>
      <c r="R34" s="27">
        <f>IF(ISNUMBER('TPS Correction'!R34),'TPS Current'!R34*('TPS Correction'!R34+1),'TPS Current'!R34)</f>
        <v>108</v>
      </c>
      <c r="S34" s="27">
        <f>IF(ISNUMBER('TPS Correction'!S34),'TPS Current'!S34*('TPS Correction'!S34+1),'TPS Current'!S34)</f>
        <v>133</v>
      </c>
      <c r="T34" s="27">
        <f>IF(ISNUMBER('TPS Correction'!T34),'TPS Current'!T34*('TPS Correction'!T34+1),'TPS Current'!T34)</f>
        <v>163</v>
      </c>
      <c r="U34" s="27">
        <f>IF(ISNUMBER('TPS Correction'!U34),'TPS Current'!U34*('TPS Correction'!U34+1),'TPS Current'!U34)</f>
        <v>185</v>
      </c>
      <c r="V34" s="27">
        <f>IF(ISNUMBER('TPS Correction'!V34),'TPS Current'!V34*('TPS Correction'!V34+1),'TPS Current'!V34)</f>
        <v>204</v>
      </c>
      <c r="W34" s="27">
        <f>IF(ISNUMBER('TPS Correction'!W34),'TPS Current'!W34*('TPS Correction'!W34+1),'TPS Current'!W34)</f>
        <v>240</v>
      </c>
      <c r="X34" s="27">
        <f>IF(ISNUMBER('TPS Correction'!X34),'TPS Current'!X34*('TPS Correction'!X34+1),'TPS Current'!X34)</f>
        <v>248</v>
      </c>
    </row>
    <row r="35" spans="1:24" x14ac:dyDescent="0.25">
      <c r="A35" s="15">
        <v>9600</v>
      </c>
      <c r="B35" s="27">
        <f>IF(ISNUMBER('TPS Correction'!B35),'TPS Current'!B35*('TPS Correction'!B35+1),'TPS Current'!B35)</f>
        <v>20</v>
      </c>
      <c r="C35" s="27">
        <f>IF(ISNUMBER('TPS Correction'!C35),'TPS Current'!C35*('TPS Correction'!C35+1),'TPS Current'!C35)</f>
        <v>20</v>
      </c>
      <c r="D35" s="27">
        <f>IF(ISNUMBER('TPS Correction'!D35),'TPS Current'!D35*('TPS Correction'!D35+1),'TPS Current'!D35)</f>
        <v>20</v>
      </c>
      <c r="E35" s="27">
        <f>IF(ISNUMBER('TPS Correction'!E35),'TPS Current'!E35*('TPS Correction'!E35+1),'TPS Current'!E35)</f>
        <v>22</v>
      </c>
      <c r="F35" s="27">
        <f>IF(ISNUMBER('TPS Correction'!F35),'TPS Current'!F35*('TPS Correction'!F35+1),'TPS Current'!F35)</f>
        <v>24</v>
      </c>
      <c r="G35" s="27">
        <f>IF(ISNUMBER('TPS Correction'!G35),'TPS Current'!G35*('TPS Correction'!G35+1),'TPS Current'!G35)</f>
        <v>28</v>
      </c>
      <c r="H35" s="27">
        <f>IF(ISNUMBER('TPS Correction'!H35),'TPS Current'!H35*('TPS Correction'!H35+1),'TPS Current'!H35)</f>
        <v>30</v>
      </c>
      <c r="I35" s="27">
        <f>IF(ISNUMBER('TPS Correction'!I35),'TPS Current'!I35*('TPS Correction'!I35+1),'TPS Current'!I35)</f>
        <v>30</v>
      </c>
      <c r="J35" s="27">
        <f>IF(ISNUMBER('TPS Correction'!J35),'TPS Current'!J35*('TPS Correction'!J35+1),'TPS Current'!J35)</f>
        <v>30</v>
      </c>
      <c r="K35" s="27">
        <f>IF(ISNUMBER('TPS Correction'!K35),'TPS Current'!K35*('TPS Correction'!K35+1),'TPS Current'!K35)</f>
        <v>34</v>
      </c>
      <c r="L35" s="27">
        <f>IF(ISNUMBER('TPS Correction'!L35),'TPS Current'!L35*('TPS Correction'!L35+1),'TPS Current'!L35)</f>
        <v>40</v>
      </c>
      <c r="M35" s="27">
        <f>IF(ISNUMBER('TPS Correction'!M35),'TPS Current'!M35*('TPS Correction'!M35+1),'TPS Current'!M35)</f>
        <v>48</v>
      </c>
      <c r="N35" s="27">
        <f>IF(ISNUMBER('TPS Correction'!N35),'TPS Current'!N35*('TPS Correction'!N35+1),'TPS Current'!N35)</f>
        <v>59</v>
      </c>
      <c r="O35" s="27">
        <f>IF(ISNUMBER('TPS Correction'!O35),'TPS Current'!O35*('TPS Correction'!O35+1),'TPS Current'!O35)</f>
        <v>71</v>
      </c>
      <c r="P35" s="27">
        <f>IF(ISNUMBER('TPS Correction'!P35),'TPS Current'!P35*('TPS Correction'!P35+1),'TPS Current'!P35)</f>
        <v>82</v>
      </c>
      <c r="Q35" s="27">
        <f>IF(ISNUMBER('TPS Correction'!Q35),'TPS Current'!Q35*('TPS Correction'!Q35+1),'TPS Current'!Q35)</f>
        <v>90</v>
      </c>
      <c r="R35" s="27">
        <f>IF(ISNUMBER('TPS Correction'!R35),'TPS Current'!R35*('TPS Correction'!R35+1),'TPS Current'!R35)</f>
        <v>106</v>
      </c>
      <c r="S35" s="27">
        <f>IF(ISNUMBER('TPS Correction'!S35),'TPS Current'!S35*('TPS Correction'!S35+1),'TPS Current'!S35)</f>
        <v>130</v>
      </c>
      <c r="T35" s="27">
        <f>IF(ISNUMBER('TPS Correction'!T35),'TPS Current'!T35*('TPS Correction'!T35+1),'TPS Current'!T35)</f>
        <v>159</v>
      </c>
      <c r="U35" s="27">
        <f>IF(ISNUMBER('TPS Correction'!U35),'TPS Current'!U35*('TPS Correction'!U35+1),'TPS Current'!U35)</f>
        <v>182</v>
      </c>
      <c r="V35" s="27">
        <f>IF(ISNUMBER('TPS Correction'!V35),'TPS Current'!V35*('TPS Correction'!V35+1),'TPS Current'!V35)</f>
        <v>201</v>
      </c>
      <c r="W35" s="27">
        <f>IF(ISNUMBER('TPS Correction'!W35),'TPS Current'!W35*('TPS Correction'!W35+1),'TPS Current'!W35)</f>
        <v>238</v>
      </c>
      <c r="X35" s="27">
        <f>IF(ISNUMBER('TPS Correction'!X35),'TPS Current'!X35*('TPS Correction'!X35+1),'TPS Current'!X35)</f>
        <v>248</v>
      </c>
    </row>
    <row r="36" spans="1:24" x14ac:dyDescent="0.25">
      <c r="A36" s="15">
        <v>10000</v>
      </c>
      <c r="B36" s="27">
        <f>IF(ISNUMBER('TPS Correction'!B36),'TPS Current'!B36*('TPS Correction'!B36+1),'TPS Current'!B36)</f>
        <v>20</v>
      </c>
      <c r="C36" s="27">
        <f>IF(ISNUMBER('TPS Correction'!C36),'TPS Current'!C36*('TPS Correction'!C36+1),'TPS Current'!C36)</f>
        <v>20</v>
      </c>
      <c r="D36" s="27">
        <f>IF(ISNUMBER('TPS Correction'!D36),'TPS Current'!D36*('TPS Correction'!D36+1),'TPS Current'!D36)</f>
        <v>20</v>
      </c>
      <c r="E36" s="27">
        <f>IF(ISNUMBER('TPS Correction'!E36),'TPS Current'!E36*('TPS Correction'!E36+1),'TPS Current'!E36)</f>
        <v>22</v>
      </c>
      <c r="F36" s="27">
        <f>IF(ISNUMBER('TPS Correction'!F36),'TPS Current'!F36*('TPS Correction'!F36+1),'TPS Current'!F36)</f>
        <v>24</v>
      </c>
      <c r="G36" s="27">
        <f>IF(ISNUMBER('TPS Correction'!G36),'TPS Current'!G36*('TPS Correction'!G36+1),'TPS Current'!G36)</f>
        <v>27</v>
      </c>
      <c r="H36" s="27">
        <f>IF(ISNUMBER('TPS Correction'!H36),'TPS Current'!H36*('TPS Correction'!H36+1),'TPS Current'!H36)</f>
        <v>28</v>
      </c>
      <c r="I36" s="27">
        <f>IF(ISNUMBER('TPS Correction'!I36),'TPS Current'!I36*('TPS Correction'!I36+1),'TPS Current'!I36)</f>
        <v>28</v>
      </c>
      <c r="J36" s="27">
        <f>IF(ISNUMBER('TPS Correction'!J36),'TPS Current'!J36*('TPS Correction'!J36+1),'TPS Current'!J36)</f>
        <v>30</v>
      </c>
      <c r="K36" s="27">
        <f>IF(ISNUMBER('TPS Correction'!K36),'TPS Current'!K36*('TPS Correction'!K36+1),'TPS Current'!K36)</f>
        <v>34</v>
      </c>
      <c r="L36" s="27">
        <f>IF(ISNUMBER('TPS Correction'!L36),'TPS Current'!L36*('TPS Correction'!L36+1),'TPS Current'!L36)</f>
        <v>40</v>
      </c>
      <c r="M36" s="27">
        <f>IF(ISNUMBER('TPS Correction'!M36),'TPS Current'!M36*('TPS Correction'!M36+1),'TPS Current'!M36)</f>
        <v>46</v>
      </c>
      <c r="N36" s="27">
        <f>IF(ISNUMBER('TPS Correction'!N36),'TPS Current'!N36*('TPS Correction'!N36+1),'TPS Current'!N36)</f>
        <v>58</v>
      </c>
      <c r="O36" s="27">
        <f>IF(ISNUMBER('TPS Correction'!O36),'TPS Current'!O36*('TPS Correction'!O36+1),'TPS Current'!O36)</f>
        <v>71</v>
      </c>
      <c r="P36" s="27">
        <f>IF(ISNUMBER('TPS Correction'!P36),'TPS Current'!P36*('TPS Correction'!P36+1),'TPS Current'!P36)</f>
        <v>81</v>
      </c>
      <c r="Q36" s="27">
        <f>IF(ISNUMBER('TPS Correction'!Q36),'TPS Current'!Q36*('TPS Correction'!Q36+1),'TPS Current'!Q36)</f>
        <v>89</v>
      </c>
      <c r="R36" s="27">
        <f>IF(ISNUMBER('TPS Correction'!R36),'TPS Current'!R36*('TPS Correction'!R36+1),'TPS Current'!R36)</f>
        <v>104</v>
      </c>
      <c r="S36" s="27">
        <f>IF(ISNUMBER('TPS Correction'!S36),'TPS Current'!S36*('TPS Correction'!S36+1),'TPS Current'!S36)</f>
        <v>124</v>
      </c>
      <c r="T36" s="27">
        <f>IF(ISNUMBER('TPS Correction'!T36),'TPS Current'!T36*('TPS Correction'!T36+1),'TPS Current'!T36)</f>
        <v>152</v>
      </c>
      <c r="U36" s="27">
        <f>IF(ISNUMBER('TPS Correction'!U36),'TPS Current'!U36*('TPS Correction'!U36+1),'TPS Current'!U36)</f>
        <v>176</v>
      </c>
      <c r="V36" s="27">
        <f>IF(ISNUMBER('TPS Correction'!V36),'TPS Current'!V36*('TPS Correction'!V36+1),'TPS Current'!V36)</f>
        <v>194</v>
      </c>
      <c r="W36" s="27">
        <f>IF(ISNUMBER('TPS Correction'!W36),'TPS Current'!W36*('TPS Correction'!W36+1),'TPS Current'!W36)</f>
        <v>231</v>
      </c>
      <c r="X36" s="27">
        <f>IF(ISNUMBER('TPS Correction'!X36),'TPS Current'!X36*('TPS Correction'!X36+1),'TPS Current'!X36)</f>
        <v>236</v>
      </c>
    </row>
    <row r="37" spans="1:24" x14ac:dyDescent="0.25">
      <c r="A37" s="15">
        <v>10400</v>
      </c>
      <c r="B37" s="27">
        <f>IF(ISNUMBER('TPS Correction'!B37),'TPS Current'!B37*('TPS Correction'!B37+1),'TPS Current'!B37)</f>
        <v>19</v>
      </c>
      <c r="C37" s="27">
        <f>IF(ISNUMBER('TPS Correction'!C37),'TPS Current'!C37*('TPS Correction'!C37+1),'TPS Current'!C37)</f>
        <v>19</v>
      </c>
      <c r="D37" s="27">
        <f>IF(ISNUMBER('TPS Correction'!D37),'TPS Current'!D37*('TPS Correction'!D37+1),'TPS Current'!D37)</f>
        <v>19</v>
      </c>
      <c r="E37" s="27">
        <f>IF(ISNUMBER('TPS Correction'!E37),'TPS Current'!E37*('TPS Correction'!E37+1),'TPS Current'!E37)</f>
        <v>22</v>
      </c>
      <c r="F37" s="27">
        <f>IF(ISNUMBER('TPS Correction'!F37),'TPS Current'!F37*('TPS Correction'!F37+1),'TPS Current'!F37)</f>
        <v>24</v>
      </c>
      <c r="G37" s="27">
        <f>IF(ISNUMBER('TPS Correction'!G37),'TPS Current'!G37*('TPS Correction'!G37+1),'TPS Current'!G37)</f>
        <v>27</v>
      </c>
      <c r="H37" s="27">
        <f>IF(ISNUMBER('TPS Correction'!H37),'TPS Current'!H37*('TPS Correction'!H37+1),'TPS Current'!H37)</f>
        <v>28</v>
      </c>
      <c r="I37" s="27">
        <f>IF(ISNUMBER('TPS Correction'!I37),'TPS Current'!I37*('TPS Correction'!I37+1),'TPS Current'!I37)</f>
        <v>28</v>
      </c>
      <c r="J37" s="27">
        <f>IF(ISNUMBER('TPS Correction'!J37),'TPS Current'!J37*('TPS Correction'!J37+1),'TPS Current'!J37)</f>
        <v>30</v>
      </c>
      <c r="K37" s="27">
        <f>IF(ISNUMBER('TPS Correction'!K37),'TPS Current'!K37*('TPS Correction'!K37+1),'TPS Current'!K37)</f>
        <v>32</v>
      </c>
      <c r="L37" s="27">
        <f>IF(ISNUMBER('TPS Correction'!L37),'TPS Current'!L37*('TPS Correction'!L37+1),'TPS Current'!L37)</f>
        <v>38</v>
      </c>
      <c r="M37" s="27">
        <f>IF(ISNUMBER('TPS Correction'!M37),'TPS Current'!M37*('TPS Correction'!M37+1),'TPS Current'!M37)</f>
        <v>45</v>
      </c>
      <c r="N37" s="27">
        <f>IF(ISNUMBER('TPS Correction'!N37),'TPS Current'!N37*('TPS Correction'!N37+1),'TPS Current'!N37)</f>
        <v>58</v>
      </c>
      <c r="O37" s="27">
        <f>IF(ISNUMBER('TPS Correction'!O37),'TPS Current'!O37*('TPS Correction'!O37+1),'TPS Current'!O37)</f>
        <v>71</v>
      </c>
      <c r="P37" s="27">
        <f>IF(ISNUMBER('TPS Correction'!P37),'TPS Current'!P37*('TPS Correction'!P37+1),'TPS Current'!P37)</f>
        <v>81</v>
      </c>
      <c r="Q37" s="27">
        <f>IF(ISNUMBER('TPS Correction'!Q37),'TPS Current'!Q37*('TPS Correction'!Q37+1),'TPS Current'!Q37)</f>
        <v>88</v>
      </c>
      <c r="R37" s="27">
        <f>IF(ISNUMBER('TPS Correction'!R37),'TPS Current'!R37*('TPS Correction'!R37+1),'TPS Current'!R37)</f>
        <v>103</v>
      </c>
      <c r="S37" s="27">
        <f>IF(ISNUMBER('TPS Correction'!S37),'TPS Current'!S37*('TPS Correction'!S37+1),'TPS Current'!S37)</f>
        <v>120</v>
      </c>
      <c r="T37" s="27">
        <f>IF(ISNUMBER('TPS Correction'!T37),'TPS Current'!T37*('TPS Correction'!T37+1),'TPS Current'!T37)</f>
        <v>148</v>
      </c>
      <c r="U37" s="27">
        <f>IF(ISNUMBER('TPS Correction'!U37),'TPS Current'!U37*('TPS Correction'!U37+1),'TPS Current'!U37)</f>
        <v>172</v>
      </c>
      <c r="V37" s="27">
        <f>IF(ISNUMBER('TPS Correction'!V37),'TPS Current'!V37*('TPS Correction'!V37+1),'TPS Current'!V37)</f>
        <v>192</v>
      </c>
      <c r="W37" s="27">
        <f>IF(ISNUMBER('TPS Correction'!W37),'TPS Current'!W37*('TPS Correction'!W37+1),'TPS Current'!W37)</f>
        <v>225</v>
      </c>
      <c r="X37" s="27">
        <f>IF(ISNUMBER('TPS Correction'!X37),'TPS Current'!X37*('TPS Correction'!X37+1),'TPS Current'!X37)</f>
        <v>229</v>
      </c>
    </row>
    <row r="38" spans="1:24" x14ac:dyDescent="0.25">
      <c r="A38" s="15">
        <v>10800</v>
      </c>
      <c r="B38" s="27">
        <f>IF(ISNUMBER('TPS Correction'!B38),'TPS Current'!B38*('TPS Correction'!B38+1),'TPS Current'!B38)</f>
        <v>19</v>
      </c>
      <c r="C38" s="27">
        <f>IF(ISNUMBER('TPS Correction'!C38),'TPS Current'!C38*('TPS Correction'!C38+1),'TPS Current'!C38)</f>
        <v>19</v>
      </c>
      <c r="D38" s="27">
        <f>IF(ISNUMBER('TPS Correction'!D38),'TPS Current'!D38*('TPS Correction'!D38+1),'TPS Current'!D38)</f>
        <v>19</v>
      </c>
      <c r="E38" s="27">
        <f>IF(ISNUMBER('TPS Correction'!E38),'TPS Current'!E38*('TPS Correction'!E38+1),'TPS Current'!E38)</f>
        <v>22</v>
      </c>
      <c r="F38" s="27">
        <f>IF(ISNUMBER('TPS Correction'!F38),'TPS Current'!F38*('TPS Correction'!F38+1),'TPS Current'!F38)</f>
        <v>24</v>
      </c>
      <c r="G38" s="27">
        <f>IF(ISNUMBER('TPS Correction'!G38),'TPS Current'!G38*('TPS Correction'!G38+1),'TPS Current'!G38)</f>
        <v>27</v>
      </c>
      <c r="H38" s="27">
        <f>IF(ISNUMBER('TPS Correction'!H38),'TPS Current'!H38*('TPS Correction'!H38+1),'TPS Current'!H38)</f>
        <v>27</v>
      </c>
      <c r="I38" s="27">
        <f>IF(ISNUMBER('TPS Correction'!I38),'TPS Current'!I38*('TPS Correction'!I38+1),'TPS Current'!I38)</f>
        <v>28</v>
      </c>
      <c r="J38" s="27">
        <f>IF(ISNUMBER('TPS Correction'!J38),'TPS Current'!J38*('TPS Correction'!J38+1),'TPS Current'!J38)</f>
        <v>28</v>
      </c>
      <c r="K38" s="27">
        <f>IF(ISNUMBER('TPS Correction'!K38),'TPS Current'!K38*('TPS Correction'!K38+1),'TPS Current'!K38)</f>
        <v>30</v>
      </c>
      <c r="L38" s="27">
        <f>IF(ISNUMBER('TPS Correction'!L38),'TPS Current'!L38*('TPS Correction'!L38+1),'TPS Current'!L38)</f>
        <v>37</v>
      </c>
      <c r="M38" s="27">
        <f>IF(ISNUMBER('TPS Correction'!M38),'TPS Current'!M38*('TPS Correction'!M38+1),'TPS Current'!M38)</f>
        <v>44</v>
      </c>
      <c r="N38" s="27">
        <f>IF(ISNUMBER('TPS Correction'!N38),'TPS Current'!N38*('TPS Correction'!N38+1),'TPS Current'!N38)</f>
        <v>54</v>
      </c>
      <c r="O38" s="27">
        <f>IF(ISNUMBER('TPS Correction'!O38),'TPS Current'!O38*('TPS Correction'!O38+1),'TPS Current'!O38)</f>
        <v>68</v>
      </c>
      <c r="P38" s="27">
        <f>IF(ISNUMBER('TPS Correction'!P38),'TPS Current'!P38*('TPS Correction'!P38+1),'TPS Current'!P38)</f>
        <v>80</v>
      </c>
      <c r="Q38" s="27">
        <f>IF(ISNUMBER('TPS Correction'!Q38),'TPS Current'!Q38*('TPS Correction'!Q38+1),'TPS Current'!Q38)</f>
        <v>86</v>
      </c>
      <c r="R38" s="27">
        <f>IF(ISNUMBER('TPS Correction'!R38),'TPS Current'!R38*('TPS Correction'!R38+1),'TPS Current'!R38)</f>
        <v>98</v>
      </c>
      <c r="S38" s="27">
        <f>IF(ISNUMBER('TPS Correction'!S38),'TPS Current'!S38*('TPS Correction'!S38+1),'TPS Current'!S38)</f>
        <v>117</v>
      </c>
      <c r="T38" s="27">
        <f>IF(ISNUMBER('TPS Correction'!T38),'TPS Current'!T38*('TPS Correction'!T38+1),'TPS Current'!T38)</f>
        <v>147</v>
      </c>
      <c r="U38" s="27">
        <f>IF(ISNUMBER('TPS Correction'!U38),'TPS Current'!U38*('TPS Correction'!U38+1),'TPS Current'!U38)</f>
        <v>169</v>
      </c>
      <c r="V38" s="27">
        <f>IF(ISNUMBER('TPS Correction'!V38),'TPS Current'!V38*('TPS Correction'!V38+1),'TPS Current'!V38)</f>
        <v>187</v>
      </c>
      <c r="W38" s="27">
        <f>IF(ISNUMBER('TPS Correction'!W38),'TPS Current'!W38*('TPS Correction'!W38+1),'TPS Current'!W38)</f>
        <v>220</v>
      </c>
      <c r="X38" s="27">
        <f>IF(ISNUMBER('TPS Correction'!X38),'TPS Current'!X38*('TPS Correction'!X38+1),'TPS Current'!X38)</f>
        <v>224</v>
      </c>
    </row>
    <row r="39" spans="1:24" x14ac:dyDescent="0.25">
      <c r="A39" s="15">
        <v>11200</v>
      </c>
      <c r="B39" s="27">
        <f>IF(ISNUMBER('TPS Correction'!B39),'TPS Current'!B39*('TPS Correction'!B39+1),'TPS Current'!B39)</f>
        <v>19</v>
      </c>
      <c r="C39" s="27">
        <f>IF(ISNUMBER('TPS Correction'!C39),'TPS Current'!C39*('TPS Correction'!C39+1),'TPS Current'!C39)</f>
        <v>19</v>
      </c>
      <c r="D39" s="27">
        <f>IF(ISNUMBER('TPS Correction'!D39),'TPS Current'!D39*('TPS Correction'!D39+1),'TPS Current'!D39)</f>
        <v>19</v>
      </c>
      <c r="E39" s="27">
        <f>IF(ISNUMBER('TPS Correction'!E39),'TPS Current'!E39*('TPS Correction'!E39+1),'TPS Current'!E39)</f>
        <v>22</v>
      </c>
      <c r="F39" s="27">
        <f>IF(ISNUMBER('TPS Correction'!F39),'TPS Current'!F39*('TPS Correction'!F39+1),'TPS Current'!F39)</f>
        <v>24</v>
      </c>
      <c r="G39" s="27">
        <f>IF(ISNUMBER('TPS Correction'!G39),'TPS Current'!G39*('TPS Correction'!G39+1),'TPS Current'!G39)</f>
        <v>27</v>
      </c>
      <c r="H39" s="27">
        <f>IF(ISNUMBER('TPS Correction'!H39),'TPS Current'!H39*('TPS Correction'!H39+1),'TPS Current'!H39)</f>
        <v>27</v>
      </c>
      <c r="I39" s="27">
        <f>IF(ISNUMBER('TPS Correction'!I39),'TPS Current'!I39*('TPS Correction'!I39+1),'TPS Current'!I39)</f>
        <v>28</v>
      </c>
      <c r="J39" s="27">
        <f>IF(ISNUMBER('TPS Correction'!J39),'TPS Current'!J39*('TPS Correction'!J39+1),'TPS Current'!J39)</f>
        <v>28</v>
      </c>
      <c r="K39" s="27">
        <f>IF(ISNUMBER('TPS Correction'!K39),'TPS Current'!K39*('TPS Correction'!K39+1),'TPS Current'!K39)</f>
        <v>30</v>
      </c>
      <c r="L39" s="27">
        <f>IF(ISNUMBER('TPS Correction'!L39),'TPS Current'!L39*('TPS Correction'!L39+1),'TPS Current'!L39)</f>
        <v>36</v>
      </c>
      <c r="M39" s="27">
        <f>IF(ISNUMBER('TPS Correction'!M39),'TPS Current'!M39*('TPS Correction'!M39+1),'TPS Current'!M39)</f>
        <v>42</v>
      </c>
      <c r="N39" s="27">
        <f>IF(ISNUMBER('TPS Correction'!N39),'TPS Current'!N39*('TPS Correction'!N39+1),'TPS Current'!N39)</f>
        <v>50</v>
      </c>
      <c r="O39" s="27">
        <f>IF(ISNUMBER('TPS Correction'!O39),'TPS Current'!O39*('TPS Correction'!O39+1),'TPS Current'!O39)</f>
        <v>64</v>
      </c>
      <c r="P39" s="27">
        <f>IF(ISNUMBER('TPS Correction'!P39),'TPS Current'!P39*('TPS Correction'!P39+1),'TPS Current'!P39)</f>
        <v>75</v>
      </c>
      <c r="Q39" s="27">
        <f>IF(ISNUMBER('TPS Correction'!Q39),'TPS Current'!Q39*('TPS Correction'!Q39+1),'TPS Current'!Q39)</f>
        <v>85</v>
      </c>
      <c r="R39" s="27">
        <f>IF(ISNUMBER('TPS Correction'!R39),'TPS Current'!R39*('TPS Correction'!R39+1),'TPS Current'!R39)</f>
        <v>94</v>
      </c>
      <c r="S39" s="27">
        <f>IF(ISNUMBER('TPS Correction'!S39),'TPS Current'!S39*('TPS Correction'!S39+1),'TPS Current'!S39)</f>
        <v>114</v>
      </c>
      <c r="T39" s="27">
        <f>IF(ISNUMBER('TPS Correction'!T39),'TPS Current'!T39*('TPS Correction'!T39+1),'TPS Current'!T39)</f>
        <v>142</v>
      </c>
      <c r="U39" s="27">
        <f>IF(ISNUMBER('TPS Correction'!U39),'TPS Current'!U39*('TPS Correction'!U39+1),'TPS Current'!U39)</f>
        <v>163</v>
      </c>
      <c r="V39" s="27">
        <f>IF(ISNUMBER('TPS Correction'!V39),'TPS Current'!V39*('TPS Correction'!V39+1),'TPS Current'!V39)</f>
        <v>181</v>
      </c>
      <c r="W39" s="27">
        <f>IF(ISNUMBER('TPS Correction'!W39),'TPS Current'!W39*('TPS Correction'!W39+1),'TPS Current'!W39)</f>
        <v>214</v>
      </c>
      <c r="X39" s="27">
        <f>IF(ISNUMBER('TPS Correction'!X39),'TPS Current'!X39*('TPS Correction'!X39+1),'TPS Current'!X39)</f>
        <v>215</v>
      </c>
    </row>
    <row r="40" spans="1:24" x14ac:dyDescent="0.25">
      <c r="A40" s="15">
        <v>11600</v>
      </c>
      <c r="B40" s="27">
        <f>IF(ISNUMBER('TPS Correction'!B40),'TPS Current'!B40*('TPS Correction'!B40+1),'TPS Current'!B40)</f>
        <v>19</v>
      </c>
      <c r="C40" s="27">
        <f>IF(ISNUMBER('TPS Correction'!C40),'TPS Current'!C40*('TPS Correction'!C40+1),'TPS Current'!C40)</f>
        <v>19</v>
      </c>
      <c r="D40" s="27">
        <f>IF(ISNUMBER('TPS Correction'!D40),'TPS Current'!D40*('TPS Correction'!D40+1),'TPS Current'!D40)</f>
        <v>19</v>
      </c>
      <c r="E40" s="27">
        <f>IF(ISNUMBER('TPS Correction'!E40),'TPS Current'!E40*('TPS Correction'!E40+1),'TPS Current'!E40)</f>
        <v>22</v>
      </c>
      <c r="F40" s="27">
        <f>IF(ISNUMBER('TPS Correction'!F40),'TPS Current'!F40*('TPS Correction'!F40+1),'TPS Current'!F40)</f>
        <v>24</v>
      </c>
      <c r="G40" s="27">
        <f>IF(ISNUMBER('TPS Correction'!G40),'TPS Current'!G40*('TPS Correction'!G40+1),'TPS Current'!G40)</f>
        <v>27</v>
      </c>
      <c r="H40" s="27">
        <f>IF(ISNUMBER('TPS Correction'!H40),'TPS Current'!H40*('TPS Correction'!H40+1),'TPS Current'!H40)</f>
        <v>27</v>
      </c>
      <c r="I40" s="27">
        <f>IF(ISNUMBER('TPS Correction'!I40),'TPS Current'!I40*('TPS Correction'!I40+1),'TPS Current'!I40)</f>
        <v>28</v>
      </c>
      <c r="J40" s="27">
        <f>IF(ISNUMBER('TPS Correction'!J40),'TPS Current'!J40*('TPS Correction'!J40+1),'TPS Current'!J40)</f>
        <v>28</v>
      </c>
      <c r="K40" s="27">
        <f>IF(ISNUMBER('TPS Correction'!K40),'TPS Current'!K40*('TPS Correction'!K40+1),'TPS Current'!K40)</f>
        <v>28</v>
      </c>
      <c r="L40" s="27">
        <f>IF(ISNUMBER('TPS Correction'!L40),'TPS Current'!L40*('TPS Correction'!L40+1),'TPS Current'!L40)</f>
        <v>34</v>
      </c>
      <c r="M40" s="27">
        <f>IF(ISNUMBER('TPS Correction'!M40),'TPS Current'!M40*('TPS Correction'!M40+1),'TPS Current'!M40)</f>
        <v>41</v>
      </c>
      <c r="N40" s="27">
        <f>IF(ISNUMBER('TPS Correction'!N40),'TPS Current'!N40*('TPS Correction'!N40+1),'TPS Current'!N40)</f>
        <v>48</v>
      </c>
      <c r="O40" s="27">
        <f>IF(ISNUMBER('TPS Correction'!O40),'TPS Current'!O40*('TPS Correction'!O40+1),'TPS Current'!O40)</f>
        <v>62</v>
      </c>
      <c r="P40" s="27">
        <f>IF(ISNUMBER('TPS Correction'!P40),'TPS Current'!P40*('TPS Correction'!P40+1),'TPS Current'!P40)</f>
        <v>72</v>
      </c>
      <c r="Q40" s="27">
        <f>IF(ISNUMBER('TPS Correction'!Q40),'TPS Current'!Q40*('TPS Correction'!Q40+1),'TPS Current'!Q40)</f>
        <v>82</v>
      </c>
      <c r="R40" s="27">
        <f>IF(ISNUMBER('TPS Correction'!R40),'TPS Current'!R40*('TPS Correction'!R40+1),'TPS Current'!R40)</f>
        <v>92</v>
      </c>
      <c r="S40" s="27">
        <f>IF(ISNUMBER('TPS Correction'!S40),'TPS Current'!S40*('TPS Correction'!S40+1),'TPS Current'!S40)</f>
        <v>111</v>
      </c>
      <c r="T40" s="27">
        <f>IF(ISNUMBER('TPS Correction'!T40),'TPS Current'!T40*('TPS Correction'!T40+1),'TPS Current'!T40)</f>
        <v>136</v>
      </c>
      <c r="U40" s="27">
        <f>IF(ISNUMBER('TPS Correction'!U40),'TPS Current'!U40*('TPS Correction'!U40+1),'TPS Current'!U40)</f>
        <v>155</v>
      </c>
      <c r="V40" s="27">
        <f>IF(ISNUMBER('TPS Correction'!V40),'TPS Current'!V40*('TPS Correction'!V40+1),'TPS Current'!V40)</f>
        <v>173</v>
      </c>
      <c r="W40" s="27">
        <f>IF(ISNUMBER('TPS Correction'!W40),'TPS Current'!W40*('TPS Correction'!W40+1),'TPS Current'!W40)</f>
        <v>204</v>
      </c>
      <c r="X40" s="27">
        <f>IF(ISNUMBER('TPS Correction'!X40),'TPS Current'!X40*('TPS Correction'!X40+1),'TPS Current'!X40)</f>
        <v>206</v>
      </c>
    </row>
    <row r="41" spans="1:24" x14ac:dyDescent="0.25">
      <c r="A41" s="15">
        <v>12000</v>
      </c>
      <c r="B41" s="27">
        <f>IF(ISNUMBER('TPS Correction'!B41),'TPS Current'!B41*('TPS Correction'!B41+1),'TPS Current'!B41)</f>
        <v>19</v>
      </c>
      <c r="C41" s="27">
        <f>IF(ISNUMBER('TPS Correction'!C41),'TPS Current'!C41*('TPS Correction'!C41+1),'TPS Current'!C41)</f>
        <v>19</v>
      </c>
      <c r="D41" s="27">
        <f>IF(ISNUMBER('TPS Correction'!D41),'TPS Current'!D41*('TPS Correction'!D41+1),'TPS Current'!D41)</f>
        <v>19</v>
      </c>
      <c r="E41" s="27">
        <f>IF(ISNUMBER('TPS Correction'!E41),'TPS Current'!E41*('TPS Correction'!E41+1),'TPS Current'!E41)</f>
        <v>22</v>
      </c>
      <c r="F41" s="27">
        <f>IF(ISNUMBER('TPS Correction'!F41),'TPS Current'!F41*('TPS Correction'!F41+1),'TPS Current'!F41)</f>
        <v>24</v>
      </c>
      <c r="G41" s="27">
        <f>IF(ISNUMBER('TPS Correction'!G41),'TPS Current'!G41*('TPS Correction'!G41+1),'TPS Current'!G41)</f>
        <v>27</v>
      </c>
      <c r="H41" s="27">
        <f>IF(ISNUMBER('TPS Correction'!H41),'TPS Current'!H41*('TPS Correction'!H41+1),'TPS Current'!H41)</f>
        <v>27</v>
      </c>
      <c r="I41" s="27">
        <f>IF(ISNUMBER('TPS Correction'!I41),'TPS Current'!I41*('TPS Correction'!I41+1),'TPS Current'!I41)</f>
        <v>28</v>
      </c>
      <c r="J41" s="27">
        <f>IF(ISNUMBER('TPS Correction'!J41),'TPS Current'!J41*('TPS Correction'!J41+1),'TPS Current'!J41)</f>
        <v>28</v>
      </c>
      <c r="K41" s="27">
        <f>IF(ISNUMBER('TPS Correction'!K41),'TPS Current'!K41*('TPS Correction'!K41+1),'TPS Current'!K41)</f>
        <v>28</v>
      </c>
      <c r="L41" s="27">
        <f>IF(ISNUMBER('TPS Correction'!L41),'TPS Current'!L41*('TPS Correction'!L41+1),'TPS Current'!L41)</f>
        <v>34</v>
      </c>
      <c r="M41" s="27">
        <f>IF(ISNUMBER('TPS Correction'!M41),'TPS Current'!M41*('TPS Correction'!M41+1),'TPS Current'!M41)</f>
        <v>40</v>
      </c>
      <c r="N41" s="27">
        <f>IF(ISNUMBER('TPS Correction'!N41),'TPS Current'!N41*('TPS Correction'!N41+1),'TPS Current'!N41)</f>
        <v>46</v>
      </c>
      <c r="O41" s="27">
        <f>IF(ISNUMBER('TPS Correction'!O41),'TPS Current'!O41*('TPS Correction'!O41+1),'TPS Current'!O41)</f>
        <v>60</v>
      </c>
      <c r="P41" s="27">
        <f>IF(ISNUMBER('TPS Correction'!P41),'TPS Current'!P41*('TPS Correction'!P41+1),'TPS Current'!P41)</f>
        <v>70</v>
      </c>
      <c r="Q41" s="27">
        <f>IF(ISNUMBER('TPS Correction'!Q41),'TPS Current'!Q41*('TPS Correction'!Q41+1),'TPS Current'!Q41)</f>
        <v>80</v>
      </c>
      <c r="R41" s="27">
        <f>IF(ISNUMBER('TPS Correction'!R41),'TPS Current'!R41*('TPS Correction'!R41+1),'TPS Current'!R41)</f>
        <v>90</v>
      </c>
      <c r="S41" s="27">
        <f>IF(ISNUMBER('TPS Correction'!S41),'TPS Current'!S41*('TPS Correction'!S41+1),'TPS Current'!S41)</f>
        <v>107</v>
      </c>
      <c r="T41" s="27">
        <f>IF(ISNUMBER('TPS Correction'!T41),'TPS Current'!T41*('TPS Correction'!T41+1),'TPS Current'!T41)</f>
        <v>130</v>
      </c>
      <c r="U41" s="27">
        <f>IF(ISNUMBER('TPS Correction'!U41),'TPS Current'!U41*('TPS Correction'!U41+1),'TPS Current'!U41)</f>
        <v>147</v>
      </c>
      <c r="V41" s="27">
        <f>IF(ISNUMBER('TPS Correction'!V41),'TPS Current'!V41*('TPS Correction'!V41+1),'TPS Current'!V41)</f>
        <v>166</v>
      </c>
      <c r="W41" s="27">
        <f>IF(ISNUMBER('TPS Correction'!W41),'TPS Current'!W41*('TPS Correction'!W41+1),'TPS Current'!W41)</f>
        <v>195</v>
      </c>
      <c r="X41" s="27">
        <f>IF(ISNUMBER('TPS Correction'!X41),'TPS Current'!X41*('TPS Correction'!X41+1),'TPS Current'!X41)</f>
        <v>200</v>
      </c>
    </row>
    <row r="42" spans="1:24" x14ac:dyDescent="0.25">
      <c r="A42" s="15">
        <v>12400</v>
      </c>
      <c r="B42" s="27">
        <f>IF(ISNUMBER('TPS Correction'!B42),'TPS Current'!B42*('TPS Correction'!B42+1),'TPS Current'!B42)</f>
        <v>19</v>
      </c>
      <c r="C42" s="27">
        <f>IF(ISNUMBER('TPS Correction'!C42),'TPS Current'!C42*('TPS Correction'!C42+1),'TPS Current'!C42)</f>
        <v>19</v>
      </c>
      <c r="D42" s="27">
        <f>IF(ISNUMBER('TPS Correction'!D42),'TPS Current'!D42*('TPS Correction'!D42+1),'TPS Current'!D42)</f>
        <v>19</v>
      </c>
      <c r="E42" s="27">
        <f>IF(ISNUMBER('TPS Correction'!E42),'TPS Current'!E42*('TPS Correction'!E42+1),'TPS Current'!E42)</f>
        <v>22</v>
      </c>
      <c r="F42" s="27">
        <f>IF(ISNUMBER('TPS Correction'!F42),'TPS Current'!F42*('TPS Correction'!F42+1),'TPS Current'!F42)</f>
        <v>24</v>
      </c>
      <c r="G42" s="27">
        <f>IF(ISNUMBER('TPS Correction'!G42),'TPS Current'!G42*('TPS Correction'!G42+1),'TPS Current'!G42)</f>
        <v>27</v>
      </c>
      <c r="H42" s="27">
        <f>IF(ISNUMBER('TPS Correction'!H42),'TPS Current'!H42*('TPS Correction'!H42+1),'TPS Current'!H42)</f>
        <v>27</v>
      </c>
      <c r="I42" s="27">
        <f>IF(ISNUMBER('TPS Correction'!I42),'TPS Current'!I42*('TPS Correction'!I42+1),'TPS Current'!I42)</f>
        <v>28</v>
      </c>
      <c r="J42" s="27">
        <f>IF(ISNUMBER('TPS Correction'!J42),'TPS Current'!J42*('TPS Correction'!J42+1),'TPS Current'!J42)</f>
        <v>28</v>
      </c>
      <c r="K42" s="27">
        <f>IF(ISNUMBER('TPS Correction'!K42),'TPS Current'!K42*('TPS Correction'!K42+1),'TPS Current'!K42)</f>
        <v>28</v>
      </c>
      <c r="L42" s="27">
        <f>IF(ISNUMBER('TPS Correction'!L42),'TPS Current'!L42*('TPS Correction'!L42+1),'TPS Current'!L42)</f>
        <v>34</v>
      </c>
      <c r="M42" s="27">
        <f>IF(ISNUMBER('TPS Correction'!M42),'TPS Current'!M42*('TPS Correction'!M42+1),'TPS Current'!M42)</f>
        <v>40</v>
      </c>
      <c r="N42" s="27">
        <f>IF(ISNUMBER('TPS Correction'!N42),'TPS Current'!N42*('TPS Correction'!N42+1),'TPS Current'!N42)</f>
        <v>46</v>
      </c>
      <c r="O42" s="27">
        <f>IF(ISNUMBER('TPS Correction'!O42),'TPS Current'!O42*('TPS Correction'!O42+1),'TPS Current'!O42)</f>
        <v>60</v>
      </c>
      <c r="P42" s="27">
        <f>IF(ISNUMBER('TPS Correction'!P42),'TPS Current'!P42*('TPS Correction'!P42+1),'TPS Current'!P42)</f>
        <v>70</v>
      </c>
      <c r="Q42" s="27">
        <f>IF(ISNUMBER('TPS Correction'!Q42),'TPS Current'!Q42*('TPS Correction'!Q42+1),'TPS Current'!Q42)</f>
        <v>80</v>
      </c>
      <c r="R42" s="27">
        <f>IF(ISNUMBER('TPS Correction'!R42),'TPS Current'!R42*('TPS Correction'!R42+1),'TPS Current'!R42)</f>
        <v>90</v>
      </c>
      <c r="S42" s="27">
        <f>IF(ISNUMBER('TPS Correction'!S42),'TPS Current'!S42*('TPS Correction'!S42+1),'TPS Current'!S42)</f>
        <v>107</v>
      </c>
      <c r="T42" s="27">
        <f>IF(ISNUMBER('TPS Correction'!T42),'TPS Current'!T42*('TPS Correction'!T42+1),'TPS Current'!T42)</f>
        <v>130</v>
      </c>
      <c r="U42" s="27">
        <f>IF(ISNUMBER('TPS Correction'!U42),'TPS Current'!U42*('TPS Correction'!U42+1),'TPS Current'!U42)</f>
        <v>147</v>
      </c>
      <c r="V42" s="27">
        <f>IF(ISNUMBER('TPS Correction'!V42),'TPS Current'!V42*('TPS Correction'!V42+1),'TPS Current'!V42)</f>
        <v>166</v>
      </c>
      <c r="W42" s="27">
        <f>IF(ISNUMBER('TPS Correction'!W42),'TPS Current'!W42*('TPS Correction'!W42+1),'TPS Current'!W42)</f>
        <v>195</v>
      </c>
      <c r="X42" s="27">
        <f>IF(ISNUMBER('TPS Correction'!X42),'TPS Current'!X42*('TPS Correction'!X42+1),'TPS Current'!X42)</f>
        <v>200</v>
      </c>
    </row>
    <row r="43" spans="1:24" ht="13.8" thickBot="1" x14ac:dyDescent="0.3">
      <c r="A43" s="16">
        <v>12800</v>
      </c>
      <c r="B43" s="27">
        <f>IF(ISNUMBER('TPS Correction'!B43),'TPS Current'!B43*('TPS Correction'!B43+1),'TPS Current'!B43)</f>
        <v>19</v>
      </c>
      <c r="C43" s="27">
        <f>IF(ISNUMBER('TPS Correction'!C43),'TPS Current'!C43*('TPS Correction'!C43+1),'TPS Current'!C43)</f>
        <v>19</v>
      </c>
      <c r="D43" s="27">
        <f>IF(ISNUMBER('TPS Correction'!D43),'TPS Current'!D43*('TPS Correction'!D43+1),'TPS Current'!D43)</f>
        <v>19</v>
      </c>
      <c r="E43" s="27">
        <f>IF(ISNUMBER('TPS Correction'!E43),'TPS Current'!E43*('TPS Correction'!E43+1),'TPS Current'!E43)</f>
        <v>22</v>
      </c>
      <c r="F43" s="27">
        <f>IF(ISNUMBER('TPS Correction'!F43),'TPS Current'!F43*('TPS Correction'!F43+1),'TPS Current'!F43)</f>
        <v>24</v>
      </c>
      <c r="G43" s="27">
        <f>IF(ISNUMBER('TPS Correction'!G43),'TPS Current'!G43*('TPS Correction'!G43+1),'TPS Current'!G43)</f>
        <v>27</v>
      </c>
      <c r="H43" s="27">
        <f>IF(ISNUMBER('TPS Correction'!H43),'TPS Current'!H43*('TPS Correction'!H43+1),'TPS Current'!H43)</f>
        <v>27</v>
      </c>
      <c r="I43" s="27">
        <f>IF(ISNUMBER('TPS Correction'!I43),'TPS Current'!I43*('TPS Correction'!I43+1),'TPS Current'!I43)</f>
        <v>28</v>
      </c>
      <c r="J43" s="27">
        <f>IF(ISNUMBER('TPS Correction'!J43),'TPS Current'!J43*('TPS Correction'!J43+1),'TPS Current'!J43)</f>
        <v>28</v>
      </c>
      <c r="K43" s="27">
        <f>IF(ISNUMBER('TPS Correction'!K43),'TPS Current'!K43*('TPS Correction'!K43+1),'TPS Current'!K43)</f>
        <v>28</v>
      </c>
      <c r="L43" s="27">
        <f>IF(ISNUMBER('TPS Correction'!L43),'TPS Current'!L43*('TPS Correction'!L43+1),'TPS Current'!L43)</f>
        <v>34</v>
      </c>
      <c r="M43" s="27">
        <f>IF(ISNUMBER('TPS Correction'!M43),'TPS Current'!M43*('TPS Correction'!M43+1),'TPS Current'!M43)</f>
        <v>40</v>
      </c>
      <c r="N43" s="27">
        <f>IF(ISNUMBER('TPS Correction'!N43),'TPS Current'!N43*('TPS Correction'!N43+1),'TPS Current'!N43)</f>
        <v>64.469696969696969</v>
      </c>
      <c r="O43" s="27">
        <f>IF(ISNUMBER('TPS Correction'!O43),'TPS Current'!O43*('TPS Correction'!O43+1),'TPS Current'!O43)</f>
        <v>84.090909090909093</v>
      </c>
      <c r="P43" s="27">
        <f>IF(ISNUMBER('TPS Correction'!P43),'TPS Current'!P43*('TPS Correction'!P43+1),'TPS Current'!P43)</f>
        <v>98.106060606060609</v>
      </c>
      <c r="Q43" s="27">
        <f>IF(ISNUMBER('TPS Correction'!Q43),'TPS Current'!Q43*('TPS Correction'!Q43+1),'TPS Current'!Q43)</f>
        <v>112.12121212121212</v>
      </c>
      <c r="R43" s="27">
        <f>IF(ISNUMBER('TPS Correction'!R43),'TPS Current'!R43*('TPS Correction'!R43+1),'TPS Current'!R43)</f>
        <v>126.13636363636364</v>
      </c>
      <c r="S43" s="27">
        <f>IF(ISNUMBER('TPS Correction'!S43),'TPS Current'!S43*('TPS Correction'!S43+1),'TPS Current'!S43)</f>
        <v>133.16046831955921</v>
      </c>
      <c r="T43" s="27">
        <f>IF(ISNUMBER('TPS Correction'!T43),'TPS Current'!T43*('TPS Correction'!T43+1),'TPS Current'!T43)</f>
        <v>182.19696969696972</v>
      </c>
      <c r="U43" s="27">
        <f>IF(ISNUMBER('TPS Correction'!U43),'TPS Current'!U43*('TPS Correction'!U43+1),'TPS Current'!U43)</f>
        <v>147</v>
      </c>
      <c r="V43" s="27">
        <f>IF(ISNUMBER('TPS Correction'!V43),'TPS Current'!V43*('TPS Correction'!V43+1),'TPS Current'!V43)</f>
        <v>166</v>
      </c>
      <c r="W43" s="27">
        <f>IF(ISNUMBER('TPS Correction'!W43),'TPS Current'!W43*('TPS Correction'!W43+1),'TPS Current'!W43)</f>
        <v>195</v>
      </c>
      <c r="X43" s="27">
        <f>IF(ISNUMBER('TPS Correction'!X43),'TPS Current'!X43*('TPS Correction'!X43+1),'TPS Current'!X43)</f>
        <v>200</v>
      </c>
    </row>
  </sheetData>
  <sheetProtection algorithmName="SHA-512" hashValue="mlGFN3MsTGcvNTh9f7jJKUxv0aWW97zhoyN83UH5slGE5yB8SJRldIa8nKfB56mcVLOxJrOD+qUOP4a00l/O1w==" saltValue="Ps5qY8az7gd1SUpGQ7MamQ==" spinCount="100000" sheet="1" objects="1" scenarios="1"/>
  <conditionalFormatting sqref="B2:X43">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V43"/>
  <sheetViews>
    <sheetView zoomScale="70" zoomScaleNormal="70" workbookViewId="0">
      <selection activeCell="O8" sqref="O8"/>
    </sheetView>
  </sheetViews>
  <sheetFormatPr defaultRowHeight="13.2" x14ac:dyDescent="0.25"/>
  <cols>
    <col min="1" max="1" width="6.6640625" bestFit="1" customWidth="1"/>
    <col min="2" max="14" width="4.88671875" bestFit="1" customWidth="1"/>
    <col min="15" max="22" width="6" bestFit="1" customWidth="1"/>
  </cols>
  <sheetData>
    <row r="1" spans="1:22" x14ac:dyDescent="0.25">
      <c r="A1" s="12" t="s">
        <v>1</v>
      </c>
      <c r="B1" s="13">
        <v>120</v>
      </c>
      <c r="C1" s="13">
        <v>104</v>
      </c>
      <c r="D1" s="13">
        <v>88</v>
      </c>
      <c r="E1" s="13">
        <v>72</v>
      </c>
      <c r="F1" s="13">
        <v>68</v>
      </c>
      <c r="G1" s="13">
        <v>64</v>
      </c>
      <c r="H1" s="13">
        <v>60</v>
      </c>
      <c r="I1" s="13">
        <v>56</v>
      </c>
      <c r="J1" s="13">
        <v>52</v>
      </c>
      <c r="K1" s="13">
        <v>48</v>
      </c>
      <c r="L1" s="13">
        <v>44</v>
      </c>
      <c r="M1" s="13">
        <v>40</v>
      </c>
      <c r="N1" s="13">
        <v>36</v>
      </c>
      <c r="O1" s="13">
        <v>32</v>
      </c>
      <c r="P1" s="13">
        <v>24</v>
      </c>
      <c r="Q1" s="13">
        <v>20</v>
      </c>
      <c r="R1" s="13">
        <v>16</v>
      </c>
      <c r="S1" s="13">
        <v>12</v>
      </c>
      <c r="T1" s="13">
        <v>8</v>
      </c>
      <c r="U1" s="13">
        <v>4</v>
      </c>
      <c r="V1" s="14">
        <v>0</v>
      </c>
    </row>
    <row r="2" spans="1:22" x14ac:dyDescent="0.25">
      <c r="A2" s="15">
        <v>800</v>
      </c>
      <c r="B2" s="27">
        <f>IF(ISNUMBER('IAP Correction'!B2),'IAP Current'!B2*('IAP Correction'!B2+1),'IAP Current'!B2)</f>
        <v>28</v>
      </c>
      <c r="C2" s="27">
        <f>IF(ISNUMBER('IAP Correction'!C2),'IAP Current'!C2*('IAP Correction'!C2+1),'IAP Current'!C2)</f>
        <v>30</v>
      </c>
      <c r="D2" s="27">
        <f>IF(ISNUMBER('IAP Correction'!D2),'IAP Current'!D2*('IAP Correction'!D2+1),'IAP Current'!D2)</f>
        <v>31</v>
      </c>
      <c r="E2" s="27">
        <f>IF(ISNUMBER('IAP Correction'!E2),'IAP Current'!E2*('IAP Correction'!E2+1),'IAP Current'!E2)</f>
        <v>34</v>
      </c>
      <c r="F2" s="27">
        <f>IF(ISNUMBER('IAP Correction'!F2),'IAP Current'!F2*('IAP Correction'!F2+1),'IAP Current'!F2)</f>
        <v>39</v>
      </c>
      <c r="G2" s="27">
        <f>IF(ISNUMBER('IAP Correction'!G2),'IAP Current'!G2*('IAP Correction'!G2+1),'IAP Current'!G2)</f>
        <v>44</v>
      </c>
      <c r="H2" s="27">
        <f>IF(ISNUMBER('IAP Correction'!H2),'IAP Current'!H2*('IAP Correction'!H2+1),'IAP Current'!H2)</f>
        <v>66.791044776119392</v>
      </c>
      <c r="I2" s="27">
        <f>IF(ISNUMBER('IAP Correction'!I2),'IAP Current'!I2*('IAP Correction'!I2+1),'IAP Current'!I2)</f>
        <v>72.854477611940297</v>
      </c>
      <c r="J2" s="27">
        <f>IF(ISNUMBER('IAP Correction'!J2),'IAP Current'!J2*('IAP Correction'!J2+1),'IAP Current'!J2)</f>
        <v>83.75</v>
      </c>
      <c r="K2" s="27">
        <f>IF(ISNUMBER('IAP Correction'!K2),'IAP Current'!K2*('IAP Correction'!K2+1),'IAP Current'!K2)</f>
        <v>82.388059701492523</v>
      </c>
      <c r="L2" s="27">
        <f>IF(ISNUMBER('IAP Correction'!L2),'IAP Current'!L2*('IAP Correction'!L2+1),'IAP Current'!L2)</f>
        <v>97.194029850746276</v>
      </c>
      <c r="M2" s="27">
        <f>IF(ISNUMBER('IAP Correction'!M2),'IAP Current'!M2*('IAP Correction'!M2+1),'IAP Current'!M2)</f>
        <v>95.813432835820905</v>
      </c>
      <c r="N2" s="27">
        <f>IF(ISNUMBER('IAP Correction'!N2),'IAP Current'!N2*('IAP Correction'!N2+1),'IAP Current'!N2)</f>
        <v>95.661691542288551</v>
      </c>
      <c r="O2" s="27">
        <f>IF(ISNUMBER('IAP Correction'!O2),'IAP Current'!O2*('IAP Correction'!O2+1),'IAP Current'!O2)</f>
        <v>113.20895522388059</v>
      </c>
      <c r="P2" s="27">
        <f>IF(ISNUMBER('IAP Correction'!P2),'IAP Current'!P2*('IAP Correction'!P2+1),'IAP Current'!P2)</f>
        <v>89</v>
      </c>
      <c r="Q2" s="27">
        <f>IF(ISNUMBER('IAP Correction'!Q2),'IAP Current'!Q2*('IAP Correction'!Q2+1),'IAP Current'!Q2)</f>
        <v>97</v>
      </c>
      <c r="R2" s="27">
        <f>IF(ISNUMBER('IAP Correction'!R2),'IAP Current'!R2*('IAP Correction'!R2+1),'IAP Current'!R2)</f>
        <v>103</v>
      </c>
      <c r="S2" s="27">
        <f>IF(ISNUMBER('IAP Correction'!S2),'IAP Current'!S2*('IAP Correction'!S2+1),'IAP Current'!S2)</f>
        <v>111</v>
      </c>
      <c r="T2" s="27">
        <f>IF(ISNUMBER('IAP Correction'!T2),'IAP Current'!T2*('IAP Correction'!T2+1),'IAP Current'!T2)</f>
        <v>122</v>
      </c>
      <c r="U2" s="27">
        <f>IF(ISNUMBER('IAP Correction'!U2),'IAP Current'!U2*('IAP Correction'!U2+1),'IAP Current'!U2)</f>
        <v>148</v>
      </c>
      <c r="V2" s="27">
        <f>IF(ISNUMBER('IAP Correction'!V2),'IAP Current'!V2*('IAP Correction'!V2+1),'IAP Current'!V2)</f>
        <v>158</v>
      </c>
    </row>
    <row r="3" spans="1:22" x14ac:dyDescent="0.25">
      <c r="A3" s="15">
        <v>1000</v>
      </c>
      <c r="B3" s="27">
        <f>IF(ISNUMBER('IAP Correction'!B3),'IAP Current'!B3*('IAP Correction'!B3+1),'IAP Current'!B3)</f>
        <v>28</v>
      </c>
      <c r="C3" s="27">
        <f>IF(ISNUMBER('IAP Correction'!C3),'IAP Current'!C3*('IAP Correction'!C3+1),'IAP Current'!C3)</f>
        <v>37.692307692307693</v>
      </c>
      <c r="D3" s="27">
        <f>IF(ISNUMBER('IAP Correction'!D3),'IAP Current'!D3*('IAP Correction'!D3+1),'IAP Current'!D3)</f>
        <v>40.149392712550608</v>
      </c>
      <c r="E3" s="27">
        <f>IF(ISNUMBER('IAP Correction'!E3),'IAP Current'!E3*('IAP Correction'!E3+1),'IAP Current'!E3)</f>
        <v>42.02051282051282</v>
      </c>
      <c r="F3" s="27">
        <f>IF(ISNUMBER('IAP Correction'!F3),'IAP Current'!F3*('IAP Correction'!F3+1),'IAP Current'!F3)</f>
        <v>49.274999999999999</v>
      </c>
      <c r="G3" s="27">
        <f>IF(ISNUMBER('IAP Correction'!G3),'IAP Current'!G3*('IAP Correction'!G3+1),'IAP Current'!G3)</f>
        <v>53.577114427860693</v>
      </c>
      <c r="H3" s="27">
        <f>IF(ISNUMBER('IAP Correction'!H3),'IAP Current'!H3*('IAP Correction'!H3+1),'IAP Current'!H3)</f>
        <v>64.832089552238799</v>
      </c>
      <c r="I3" s="27">
        <f>IF(ISNUMBER('IAP Correction'!I3),'IAP Current'!I3*('IAP Correction'!I3+1),'IAP Current'!I3)</f>
        <v>69.067164179104481</v>
      </c>
      <c r="J3" s="27">
        <f>IF(ISNUMBER('IAP Correction'!J3),'IAP Current'!J3*('IAP Correction'!J3+1),'IAP Current'!J3)</f>
        <v>83.636363636363626</v>
      </c>
      <c r="K3" s="27">
        <f>IF(ISNUMBER('IAP Correction'!K3),'IAP Current'!K3*('IAP Correction'!K3+1),'IAP Current'!K3)</f>
        <v>86.25</v>
      </c>
      <c r="L3" s="27">
        <f>IF(ISNUMBER('IAP Correction'!L3),'IAP Current'!L3*('IAP Correction'!L3+1),'IAP Current'!L3)</f>
        <v>91.487562189054728</v>
      </c>
      <c r="M3" s="27">
        <f>IF(ISNUMBER('IAP Correction'!M3),'IAP Current'!M3*('IAP Correction'!M3+1),'IAP Current'!M3)</f>
        <v>94.294776119402982</v>
      </c>
      <c r="N3" s="27">
        <f>IF(ISNUMBER('IAP Correction'!N3),'IAP Current'!N3*('IAP Correction'!N3+1),'IAP Current'!N3)</f>
        <v>90.341151385927503</v>
      </c>
      <c r="O3" s="27">
        <f>IF(ISNUMBER('IAP Correction'!O3),'IAP Current'!O3*('IAP Correction'!O3+1),'IAP Current'!O3)</f>
        <v>105.16631130063966</v>
      </c>
      <c r="P3" s="27">
        <f>IF(ISNUMBER('IAP Correction'!P3),'IAP Current'!P3*('IAP Correction'!P3+1),'IAP Current'!P3)</f>
        <v>112.02487562189059</v>
      </c>
      <c r="Q3" s="27">
        <f>IF(ISNUMBER('IAP Correction'!Q3),'IAP Current'!Q3*('IAP Correction'!Q3+1),'IAP Current'!Q3)</f>
        <v>97</v>
      </c>
      <c r="R3" s="27">
        <f>IF(ISNUMBER('IAP Correction'!R3),'IAP Current'!R3*('IAP Correction'!R3+1),'IAP Current'!R3)</f>
        <v>103</v>
      </c>
      <c r="S3" s="27">
        <f>IF(ISNUMBER('IAP Correction'!S3),'IAP Current'!S3*('IAP Correction'!S3+1),'IAP Current'!S3)</f>
        <v>146.8955223880597</v>
      </c>
      <c r="T3" s="27">
        <f>IF(ISNUMBER('IAP Correction'!T3),'IAP Current'!T3*('IAP Correction'!T3+1),'IAP Current'!T3)</f>
        <v>168.43283582089552</v>
      </c>
      <c r="U3" s="27">
        <f>IF(ISNUMBER('IAP Correction'!U3),'IAP Current'!U3*('IAP Correction'!U3+1),'IAP Current'!U3)</f>
        <v>148</v>
      </c>
      <c r="V3" s="27">
        <f>IF(ISNUMBER('IAP Correction'!V3),'IAP Current'!V3*('IAP Correction'!V3+1),'IAP Current'!V3)</f>
        <v>158</v>
      </c>
    </row>
    <row r="4" spans="1:22" x14ac:dyDescent="0.25">
      <c r="A4" s="15">
        <v>1200</v>
      </c>
      <c r="B4" s="27">
        <f>IF(ISNUMBER('IAP Correction'!B4),'IAP Current'!B4*('IAP Correction'!B4+1),'IAP Current'!B4)</f>
        <v>28</v>
      </c>
      <c r="C4" s="27">
        <f>IF(ISNUMBER('IAP Correction'!C4),'IAP Current'!C4*('IAP Correction'!C4+1),'IAP Current'!C4)</f>
        <v>39.187500000000007</v>
      </c>
      <c r="D4" s="27">
        <f>IF(ISNUMBER('IAP Correction'!D4),'IAP Current'!D4*('IAP Correction'!D4+1),'IAP Current'!D4)</f>
        <v>39.777962577962583</v>
      </c>
      <c r="E4" s="27">
        <f>IF(ISNUMBER('IAP Correction'!E4),'IAP Current'!E4*('IAP Correction'!E4+1),'IAP Current'!E4)</f>
        <v>42.630769230769232</v>
      </c>
      <c r="F4" s="27">
        <f>IF(ISNUMBER('IAP Correction'!F4),'IAP Current'!F4*('IAP Correction'!F4+1),'IAP Current'!F4)</f>
        <v>50.519999999999989</v>
      </c>
      <c r="G4" s="27">
        <f>IF(ISNUMBER('IAP Correction'!G4),'IAP Current'!G4*('IAP Correction'!G4+1),'IAP Current'!G4)</f>
        <v>55.914712153518124</v>
      </c>
      <c r="H4" s="27">
        <f>IF(ISNUMBER('IAP Correction'!H4),'IAP Current'!H4*('IAP Correction'!H4+1),'IAP Current'!H4)</f>
        <v>64.119402985074615</v>
      </c>
      <c r="I4" s="27">
        <f>IF(ISNUMBER('IAP Correction'!I4),'IAP Current'!I4*('IAP Correction'!I4+1),'IAP Current'!I4)</f>
        <v>63.907734056987799</v>
      </c>
      <c r="J4" s="27">
        <f>IF(ISNUMBER('IAP Correction'!J4),'IAP Current'!J4*('IAP Correction'!J4+1),'IAP Current'!J4)</f>
        <v>76.656716417910445</v>
      </c>
      <c r="K4" s="27">
        <f>IF(ISNUMBER('IAP Correction'!K4),'IAP Current'!K4*('IAP Correction'!K4+1),'IAP Current'!K4)</f>
        <v>80.859701492537326</v>
      </c>
      <c r="L4" s="27">
        <f>IF(ISNUMBER('IAP Correction'!L4),'IAP Current'!L4*('IAP Correction'!L4+1),'IAP Current'!L4)</f>
        <v>88.652985074626869</v>
      </c>
      <c r="M4" s="27">
        <f>IF(ISNUMBER('IAP Correction'!M4),'IAP Current'!M4*('IAP Correction'!M4+1),'IAP Current'!M4)</f>
        <v>91.865671641791039</v>
      </c>
      <c r="N4" s="27">
        <f>IF(ISNUMBER('IAP Correction'!N4),'IAP Current'!N4*('IAP Correction'!N4+1),'IAP Current'!N4)</f>
        <v>98.567164179104481</v>
      </c>
      <c r="O4" s="27">
        <f>IF(ISNUMBER('IAP Correction'!O4),'IAP Current'!O4*('IAP Correction'!O4+1),'IAP Current'!O4)</f>
        <v>103.955223880597</v>
      </c>
      <c r="P4" s="27">
        <f>IF(ISNUMBER('IAP Correction'!P4),'IAP Current'!P4*('IAP Correction'!P4+1),'IAP Current'!P4)</f>
        <v>104.50559701492539</v>
      </c>
      <c r="Q4" s="27">
        <f>IF(ISNUMBER('IAP Correction'!Q4),'IAP Current'!Q4*('IAP Correction'!Q4+1),'IAP Current'!Q4)</f>
        <v>108.54353233830847</v>
      </c>
      <c r="R4" s="27">
        <f>IF(ISNUMBER('IAP Correction'!R4),'IAP Current'!R4*('IAP Correction'!R4+1),'IAP Current'!R4)</f>
        <v>119.78507462686565</v>
      </c>
      <c r="S4" s="27">
        <f>IF(ISNUMBER('IAP Correction'!S4),'IAP Current'!S4*('IAP Correction'!S4+1),'IAP Current'!S4)</f>
        <v>141.44776119402982</v>
      </c>
      <c r="T4" s="27">
        <f>IF(ISNUMBER('IAP Correction'!T4),'IAP Current'!T4*('IAP Correction'!T4+1),'IAP Current'!T4)</f>
        <v>119</v>
      </c>
      <c r="U4" s="27">
        <f>IF(ISNUMBER('IAP Correction'!U4),'IAP Current'!U4*('IAP Correction'!U4+1),'IAP Current'!U4)</f>
        <v>143</v>
      </c>
      <c r="V4" s="27">
        <f>IF(ISNUMBER('IAP Correction'!V4),'IAP Current'!V4*('IAP Correction'!V4+1),'IAP Current'!V4)</f>
        <v>149</v>
      </c>
    </row>
    <row r="5" spans="1:22" x14ac:dyDescent="0.25">
      <c r="A5" s="15">
        <v>1400</v>
      </c>
      <c r="B5" s="27">
        <f>IF(ISNUMBER('IAP Correction'!B5),'IAP Current'!B5*('IAP Correction'!B5+1),'IAP Current'!B5)</f>
        <v>28</v>
      </c>
      <c r="C5" s="27">
        <f>IF(ISNUMBER('IAP Correction'!C5),'IAP Current'!C5*('IAP Correction'!C5+1),'IAP Current'!C5)</f>
        <v>39.692307692307693</v>
      </c>
      <c r="D5" s="27">
        <f>IF(ISNUMBER('IAP Correction'!D5),'IAP Current'!D5*('IAP Correction'!D5+1),'IAP Current'!D5)</f>
        <v>42.446153846153848</v>
      </c>
      <c r="E5" s="27">
        <f>IF(ISNUMBER('IAP Correction'!E5),'IAP Current'!E5*('IAP Correction'!E5+1),'IAP Current'!E5)</f>
        <v>32</v>
      </c>
      <c r="F5" s="27">
        <f>IF(ISNUMBER('IAP Correction'!F5),'IAP Current'!F5*('IAP Correction'!F5+1),'IAP Current'!F5)</f>
        <v>55.5</v>
      </c>
      <c r="G5" s="27">
        <f>IF(ISNUMBER('IAP Correction'!G5),'IAP Current'!G5*('IAP Correction'!G5+1),'IAP Current'!G5)</f>
        <v>45</v>
      </c>
      <c r="H5" s="27">
        <f>IF(ISNUMBER('IAP Correction'!H5),'IAP Current'!H5*('IAP Correction'!H5+1),'IAP Current'!H5)</f>
        <v>48</v>
      </c>
      <c r="I5" s="27">
        <f>IF(ISNUMBER('IAP Correction'!I5),'IAP Current'!I5*('IAP Correction'!I5+1),'IAP Current'!I5)</f>
        <v>52</v>
      </c>
      <c r="J5" s="27">
        <f>IF(ISNUMBER('IAP Correction'!J5),'IAP Current'!J5*('IAP Correction'!J5+1),'IAP Current'!J5)</f>
        <v>61</v>
      </c>
      <c r="K5" s="27">
        <f>IF(ISNUMBER('IAP Correction'!K5),'IAP Current'!K5*('IAP Correction'!K5+1),'IAP Current'!K5)</f>
        <v>65</v>
      </c>
      <c r="L5" s="27">
        <f>IF(ISNUMBER('IAP Correction'!L5),'IAP Current'!L5*('IAP Correction'!L5+1),'IAP Current'!L5)</f>
        <v>68</v>
      </c>
      <c r="M5" s="27">
        <f>IF(ISNUMBER('IAP Correction'!M5),'IAP Current'!M5*('IAP Correction'!M5+1),'IAP Current'!M5)</f>
        <v>71</v>
      </c>
      <c r="N5" s="27">
        <f>IF(ISNUMBER('IAP Correction'!N5),'IAP Current'!N5*('IAP Correction'!N5+1),'IAP Current'!N5)</f>
        <v>72</v>
      </c>
      <c r="O5" s="27">
        <f>IF(ISNUMBER('IAP Correction'!O5),'IAP Current'!O5*('IAP Correction'!O5+1),'IAP Current'!O5)</f>
        <v>96.417910447761187</v>
      </c>
      <c r="P5" s="27">
        <f>IF(ISNUMBER('IAP Correction'!P5),'IAP Current'!P5*('IAP Correction'!P5+1),'IAP Current'!P5)</f>
        <v>82</v>
      </c>
      <c r="Q5" s="27">
        <f>IF(ISNUMBER('IAP Correction'!Q5),'IAP Current'!Q5*('IAP Correction'!Q5+1),'IAP Current'!Q5)</f>
        <v>86</v>
      </c>
      <c r="R5" s="27">
        <f>IF(ISNUMBER('IAP Correction'!R5),'IAP Current'!R5*('IAP Correction'!R5+1),'IAP Current'!R5)</f>
        <v>89</v>
      </c>
      <c r="S5" s="27">
        <f>IF(ISNUMBER('IAP Correction'!S5),'IAP Current'!S5*('IAP Correction'!S5+1),'IAP Current'!S5)</f>
        <v>94</v>
      </c>
      <c r="T5" s="27">
        <f>IF(ISNUMBER('IAP Correction'!T5),'IAP Current'!T5*('IAP Correction'!T5+1),'IAP Current'!T5)</f>
        <v>109</v>
      </c>
      <c r="U5" s="27">
        <f>IF(ISNUMBER('IAP Correction'!U5),'IAP Current'!U5*('IAP Correction'!U5+1),'IAP Current'!U5)</f>
        <v>136</v>
      </c>
      <c r="V5" s="27">
        <f>IF(ISNUMBER('IAP Correction'!V5),'IAP Current'!V5*('IAP Correction'!V5+1),'IAP Current'!V5)</f>
        <v>146</v>
      </c>
    </row>
    <row r="6" spans="1:22" x14ac:dyDescent="0.25">
      <c r="A6" s="15">
        <v>1600</v>
      </c>
      <c r="B6" s="27">
        <f>IF(ISNUMBER('IAP Correction'!B6),'IAP Current'!B6*('IAP Correction'!B6+1),'IAP Current'!B6)</f>
        <v>28</v>
      </c>
      <c r="C6" s="27">
        <f>IF(ISNUMBER('IAP Correction'!C6),'IAP Current'!C6*('IAP Correction'!C6+1),'IAP Current'!C6)</f>
        <v>30</v>
      </c>
      <c r="D6" s="27">
        <f>IF(ISNUMBER('IAP Correction'!D6),'IAP Current'!D6*('IAP Correction'!D6+1),'IAP Current'!D6)</f>
        <v>31</v>
      </c>
      <c r="E6" s="27">
        <f>IF(ISNUMBER('IAP Correction'!E6),'IAP Current'!E6*('IAP Correction'!E6+1),'IAP Current'!E6)</f>
        <v>32</v>
      </c>
      <c r="F6" s="27">
        <f>IF(ISNUMBER('IAP Correction'!F6),'IAP Current'!F6*('IAP Correction'!F6+1),'IAP Current'!F6)</f>
        <v>39</v>
      </c>
      <c r="G6" s="27">
        <f>IF(ISNUMBER('IAP Correction'!G6),'IAP Current'!G6*('IAP Correction'!G6+1),'IAP Current'!G6)</f>
        <v>43</v>
      </c>
      <c r="H6" s="27">
        <f>IF(ISNUMBER('IAP Correction'!H6),'IAP Current'!H6*('IAP Correction'!H6+1),'IAP Current'!H6)</f>
        <v>48</v>
      </c>
      <c r="I6" s="27">
        <f>IF(ISNUMBER('IAP Correction'!I6),'IAP Current'!I6*('IAP Correction'!I6+1),'IAP Current'!I6)</f>
        <v>50</v>
      </c>
      <c r="J6" s="27">
        <f>IF(ISNUMBER('IAP Correction'!J6),'IAP Current'!J6*('IAP Correction'!J6+1),'IAP Current'!J6)</f>
        <v>54</v>
      </c>
      <c r="K6" s="27">
        <f>IF(ISNUMBER('IAP Correction'!K6),'IAP Current'!K6*('IAP Correction'!K6+1),'IAP Current'!K6)</f>
        <v>58</v>
      </c>
      <c r="L6" s="27">
        <f>IF(ISNUMBER('IAP Correction'!L6),'IAP Current'!L6*('IAP Correction'!L6+1),'IAP Current'!L6)</f>
        <v>64</v>
      </c>
      <c r="M6" s="27">
        <f>IF(ISNUMBER('IAP Correction'!M6),'IAP Current'!M6*('IAP Correction'!M6+1),'IAP Current'!M6)</f>
        <v>69</v>
      </c>
      <c r="N6" s="27">
        <f>IF(ISNUMBER('IAP Correction'!N6),'IAP Current'!N6*('IAP Correction'!N6+1),'IAP Current'!N6)</f>
        <v>71</v>
      </c>
      <c r="O6" s="27">
        <f>IF(ISNUMBER('IAP Correction'!O6),'IAP Current'!O6*('IAP Correction'!O6+1),'IAP Current'!O6)</f>
        <v>75</v>
      </c>
      <c r="P6" s="27">
        <f>IF(ISNUMBER('IAP Correction'!P6),'IAP Current'!P6*('IAP Correction'!P6+1),'IAP Current'!P6)</f>
        <v>82</v>
      </c>
      <c r="Q6" s="27">
        <f>IF(ISNUMBER('IAP Correction'!Q6),'IAP Current'!Q6*('IAP Correction'!Q6+1),'IAP Current'!Q6)</f>
        <v>85</v>
      </c>
      <c r="R6" s="27">
        <f>IF(ISNUMBER('IAP Correction'!R6),'IAP Current'!R6*('IAP Correction'!R6+1),'IAP Current'!R6)</f>
        <v>88</v>
      </c>
      <c r="S6" s="27">
        <f>IF(ISNUMBER('IAP Correction'!S6),'IAP Current'!S6*('IAP Correction'!S6+1),'IAP Current'!S6)</f>
        <v>93</v>
      </c>
      <c r="T6" s="27">
        <f>IF(ISNUMBER('IAP Correction'!T6),'IAP Current'!T6*('IAP Correction'!T6+1),'IAP Current'!T6)</f>
        <v>107</v>
      </c>
      <c r="U6" s="27">
        <f>IF(ISNUMBER('IAP Correction'!U6),'IAP Current'!U6*('IAP Correction'!U6+1),'IAP Current'!U6)</f>
        <v>138</v>
      </c>
      <c r="V6" s="27">
        <f>IF(ISNUMBER('IAP Correction'!V6),'IAP Current'!V6*('IAP Correction'!V6+1),'IAP Current'!V6)</f>
        <v>148</v>
      </c>
    </row>
    <row r="7" spans="1:22" x14ac:dyDescent="0.25">
      <c r="A7" s="15">
        <v>1800</v>
      </c>
      <c r="B7" s="27">
        <f>IF(ISNUMBER('IAP Correction'!B7),'IAP Current'!B7*('IAP Correction'!B7+1),'IAP Current'!B7)</f>
        <v>28</v>
      </c>
      <c r="C7" s="27">
        <f>IF(ISNUMBER('IAP Correction'!C7),'IAP Current'!C7*('IAP Correction'!C7+1),'IAP Current'!C7)</f>
        <v>30</v>
      </c>
      <c r="D7" s="27">
        <f>IF(ISNUMBER('IAP Correction'!D7),'IAP Current'!D7*('IAP Correction'!D7+1),'IAP Current'!D7)</f>
        <v>31</v>
      </c>
      <c r="E7" s="27">
        <f>IF(ISNUMBER('IAP Correction'!E7),'IAP Current'!E7*('IAP Correction'!E7+1),'IAP Current'!E7)</f>
        <v>32</v>
      </c>
      <c r="F7" s="27">
        <f>IF(ISNUMBER('IAP Correction'!F7),'IAP Current'!F7*('IAP Correction'!F7+1),'IAP Current'!F7)</f>
        <v>38</v>
      </c>
      <c r="G7" s="27">
        <f>IF(ISNUMBER('IAP Correction'!G7),'IAP Current'!G7*('IAP Correction'!G7+1),'IAP Current'!G7)</f>
        <v>43</v>
      </c>
      <c r="H7" s="27">
        <f>IF(ISNUMBER('IAP Correction'!H7),'IAP Current'!H7*('IAP Correction'!H7+1),'IAP Current'!H7)</f>
        <v>47</v>
      </c>
      <c r="I7" s="27">
        <f>IF(ISNUMBER('IAP Correction'!I7),'IAP Current'!I7*('IAP Correction'!I7+1),'IAP Current'!I7)</f>
        <v>51</v>
      </c>
      <c r="J7" s="27">
        <f>IF(ISNUMBER('IAP Correction'!J7),'IAP Current'!J7*('IAP Correction'!J7+1),'IAP Current'!J7)</f>
        <v>55</v>
      </c>
      <c r="K7" s="27">
        <f>IF(ISNUMBER('IAP Correction'!K7),'IAP Current'!K7*('IAP Correction'!K7+1),'IAP Current'!K7)</f>
        <v>55</v>
      </c>
      <c r="L7" s="27">
        <f>IF(ISNUMBER('IAP Correction'!L7),'IAP Current'!L7*('IAP Correction'!L7+1),'IAP Current'!L7)</f>
        <v>61</v>
      </c>
      <c r="M7" s="27">
        <f>IF(ISNUMBER('IAP Correction'!M7),'IAP Current'!M7*('IAP Correction'!M7+1),'IAP Current'!M7)</f>
        <v>66</v>
      </c>
      <c r="N7" s="27">
        <f>IF(ISNUMBER('IAP Correction'!N7),'IAP Current'!N7*('IAP Correction'!N7+1),'IAP Current'!N7)</f>
        <v>72</v>
      </c>
      <c r="O7" s="27">
        <f>IF(ISNUMBER('IAP Correction'!O7),'IAP Current'!O7*('IAP Correction'!O7+1),'IAP Current'!O7)</f>
        <v>76</v>
      </c>
      <c r="P7" s="27">
        <f>IF(ISNUMBER('IAP Correction'!P7),'IAP Current'!P7*('IAP Correction'!P7+1),'IAP Current'!P7)</f>
        <v>83</v>
      </c>
      <c r="Q7" s="27">
        <f>IF(ISNUMBER('IAP Correction'!Q7),'IAP Current'!Q7*('IAP Correction'!Q7+1),'IAP Current'!Q7)</f>
        <v>86</v>
      </c>
      <c r="R7" s="27">
        <f>IF(ISNUMBER('IAP Correction'!R7),'IAP Current'!R7*('IAP Correction'!R7+1),'IAP Current'!R7)</f>
        <v>90</v>
      </c>
      <c r="S7" s="27">
        <f>IF(ISNUMBER('IAP Correction'!S7),'IAP Current'!S7*('IAP Correction'!S7+1),'IAP Current'!S7)</f>
        <v>97</v>
      </c>
      <c r="T7" s="27">
        <f>IF(ISNUMBER('IAP Correction'!T7),'IAP Current'!T7*('IAP Correction'!T7+1),'IAP Current'!T7)</f>
        <v>108</v>
      </c>
      <c r="U7" s="27">
        <f>IF(ISNUMBER('IAP Correction'!U7),'IAP Current'!U7*('IAP Correction'!U7+1),'IAP Current'!U7)</f>
        <v>142</v>
      </c>
      <c r="V7" s="27">
        <f>IF(ISNUMBER('IAP Correction'!V7),'IAP Current'!V7*('IAP Correction'!V7+1),'IAP Current'!V7)</f>
        <v>156</v>
      </c>
    </row>
    <row r="8" spans="1:22" x14ac:dyDescent="0.25">
      <c r="A8" s="15">
        <v>2000</v>
      </c>
      <c r="B8" s="27">
        <f>IF(ISNUMBER('IAP Correction'!B8),'IAP Current'!B8*('IAP Correction'!B8+1),'IAP Current'!B8)</f>
        <v>28</v>
      </c>
      <c r="C8" s="27">
        <f>IF(ISNUMBER('IAP Correction'!C8),'IAP Current'!C8*('IAP Correction'!C8+1),'IAP Current'!C8)</f>
        <v>30</v>
      </c>
      <c r="D8" s="27">
        <f>IF(ISNUMBER('IAP Correction'!D8),'IAP Current'!D8*('IAP Correction'!D8+1),'IAP Current'!D8)</f>
        <v>31</v>
      </c>
      <c r="E8" s="27">
        <f>IF(ISNUMBER('IAP Correction'!E8),'IAP Current'!E8*('IAP Correction'!E8+1),'IAP Current'!E8)</f>
        <v>32</v>
      </c>
      <c r="F8" s="27">
        <f>IF(ISNUMBER('IAP Correction'!F8),'IAP Current'!F8*('IAP Correction'!F8+1),'IAP Current'!F8)</f>
        <v>39</v>
      </c>
      <c r="G8" s="27">
        <f>IF(ISNUMBER('IAP Correction'!G8),'IAP Current'!G8*('IAP Correction'!G8+1),'IAP Current'!G8)</f>
        <v>46</v>
      </c>
      <c r="H8" s="27">
        <f>IF(ISNUMBER('IAP Correction'!H8),'IAP Current'!H8*('IAP Correction'!H8+1),'IAP Current'!H8)</f>
        <v>46</v>
      </c>
      <c r="I8" s="27">
        <f>IF(ISNUMBER('IAP Correction'!I8),'IAP Current'!I8*('IAP Correction'!I8+1),'IAP Current'!I8)</f>
        <v>50</v>
      </c>
      <c r="J8" s="27">
        <f>IF(ISNUMBER('IAP Correction'!J8),'IAP Current'!J8*('IAP Correction'!J8+1),'IAP Current'!J8)</f>
        <v>57</v>
      </c>
      <c r="K8" s="27">
        <f>IF(ISNUMBER('IAP Correction'!K8),'IAP Current'!K8*('IAP Correction'!K8+1),'IAP Current'!K8)</f>
        <v>61</v>
      </c>
      <c r="L8" s="27">
        <f>IF(ISNUMBER('IAP Correction'!L8),'IAP Current'!L8*('IAP Correction'!L8+1),'IAP Current'!L8)</f>
        <v>64</v>
      </c>
      <c r="M8" s="27">
        <f>IF(ISNUMBER('IAP Correction'!M8),'IAP Current'!M8*('IAP Correction'!M8+1),'IAP Current'!M8)</f>
        <v>68</v>
      </c>
      <c r="N8" s="27">
        <f>IF(ISNUMBER('IAP Correction'!N8),'IAP Current'!N8*('IAP Correction'!N8+1),'IAP Current'!N8)</f>
        <v>74</v>
      </c>
      <c r="O8" s="27">
        <f>IF(ISNUMBER('IAP Correction'!O8),'IAP Current'!O8*('IAP Correction'!O8+1),'IAP Current'!O8)</f>
        <v>76</v>
      </c>
      <c r="P8" s="27">
        <f>IF(ISNUMBER('IAP Correction'!P8),'IAP Current'!P8*('IAP Correction'!P8+1),'IAP Current'!P8)</f>
        <v>83</v>
      </c>
      <c r="Q8" s="27">
        <f>IF(ISNUMBER('IAP Correction'!Q8),'IAP Current'!Q8*('IAP Correction'!Q8+1),'IAP Current'!Q8)</f>
        <v>88</v>
      </c>
      <c r="R8" s="27">
        <f>IF(ISNUMBER('IAP Correction'!R8),'IAP Current'!R8*('IAP Correction'!R8+1),'IAP Current'!R8)</f>
        <v>92</v>
      </c>
      <c r="S8" s="27">
        <f>IF(ISNUMBER('IAP Correction'!S8),'IAP Current'!S8*('IAP Correction'!S8+1),'IAP Current'!S8)</f>
        <v>102</v>
      </c>
      <c r="T8" s="27">
        <f>IF(ISNUMBER('IAP Correction'!T8),'IAP Current'!T8*('IAP Correction'!T8+1),'IAP Current'!T8)</f>
        <v>116</v>
      </c>
      <c r="U8" s="27">
        <f>IF(ISNUMBER('IAP Correction'!U8),'IAP Current'!U8*('IAP Correction'!U8+1),'IAP Current'!U8)</f>
        <v>145</v>
      </c>
      <c r="V8" s="27">
        <f>IF(ISNUMBER('IAP Correction'!V8),'IAP Current'!V8*('IAP Correction'!V8+1),'IAP Current'!V8)</f>
        <v>155</v>
      </c>
    </row>
    <row r="9" spans="1:22" x14ac:dyDescent="0.25">
      <c r="A9" s="15">
        <v>2200</v>
      </c>
      <c r="B9" s="27">
        <f>IF(ISNUMBER('IAP Correction'!B9),'IAP Current'!B9*('IAP Correction'!B9+1),'IAP Current'!B9)</f>
        <v>34</v>
      </c>
      <c r="C9" s="27">
        <f>IF(ISNUMBER('IAP Correction'!C9),'IAP Current'!C9*('IAP Correction'!C9+1),'IAP Current'!C9)</f>
        <v>38</v>
      </c>
      <c r="D9" s="27">
        <f>IF(ISNUMBER('IAP Correction'!D9),'IAP Current'!D9*('IAP Correction'!D9+1),'IAP Current'!D9)</f>
        <v>39</v>
      </c>
      <c r="E9" s="27">
        <f>IF(ISNUMBER('IAP Correction'!E9),'IAP Current'!E9*('IAP Correction'!E9+1),'IAP Current'!E9)</f>
        <v>40</v>
      </c>
      <c r="F9" s="27">
        <f>IF(ISNUMBER('IAP Correction'!F9),'IAP Current'!F9*('IAP Correction'!F9+1),'IAP Current'!F9)</f>
        <v>43</v>
      </c>
      <c r="G9" s="27">
        <f>IF(ISNUMBER('IAP Correction'!G9),'IAP Current'!G9*('IAP Correction'!G9+1),'IAP Current'!G9)</f>
        <v>47</v>
      </c>
      <c r="H9" s="27">
        <f>IF(ISNUMBER('IAP Correction'!H9),'IAP Current'!H9*('IAP Correction'!H9+1),'IAP Current'!H9)</f>
        <v>47</v>
      </c>
      <c r="I9" s="27">
        <f>IF(ISNUMBER('IAP Correction'!I9),'IAP Current'!I9*('IAP Correction'!I9+1),'IAP Current'!I9)</f>
        <v>48</v>
      </c>
      <c r="J9" s="27">
        <f>IF(ISNUMBER('IAP Correction'!J9),'IAP Current'!J9*('IAP Correction'!J9+1),'IAP Current'!J9)</f>
        <v>54</v>
      </c>
      <c r="K9" s="27">
        <f>IF(ISNUMBER('IAP Correction'!K9),'IAP Current'!K9*('IAP Correction'!K9+1),'IAP Current'!K9)</f>
        <v>62</v>
      </c>
      <c r="L9" s="27">
        <f>IF(ISNUMBER('IAP Correction'!L9),'IAP Current'!L9*('IAP Correction'!L9+1),'IAP Current'!L9)</f>
        <v>67</v>
      </c>
      <c r="M9" s="27">
        <f>IF(ISNUMBER('IAP Correction'!M9),'IAP Current'!M9*('IAP Correction'!M9+1),'IAP Current'!M9)</f>
        <v>71</v>
      </c>
      <c r="N9" s="27">
        <f>IF(ISNUMBER('IAP Correction'!N9),'IAP Current'!N9*('IAP Correction'!N9+1),'IAP Current'!N9)</f>
        <v>74</v>
      </c>
      <c r="O9" s="27">
        <f>IF(ISNUMBER('IAP Correction'!O9),'IAP Current'!O9*('IAP Correction'!O9+1),'IAP Current'!O9)</f>
        <v>80</v>
      </c>
      <c r="P9" s="27">
        <f>IF(ISNUMBER('IAP Correction'!P9),'IAP Current'!P9*('IAP Correction'!P9+1),'IAP Current'!P9)</f>
        <v>84</v>
      </c>
      <c r="Q9" s="27">
        <f>IF(ISNUMBER('IAP Correction'!Q9),'IAP Current'!Q9*('IAP Correction'!Q9+1),'IAP Current'!Q9)</f>
        <v>88</v>
      </c>
      <c r="R9" s="27">
        <f>IF(ISNUMBER('IAP Correction'!R9),'IAP Current'!R9*('IAP Correction'!R9+1),'IAP Current'!R9)</f>
        <v>92</v>
      </c>
      <c r="S9" s="27">
        <f>IF(ISNUMBER('IAP Correction'!S9),'IAP Current'!S9*('IAP Correction'!S9+1),'IAP Current'!S9)</f>
        <v>98</v>
      </c>
      <c r="T9" s="27">
        <f>IF(ISNUMBER('IAP Correction'!T9),'IAP Current'!T9*('IAP Correction'!T9+1),'IAP Current'!T9)</f>
        <v>111</v>
      </c>
      <c r="U9" s="27">
        <f>IF(ISNUMBER('IAP Correction'!U9),'IAP Current'!U9*('IAP Correction'!U9+1),'IAP Current'!U9)</f>
        <v>136</v>
      </c>
      <c r="V9" s="27">
        <f>IF(ISNUMBER('IAP Correction'!V9),'IAP Current'!V9*('IAP Correction'!V9+1),'IAP Current'!V9)</f>
        <v>158</v>
      </c>
    </row>
    <row r="10" spans="1:22" x14ac:dyDescent="0.25">
      <c r="A10" s="15">
        <v>2400</v>
      </c>
      <c r="B10" s="27">
        <f>IF(ISNUMBER('IAP Correction'!B10),'IAP Current'!B10*('IAP Correction'!B10+1),'IAP Current'!B10)</f>
        <v>34</v>
      </c>
      <c r="C10" s="27">
        <f>IF(ISNUMBER('IAP Correction'!C10),'IAP Current'!C10*('IAP Correction'!C10+1),'IAP Current'!C10)</f>
        <v>36</v>
      </c>
      <c r="D10" s="27">
        <f>IF(ISNUMBER('IAP Correction'!D10),'IAP Current'!D10*('IAP Correction'!D10+1),'IAP Current'!D10)</f>
        <v>39</v>
      </c>
      <c r="E10" s="27">
        <f>IF(ISNUMBER('IAP Correction'!E10),'IAP Current'!E10*('IAP Correction'!E10+1),'IAP Current'!E10)</f>
        <v>43</v>
      </c>
      <c r="F10" s="27">
        <f>IF(ISNUMBER('IAP Correction'!F10),'IAP Current'!F10*('IAP Correction'!F10+1),'IAP Current'!F10)</f>
        <v>43</v>
      </c>
      <c r="G10" s="27">
        <f>IF(ISNUMBER('IAP Correction'!G10),'IAP Current'!G10*('IAP Correction'!G10+1),'IAP Current'!G10)</f>
        <v>47</v>
      </c>
      <c r="H10" s="27">
        <f>IF(ISNUMBER('IAP Correction'!H10),'IAP Current'!H10*('IAP Correction'!H10+1),'IAP Current'!H10)</f>
        <v>47</v>
      </c>
      <c r="I10" s="27">
        <f>IF(ISNUMBER('IAP Correction'!I10),'IAP Current'!I10*('IAP Correction'!I10+1),'IAP Current'!I10)</f>
        <v>47</v>
      </c>
      <c r="J10" s="27">
        <f>IF(ISNUMBER('IAP Correction'!J10),'IAP Current'!J10*('IAP Correction'!J10+1),'IAP Current'!J10)</f>
        <v>49</v>
      </c>
      <c r="K10" s="27">
        <f>IF(ISNUMBER('IAP Correction'!K10),'IAP Current'!K10*('IAP Correction'!K10+1),'IAP Current'!K10)</f>
        <v>60</v>
      </c>
      <c r="L10" s="27">
        <f>IF(ISNUMBER('IAP Correction'!L10),'IAP Current'!L10*('IAP Correction'!L10+1),'IAP Current'!L10)</f>
        <v>65</v>
      </c>
      <c r="M10" s="27">
        <f>IF(ISNUMBER('IAP Correction'!M10),'IAP Current'!M10*('IAP Correction'!M10+1),'IAP Current'!M10)</f>
        <v>67</v>
      </c>
      <c r="N10" s="27">
        <f>IF(ISNUMBER('IAP Correction'!N10),'IAP Current'!N10*('IAP Correction'!N10+1),'IAP Current'!N10)</f>
        <v>72</v>
      </c>
      <c r="O10" s="27">
        <f>IF(ISNUMBER('IAP Correction'!O10),'IAP Current'!O10*('IAP Correction'!O10+1),'IAP Current'!O10)</f>
        <v>76</v>
      </c>
      <c r="P10" s="27">
        <f>IF(ISNUMBER('IAP Correction'!P10),'IAP Current'!P10*('IAP Correction'!P10+1),'IAP Current'!P10)</f>
        <v>79</v>
      </c>
      <c r="Q10" s="27">
        <f>IF(ISNUMBER('IAP Correction'!Q10),'IAP Current'!Q10*('IAP Correction'!Q10+1),'IAP Current'!Q10)</f>
        <v>85</v>
      </c>
      <c r="R10" s="27">
        <f>IF(ISNUMBER('IAP Correction'!R10),'IAP Current'!R10*('IAP Correction'!R10+1),'IAP Current'!R10)</f>
        <v>90</v>
      </c>
      <c r="S10" s="27">
        <f>IF(ISNUMBER('IAP Correction'!S10),'IAP Current'!S10*('IAP Correction'!S10+1),'IAP Current'!S10)</f>
        <v>91</v>
      </c>
      <c r="T10" s="27">
        <f>IF(ISNUMBER('IAP Correction'!T10),'IAP Current'!T10*('IAP Correction'!T10+1),'IAP Current'!T10)</f>
        <v>103</v>
      </c>
      <c r="U10" s="27">
        <f>IF(ISNUMBER('IAP Correction'!U10),'IAP Current'!U10*('IAP Correction'!U10+1),'IAP Current'!U10)</f>
        <v>126</v>
      </c>
      <c r="V10" s="27">
        <f>IF(ISNUMBER('IAP Correction'!V10),'IAP Current'!V10*('IAP Correction'!V10+1),'IAP Current'!V10)</f>
        <v>163</v>
      </c>
    </row>
    <row r="11" spans="1:22" x14ac:dyDescent="0.25">
      <c r="A11" s="15">
        <v>2600</v>
      </c>
      <c r="B11" s="27">
        <f>IF(ISNUMBER('IAP Correction'!B11),'IAP Current'!B11*('IAP Correction'!B11+1),'IAP Current'!B11)</f>
        <v>34</v>
      </c>
      <c r="C11" s="27">
        <f>IF(ISNUMBER('IAP Correction'!C11),'IAP Current'!C11*('IAP Correction'!C11+1),'IAP Current'!C11)</f>
        <v>36</v>
      </c>
      <c r="D11" s="27">
        <f>IF(ISNUMBER('IAP Correction'!D11),'IAP Current'!D11*('IAP Correction'!D11+1),'IAP Current'!D11)</f>
        <v>39</v>
      </c>
      <c r="E11" s="27">
        <f>IF(ISNUMBER('IAP Correction'!E11),'IAP Current'!E11*('IAP Correction'!E11+1),'IAP Current'!E11)</f>
        <v>43</v>
      </c>
      <c r="F11" s="27">
        <f>IF(ISNUMBER('IAP Correction'!F11),'IAP Current'!F11*('IAP Correction'!F11+1),'IAP Current'!F11)</f>
        <v>43</v>
      </c>
      <c r="G11" s="27">
        <f>IF(ISNUMBER('IAP Correction'!G11),'IAP Current'!G11*('IAP Correction'!G11+1),'IAP Current'!G11)</f>
        <v>47</v>
      </c>
      <c r="H11" s="27">
        <f>IF(ISNUMBER('IAP Correction'!H11),'IAP Current'!H11*('IAP Correction'!H11+1),'IAP Current'!H11)</f>
        <v>46</v>
      </c>
      <c r="I11" s="27">
        <f>IF(ISNUMBER('IAP Correction'!I11),'IAP Current'!I11*('IAP Correction'!I11+1),'IAP Current'!I11)</f>
        <v>47</v>
      </c>
      <c r="J11" s="27">
        <f>IF(ISNUMBER('IAP Correction'!J11),'IAP Current'!J11*('IAP Correction'!J11+1),'IAP Current'!J11)</f>
        <v>49</v>
      </c>
      <c r="K11" s="27">
        <f>IF(ISNUMBER('IAP Correction'!K11),'IAP Current'!K11*('IAP Correction'!K11+1),'IAP Current'!K11)</f>
        <v>55</v>
      </c>
      <c r="L11" s="27">
        <f>IF(ISNUMBER('IAP Correction'!L11),'IAP Current'!L11*('IAP Correction'!L11+1),'IAP Current'!L11)</f>
        <v>61</v>
      </c>
      <c r="M11" s="27">
        <f>IF(ISNUMBER('IAP Correction'!M11),'IAP Current'!M11*('IAP Correction'!M11+1),'IAP Current'!M11)</f>
        <v>64</v>
      </c>
      <c r="N11" s="27">
        <f>IF(ISNUMBER('IAP Correction'!N11),'IAP Current'!N11*('IAP Correction'!N11+1),'IAP Current'!N11)</f>
        <v>68</v>
      </c>
      <c r="O11" s="27">
        <f>IF(ISNUMBER('IAP Correction'!O11),'IAP Current'!O11*('IAP Correction'!O11+1),'IAP Current'!O11)</f>
        <v>71</v>
      </c>
      <c r="P11" s="27">
        <f>IF(ISNUMBER('IAP Correction'!P11),'IAP Current'!P11*('IAP Correction'!P11+1),'IAP Current'!P11)</f>
        <v>76</v>
      </c>
      <c r="Q11" s="27">
        <f>IF(ISNUMBER('IAP Correction'!Q11),'IAP Current'!Q11*('IAP Correction'!Q11+1),'IAP Current'!Q11)</f>
        <v>82</v>
      </c>
      <c r="R11" s="27">
        <f>IF(ISNUMBER('IAP Correction'!R11),'IAP Current'!R11*('IAP Correction'!R11+1),'IAP Current'!R11)</f>
        <v>88</v>
      </c>
      <c r="S11" s="27">
        <f>IF(ISNUMBER('IAP Correction'!S11),'IAP Current'!S11*('IAP Correction'!S11+1),'IAP Current'!S11)</f>
        <v>90</v>
      </c>
      <c r="T11" s="27">
        <f>IF(ISNUMBER('IAP Correction'!T11),'IAP Current'!T11*('IAP Correction'!T11+1),'IAP Current'!T11)</f>
        <v>101</v>
      </c>
      <c r="U11" s="27">
        <f>IF(ISNUMBER('IAP Correction'!U11),'IAP Current'!U11*('IAP Correction'!U11+1),'IAP Current'!U11)</f>
        <v>124</v>
      </c>
      <c r="V11" s="27">
        <f>IF(ISNUMBER('IAP Correction'!V11),'IAP Current'!V11*('IAP Correction'!V11+1),'IAP Current'!V11)</f>
        <v>168</v>
      </c>
    </row>
    <row r="12" spans="1:22" x14ac:dyDescent="0.25">
      <c r="A12" s="15">
        <v>2800</v>
      </c>
      <c r="B12" s="27">
        <f>IF(ISNUMBER('IAP Correction'!B12),'IAP Current'!B12*('IAP Correction'!B12+1),'IAP Current'!B12)</f>
        <v>34</v>
      </c>
      <c r="C12" s="27">
        <f>IF(ISNUMBER('IAP Correction'!C12),'IAP Current'!C12*('IAP Correction'!C12+1),'IAP Current'!C12)</f>
        <v>36</v>
      </c>
      <c r="D12" s="27">
        <f>IF(ISNUMBER('IAP Correction'!D12),'IAP Current'!D12*('IAP Correction'!D12+1),'IAP Current'!D12)</f>
        <v>39</v>
      </c>
      <c r="E12" s="27">
        <f>IF(ISNUMBER('IAP Correction'!E12),'IAP Current'!E12*('IAP Correction'!E12+1),'IAP Current'!E12)</f>
        <v>42</v>
      </c>
      <c r="F12" s="27">
        <f>IF(ISNUMBER('IAP Correction'!F12),'IAP Current'!F12*('IAP Correction'!F12+1),'IAP Current'!F12)</f>
        <v>43</v>
      </c>
      <c r="G12" s="27">
        <f>IF(ISNUMBER('IAP Correction'!G12),'IAP Current'!G12*('IAP Correction'!G12+1),'IAP Current'!G12)</f>
        <v>46</v>
      </c>
      <c r="H12" s="27">
        <f>IF(ISNUMBER('IAP Correction'!H12),'IAP Current'!H12*('IAP Correction'!H12+1),'IAP Current'!H12)</f>
        <v>46</v>
      </c>
      <c r="I12" s="27">
        <f>IF(ISNUMBER('IAP Correction'!I12),'IAP Current'!I12*('IAP Correction'!I12+1),'IAP Current'!I12)</f>
        <v>48</v>
      </c>
      <c r="J12" s="27">
        <f>IF(ISNUMBER('IAP Correction'!J12),'IAP Current'!J12*('IAP Correction'!J12+1),'IAP Current'!J12)</f>
        <v>50</v>
      </c>
      <c r="K12" s="27">
        <f>IF(ISNUMBER('IAP Correction'!K12),'IAP Current'!K12*('IAP Correction'!K12+1),'IAP Current'!K12)</f>
        <v>57</v>
      </c>
      <c r="L12" s="27">
        <f>IF(ISNUMBER('IAP Correction'!L12),'IAP Current'!L12*('IAP Correction'!L12+1),'IAP Current'!L12)</f>
        <v>61</v>
      </c>
      <c r="M12" s="27">
        <f>IF(ISNUMBER('IAP Correction'!M12),'IAP Current'!M12*('IAP Correction'!M12+1),'IAP Current'!M12)</f>
        <v>63</v>
      </c>
      <c r="N12" s="27">
        <f>IF(ISNUMBER('IAP Correction'!N12),'IAP Current'!N12*('IAP Correction'!N12+1),'IAP Current'!N12)</f>
        <v>66</v>
      </c>
      <c r="O12" s="27">
        <f>IF(ISNUMBER('IAP Correction'!O12),'IAP Current'!O12*('IAP Correction'!O12+1),'IAP Current'!O12)</f>
        <v>69</v>
      </c>
      <c r="P12" s="27">
        <f>IF(ISNUMBER('IAP Correction'!P12),'IAP Current'!P12*('IAP Correction'!P12+1),'IAP Current'!P12)</f>
        <v>75</v>
      </c>
      <c r="Q12" s="27">
        <f>IF(ISNUMBER('IAP Correction'!Q12),'IAP Current'!Q12*('IAP Correction'!Q12+1),'IAP Current'!Q12)</f>
        <v>80</v>
      </c>
      <c r="R12" s="27">
        <f>IF(ISNUMBER('IAP Correction'!R12),'IAP Current'!R12*('IAP Correction'!R12+1),'IAP Current'!R12)</f>
        <v>88</v>
      </c>
      <c r="S12" s="27">
        <f>IF(ISNUMBER('IAP Correction'!S12),'IAP Current'!S12*('IAP Correction'!S12+1),'IAP Current'!S12)</f>
        <v>91</v>
      </c>
      <c r="T12" s="27">
        <f>IF(ISNUMBER('IAP Correction'!T12),'IAP Current'!T12*('IAP Correction'!T12+1),'IAP Current'!T12)</f>
        <v>101</v>
      </c>
      <c r="U12" s="27">
        <f>IF(ISNUMBER('IAP Correction'!U12),'IAP Current'!U12*('IAP Correction'!U12+1),'IAP Current'!U12)</f>
        <v>126</v>
      </c>
      <c r="V12" s="27">
        <f>IF(ISNUMBER('IAP Correction'!V12),'IAP Current'!V12*('IAP Correction'!V12+1),'IAP Current'!V12)</f>
        <v>174</v>
      </c>
    </row>
    <row r="13" spans="1:22" x14ac:dyDescent="0.25">
      <c r="A13" s="15">
        <v>3000</v>
      </c>
      <c r="B13" s="27">
        <f>IF(ISNUMBER('IAP Correction'!B13),'IAP Current'!B13*('IAP Correction'!B13+1),'IAP Current'!B13)</f>
        <v>34</v>
      </c>
      <c r="C13" s="27">
        <f>IF(ISNUMBER('IAP Correction'!C13),'IAP Current'!C13*('IAP Correction'!C13+1),'IAP Current'!C13)</f>
        <v>36</v>
      </c>
      <c r="D13" s="27">
        <f>IF(ISNUMBER('IAP Correction'!D13),'IAP Current'!D13*('IAP Correction'!D13+1),'IAP Current'!D13)</f>
        <v>38</v>
      </c>
      <c r="E13" s="27">
        <f>IF(ISNUMBER('IAP Correction'!E13),'IAP Current'!E13*('IAP Correction'!E13+1),'IAP Current'!E13)</f>
        <v>42</v>
      </c>
      <c r="F13" s="27">
        <f>IF(ISNUMBER('IAP Correction'!F13),'IAP Current'!F13*('IAP Correction'!F13+1),'IAP Current'!F13)</f>
        <v>43</v>
      </c>
      <c r="G13" s="27">
        <f>IF(ISNUMBER('IAP Correction'!G13),'IAP Current'!G13*('IAP Correction'!G13+1),'IAP Current'!G13)</f>
        <v>47</v>
      </c>
      <c r="H13" s="27">
        <f>IF(ISNUMBER('IAP Correction'!H13),'IAP Current'!H13*('IAP Correction'!H13+1),'IAP Current'!H13)</f>
        <v>48</v>
      </c>
      <c r="I13" s="27">
        <f>IF(ISNUMBER('IAP Correction'!I13),'IAP Current'!I13*('IAP Correction'!I13+1),'IAP Current'!I13)</f>
        <v>50</v>
      </c>
      <c r="J13" s="27">
        <f>IF(ISNUMBER('IAP Correction'!J13),'IAP Current'!J13*('IAP Correction'!J13+1),'IAP Current'!J13)</f>
        <v>50</v>
      </c>
      <c r="K13" s="27">
        <f>IF(ISNUMBER('IAP Correction'!K13),'IAP Current'!K13*('IAP Correction'!K13+1),'IAP Current'!K13)</f>
        <v>57</v>
      </c>
      <c r="L13" s="27">
        <f>IF(ISNUMBER('IAP Correction'!L13),'IAP Current'!L13*('IAP Correction'!L13+1),'IAP Current'!L13)</f>
        <v>62</v>
      </c>
      <c r="M13" s="27">
        <f>IF(ISNUMBER('IAP Correction'!M13),'IAP Current'!M13*('IAP Correction'!M13+1),'IAP Current'!M13)</f>
        <v>65</v>
      </c>
      <c r="N13" s="27">
        <f>IF(ISNUMBER('IAP Correction'!N13),'IAP Current'!N13*('IAP Correction'!N13+1),'IAP Current'!N13)</f>
        <v>68</v>
      </c>
      <c r="O13" s="27">
        <f>IF(ISNUMBER('IAP Correction'!O13),'IAP Current'!O13*('IAP Correction'!O13+1),'IAP Current'!O13)</f>
        <v>71</v>
      </c>
      <c r="P13" s="27">
        <f>IF(ISNUMBER('IAP Correction'!P13),'IAP Current'!P13*('IAP Correction'!P13+1),'IAP Current'!P13)</f>
        <v>78</v>
      </c>
      <c r="Q13" s="27">
        <f>IF(ISNUMBER('IAP Correction'!Q13),'IAP Current'!Q13*('IAP Correction'!Q13+1),'IAP Current'!Q13)</f>
        <v>83</v>
      </c>
      <c r="R13" s="27">
        <f>IF(ISNUMBER('IAP Correction'!R13),'IAP Current'!R13*('IAP Correction'!R13+1),'IAP Current'!R13)</f>
        <v>90</v>
      </c>
      <c r="S13" s="27">
        <f>IF(ISNUMBER('IAP Correction'!S13),'IAP Current'!S13*('IAP Correction'!S13+1),'IAP Current'!S13)</f>
        <v>96</v>
      </c>
      <c r="T13" s="27">
        <f>IF(ISNUMBER('IAP Correction'!T13),'IAP Current'!T13*('IAP Correction'!T13+1),'IAP Current'!T13)</f>
        <v>107</v>
      </c>
      <c r="U13" s="27">
        <f>IF(ISNUMBER('IAP Correction'!U13),'IAP Current'!U13*('IAP Correction'!U13+1),'IAP Current'!U13)</f>
        <v>133</v>
      </c>
      <c r="V13" s="27">
        <f>IF(ISNUMBER('IAP Correction'!V13),'IAP Current'!V13*('IAP Correction'!V13+1),'IAP Current'!V13)</f>
        <v>180</v>
      </c>
    </row>
    <row r="14" spans="1:22" x14ac:dyDescent="0.25">
      <c r="A14" s="15">
        <v>3200</v>
      </c>
      <c r="B14" s="27">
        <f>IF(ISNUMBER('IAP Correction'!B14),'IAP Current'!B14*('IAP Correction'!B14+1),'IAP Current'!B14)</f>
        <v>34</v>
      </c>
      <c r="C14" s="27">
        <f>IF(ISNUMBER('IAP Correction'!C14),'IAP Current'!C14*('IAP Correction'!C14+1),'IAP Current'!C14)</f>
        <v>36</v>
      </c>
      <c r="D14" s="27">
        <f>IF(ISNUMBER('IAP Correction'!D14),'IAP Current'!D14*('IAP Correction'!D14+1),'IAP Current'!D14)</f>
        <v>38</v>
      </c>
      <c r="E14" s="27">
        <f>IF(ISNUMBER('IAP Correction'!E14),'IAP Current'!E14*('IAP Correction'!E14+1),'IAP Current'!E14)</f>
        <v>42</v>
      </c>
      <c r="F14" s="27">
        <f>IF(ISNUMBER('IAP Correction'!F14),'IAP Current'!F14*('IAP Correction'!F14+1),'IAP Current'!F14)</f>
        <v>45</v>
      </c>
      <c r="G14" s="27">
        <f>IF(ISNUMBER('IAP Correction'!G14),'IAP Current'!G14*('IAP Correction'!G14+1),'IAP Current'!G14)</f>
        <v>48</v>
      </c>
      <c r="H14" s="27">
        <f>IF(ISNUMBER('IAP Correction'!H14),'IAP Current'!H14*('IAP Correction'!H14+1),'IAP Current'!H14)</f>
        <v>49</v>
      </c>
      <c r="I14" s="27">
        <f>IF(ISNUMBER('IAP Correction'!I14),'IAP Current'!I14*('IAP Correction'!I14+1),'IAP Current'!I14)</f>
        <v>50</v>
      </c>
      <c r="J14" s="27">
        <f>IF(ISNUMBER('IAP Correction'!J14),'IAP Current'!J14*('IAP Correction'!J14+1),'IAP Current'!J14)</f>
        <v>52</v>
      </c>
      <c r="K14" s="27">
        <f>IF(ISNUMBER('IAP Correction'!K14),'IAP Current'!K14*('IAP Correction'!K14+1),'IAP Current'!K14)</f>
        <v>58</v>
      </c>
      <c r="L14" s="27">
        <f>IF(ISNUMBER('IAP Correction'!L14),'IAP Current'!L14*('IAP Correction'!L14+1),'IAP Current'!L14)</f>
        <v>64</v>
      </c>
      <c r="M14" s="27">
        <f>IF(ISNUMBER('IAP Correction'!M14),'IAP Current'!M14*('IAP Correction'!M14+1),'IAP Current'!M14)</f>
        <v>67</v>
      </c>
      <c r="N14" s="27">
        <f>IF(ISNUMBER('IAP Correction'!N14),'IAP Current'!N14*('IAP Correction'!N14+1),'IAP Current'!N14)</f>
        <v>70</v>
      </c>
      <c r="O14" s="27">
        <f>IF(ISNUMBER('IAP Correction'!O14),'IAP Current'!O14*('IAP Correction'!O14+1),'IAP Current'!O14)</f>
        <v>74</v>
      </c>
      <c r="P14" s="27">
        <f>IF(ISNUMBER('IAP Correction'!P14),'IAP Current'!P14*('IAP Correction'!P14+1),'IAP Current'!P14)</f>
        <v>80</v>
      </c>
      <c r="Q14" s="27">
        <f>IF(ISNUMBER('IAP Correction'!Q14),'IAP Current'!Q14*('IAP Correction'!Q14+1),'IAP Current'!Q14)</f>
        <v>86</v>
      </c>
      <c r="R14" s="27">
        <f>IF(ISNUMBER('IAP Correction'!R14),'IAP Current'!R14*('IAP Correction'!R14+1),'IAP Current'!R14)</f>
        <v>92</v>
      </c>
      <c r="S14" s="27">
        <f>IF(ISNUMBER('IAP Correction'!S14),'IAP Current'!S14*('IAP Correction'!S14+1),'IAP Current'!S14)</f>
        <v>102</v>
      </c>
      <c r="T14" s="27">
        <f>IF(ISNUMBER('IAP Correction'!T14),'IAP Current'!T14*('IAP Correction'!T14+1),'IAP Current'!T14)</f>
        <v>114</v>
      </c>
      <c r="U14" s="27">
        <f>IF(ISNUMBER('IAP Correction'!U14),'IAP Current'!U14*('IAP Correction'!U14+1),'IAP Current'!U14)</f>
        <v>154</v>
      </c>
      <c r="V14" s="27">
        <f>IF(ISNUMBER('IAP Correction'!V14),'IAP Current'!V14*('IAP Correction'!V14+1),'IAP Current'!V14)</f>
        <v>185</v>
      </c>
    </row>
    <row r="15" spans="1:22" x14ac:dyDescent="0.25">
      <c r="A15" s="15">
        <v>3400</v>
      </c>
      <c r="B15" s="27">
        <f>IF(ISNUMBER('IAP Correction'!B15),'IAP Current'!B15*('IAP Correction'!B15+1),'IAP Current'!B15)</f>
        <v>34</v>
      </c>
      <c r="C15" s="27">
        <f>IF(ISNUMBER('IAP Correction'!C15),'IAP Current'!C15*('IAP Correction'!C15+1),'IAP Current'!C15)</f>
        <v>36</v>
      </c>
      <c r="D15" s="27">
        <f>IF(ISNUMBER('IAP Correction'!D15),'IAP Current'!D15*('IAP Correction'!D15+1),'IAP Current'!D15)</f>
        <v>38</v>
      </c>
      <c r="E15" s="27">
        <f>IF(ISNUMBER('IAP Correction'!E15),'IAP Current'!E15*('IAP Correction'!E15+1),'IAP Current'!E15)</f>
        <v>42</v>
      </c>
      <c r="F15" s="27">
        <f>IF(ISNUMBER('IAP Correction'!F15),'IAP Current'!F15*('IAP Correction'!F15+1),'IAP Current'!F15)</f>
        <v>46</v>
      </c>
      <c r="G15" s="27">
        <f>IF(ISNUMBER('IAP Correction'!G15),'IAP Current'!G15*('IAP Correction'!G15+1),'IAP Current'!G15)</f>
        <v>49</v>
      </c>
      <c r="H15" s="27">
        <f>IF(ISNUMBER('IAP Correction'!H15),'IAP Current'!H15*('IAP Correction'!H15+1),'IAP Current'!H15)</f>
        <v>50</v>
      </c>
      <c r="I15" s="27">
        <f>IF(ISNUMBER('IAP Correction'!I15),'IAP Current'!I15*('IAP Correction'!I15+1),'IAP Current'!I15)</f>
        <v>51</v>
      </c>
      <c r="J15" s="27">
        <f>IF(ISNUMBER('IAP Correction'!J15),'IAP Current'!J15*('IAP Correction'!J15+1),'IAP Current'!J15)</f>
        <v>52</v>
      </c>
      <c r="K15" s="27">
        <f>IF(ISNUMBER('IAP Correction'!K15),'IAP Current'!K15*('IAP Correction'!K15+1),'IAP Current'!K15)</f>
        <v>62</v>
      </c>
      <c r="L15" s="27">
        <f>IF(ISNUMBER('IAP Correction'!L15),'IAP Current'!L15*('IAP Correction'!L15+1),'IAP Current'!L15)</f>
        <v>66</v>
      </c>
      <c r="M15" s="27">
        <f>IF(ISNUMBER('IAP Correction'!M15),'IAP Current'!M15*('IAP Correction'!M15+1),'IAP Current'!M15)</f>
        <v>70</v>
      </c>
      <c r="N15" s="27">
        <f>IF(ISNUMBER('IAP Correction'!N15),'IAP Current'!N15*('IAP Correction'!N15+1),'IAP Current'!N15)</f>
        <v>75</v>
      </c>
      <c r="O15" s="27">
        <f>IF(ISNUMBER('IAP Correction'!O15),'IAP Current'!O15*('IAP Correction'!O15+1),'IAP Current'!O15)</f>
        <v>79</v>
      </c>
      <c r="P15" s="27">
        <f>IF(ISNUMBER('IAP Correction'!P15),'IAP Current'!P15*('IAP Correction'!P15+1),'IAP Current'!P15)</f>
        <v>85</v>
      </c>
      <c r="Q15" s="27">
        <f>IF(ISNUMBER('IAP Correction'!Q15),'IAP Current'!Q15*('IAP Correction'!Q15+1),'IAP Current'!Q15)</f>
        <v>92</v>
      </c>
      <c r="R15" s="27">
        <f>IF(ISNUMBER('IAP Correction'!R15),'IAP Current'!R15*('IAP Correction'!R15+1),'IAP Current'!R15)</f>
        <v>99</v>
      </c>
      <c r="S15" s="27">
        <f>IF(ISNUMBER('IAP Correction'!S15),'IAP Current'!S15*('IAP Correction'!S15+1),'IAP Current'!S15)</f>
        <v>108</v>
      </c>
      <c r="T15" s="27">
        <f>IF(ISNUMBER('IAP Correction'!T15),'IAP Current'!T15*('IAP Correction'!T15+1),'IAP Current'!T15)</f>
        <v>120</v>
      </c>
      <c r="U15" s="27">
        <f>IF(ISNUMBER('IAP Correction'!U15),'IAP Current'!U15*('IAP Correction'!U15+1),'IAP Current'!U15)</f>
        <v>164</v>
      </c>
      <c r="V15" s="27">
        <f>IF(ISNUMBER('IAP Correction'!V15),'IAP Current'!V15*('IAP Correction'!V15+1),'IAP Current'!V15)</f>
        <v>187</v>
      </c>
    </row>
    <row r="16" spans="1:22" x14ac:dyDescent="0.25">
      <c r="A16" s="15">
        <v>3600</v>
      </c>
      <c r="B16" s="27">
        <f>IF(ISNUMBER('IAP Correction'!B16),'IAP Current'!B16*('IAP Correction'!B16+1),'IAP Current'!B16)</f>
        <v>34</v>
      </c>
      <c r="C16" s="27">
        <f>IF(ISNUMBER('IAP Correction'!C16),'IAP Current'!C16*('IAP Correction'!C16+1),'IAP Current'!C16)</f>
        <v>36</v>
      </c>
      <c r="D16" s="27">
        <f>IF(ISNUMBER('IAP Correction'!D16),'IAP Current'!D16*('IAP Correction'!D16+1),'IAP Current'!D16)</f>
        <v>39</v>
      </c>
      <c r="E16" s="27">
        <f>IF(ISNUMBER('IAP Correction'!E16),'IAP Current'!E16*('IAP Correction'!E16+1),'IAP Current'!E16)</f>
        <v>45</v>
      </c>
      <c r="F16" s="27">
        <f>IF(ISNUMBER('IAP Correction'!F16),'IAP Current'!F16*('IAP Correction'!F16+1),'IAP Current'!F16)</f>
        <v>50</v>
      </c>
      <c r="G16" s="27">
        <f>IF(ISNUMBER('IAP Correction'!G16),'IAP Current'!G16*('IAP Correction'!G16+1),'IAP Current'!G16)</f>
        <v>51</v>
      </c>
      <c r="H16" s="27">
        <f>IF(ISNUMBER('IAP Correction'!H16),'IAP Current'!H16*('IAP Correction'!H16+1),'IAP Current'!H16)</f>
        <v>52</v>
      </c>
      <c r="I16" s="27">
        <f>IF(ISNUMBER('IAP Correction'!I16),'IAP Current'!I16*('IAP Correction'!I16+1),'IAP Current'!I16)</f>
        <v>57</v>
      </c>
      <c r="J16" s="27">
        <f>IF(ISNUMBER('IAP Correction'!J16),'IAP Current'!J16*('IAP Correction'!J16+1),'IAP Current'!J16)</f>
        <v>58</v>
      </c>
      <c r="K16" s="27">
        <f>IF(ISNUMBER('IAP Correction'!K16),'IAP Current'!K16*('IAP Correction'!K16+1),'IAP Current'!K16)</f>
        <v>66</v>
      </c>
      <c r="L16" s="27">
        <f>IF(ISNUMBER('IAP Correction'!L16),'IAP Current'!L16*('IAP Correction'!L16+1),'IAP Current'!L16)</f>
        <v>70</v>
      </c>
      <c r="M16" s="27">
        <f>IF(ISNUMBER('IAP Correction'!M16),'IAP Current'!M16*('IAP Correction'!M16+1),'IAP Current'!M16)</f>
        <v>75</v>
      </c>
      <c r="N16" s="27">
        <f>IF(ISNUMBER('IAP Correction'!N16),'IAP Current'!N16*('IAP Correction'!N16+1),'IAP Current'!N16)</f>
        <v>80</v>
      </c>
      <c r="O16" s="27">
        <f>IF(ISNUMBER('IAP Correction'!O16),'IAP Current'!O16*('IAP Correction'!O16+1),'IAP Current'!O16)</f>
        <v>84</v>
      </c>
      <c r="P16" s="27">
        <f>IF(ISNUMBER('IAP Correction'!P16),'IAP Current'!P16*('IAP Correction'!P16+1),'IAP Current'!P16)</f>
        <v>90</v>
      </c>
      <c r="Q16" s="27">
        <f>IF(ISNUMBER('IAP Correction'!Q16),'IAP Current'!Q16*('IAP Correction'!Q16+1),'IAP Current'!Q16)</f>
        <v>97</v>
      </c>
      <c r="R16" s="27">
        <f>IF(ISNUMBER('IAP Correction'!R16),'IAP Current'!R16*('IAP Correction'!R16+1),'IAP Current'!R16)</f>
        <v>104</v>
      </c>
      <c r="S16" s="27">
        <f>IF(ISNUMBER('IAP Correction'!S16),'IAP Current'!S16*('IAP Correction'!S16+1),'IAP Current'!S16)</f>
        <v>113</v>
      </c>
      <c r="T16" s="27">
        <f>IF(ISNUMBER('IAP Correction'!T16),'IAP Current'!T16*('IAP Correction'!T16+1),'IAP Current'!T16)</f>
        <v>128</v>
      </c>
      <c r="U16" s="27">
        <f>IF(ISNUMBER('IAP Correction'!U16),'IAP Current'!U16*('IAP Correction'!U16+1),'IAP Current'!U16)</f>
        <v>170</v>
      </c>
      <c r="V16" s="27">
        <f>IF(ISNUMBER('IAP Correction'!V16),'IAP Current'!V16*('IAP Correction'!V16+1),'IAP Current'!V16)</f>
        <v>189</v>
      </c>
    </row>
    <row r="17" spans="1:22" x14ac:dyDescent="0.25">
      <c r="A17" s="15">
        <v>3800</v>
      </c>
      <c r="B17" s="27">
        <f>IF(ISNUMBER('IAP Correction'!B17),'IAP Current'!B17*('IAP Correction'!B17+1),'IAP Current'!B17)</f>
        <v>34</v>
      </c>
      <c r="C17" s="27">
        <f>IF(ISNUMBER('IAP Correction'!C17),'IAP Current'!C17*('IAP Correction'!C17+1),'IAP Current'!C17)</f>
        <v>38</v>
      </c>
      <c r="D17" s="27">
        <f>IF(ISNUMBER('IAP Correction'!D17),'IAP Current'!D17*('IAP Correction'!D17+1),'IAP Current'!D17)</f>
        <v>39</v>
      </c>
      <c r="E17" s="27">
        <f>IF(ISNUMBER('IAP Correction'!E17),'IAP Current'!E17*('IAP Correction'!E17+1),'IAP Current'!E17)</f>
        <v>46</v>
      </c>
      <c r="F17" s="27">
        <f>IF(ISNUMBER('IAP Correction'!F17),'IAP Current'!F17*('IAP Correction'!F17+1),'IAP Current'!F17)</f>
        <v>50</v>
      </c>
      <c r="G17" s="27">
        <f>IF(ISNUMBER('IAP Correction'!G17),'IAP Current'!G17*('IAP Correction'!G17+1),'IAP Current'!G17)</f>
        <v>52</v>
      </c>
      <c r="H17" s="27">
        <f>IF(ISNUMBER('IAP Correction'!H17),'IAP Current'!H17*('IAP Correction'!H17+1),'IAP Current'!H17)</f>
        <v>55</v>
      </c>
      <c r="I17" s="27">
        <f>IF(ISNUMBER('IAP Correction'!I17),'IAP Current'!I17*('IAP Correction'!I17+1),'IAP Current'!I17)</f>
        <v>61</v>
      </c>
      <c r="J17" s="27">
        <f>IF(ISNUMBER('IAP Correction'!J17),'IAP Current'!J17*('IAP Correction'!J17+1),'IAP Current'!J17)</f>
        <v>66</v>
      </c>
      <c r="K17" s="27">
        <f>IF(ISNUMBER('IAP Correction'!K17),'IAP Current'!K17*('IAP Correction'!K17+1),'IAP Current'!K17)</f>
        <v>70</v>
      </c>
      <c r="L17" s="27">
        <f>IF(ISNUMBER('IAP Correction'!L17),'IAP Current'!L17*('IAP Correction'!L17+1),'IAP Current'!L17)</f>
        <v>75</v>
      </c>
      <c r="M17" s="27">
        <f>IF(ISNUMBER('IAP Correction'!M17),'IAP Current'!M17*('IAP Correction'!M17+1),'IAP Current'!M17)</f>
        <v>80</v>
      </c>
      <c r="N17" s="27">
        <f>IF(ISNUMBER('IAP Correction'!N17),'IAP Current'!N17*('IAP Correction'!N17+1),'IAP Current'!N17)</f>
        <v>84</v>
      </c>
      <c r="O17" s="27">
        <f>IF(ISNUMBER('IAP Correction'!O17),'IAP Current'!O17*('IAP Correction'!O17+1),'IAP Current'!O17)</f>
        <v>88</v>
      </c>
      <c r="P17" s="27">
        <f>IF(ISNUMBER('IAP Correction'!P17),'IAP Current'!P17*('IAP Correction'!P17+1),'IAP Current'!P17)</f>
        <v>94</v>
      </c>
      <c r="Q17" s="27">
        <f>IF(ISNUMBER('IAP Correction'!Q17),'IAP Current'!Q17*('IAP Correction'!Q17+1),'IAP Current'!Q17)</f>
        <v>101</v>
      </c>
      <c r="R17" s="27">
        <f>IF(ISNUMBER('IAP Correction'!R17),'IAP Current'!R17*('IAP Correction'!R17+1),'IAP Current'!R17)</f>
        <v>108</v>
      </c>
      <c r="S17" s="27">
        <f>IF(ISNUMBER('IAP Correction'!S17),'IAP Current'!S17*('IAP Correction'!S17+1),'IAP Current'!S17)</f>
        <v>118</v>
      </c>
      <c r="T17" s="27">
        <f>IF(ISNUMBER('IAP Correction'!T17),'IAP Current'!T17*('IAP Correction'!T17+1),'IAP Current'!T17)</f>
        <v>132</v>
      </c>
      <c r="U17" s="27">
        <f>IF(ISNUMBER('IAP Correction'!U17),'IAP Current'!U17*('IAP Correction'!U17+1),'IAP Current'!U17)</f>
        <v>170</v>
      </c>
      <c r="V17" s="27">
        <f>IF(ISNUMBER('IAP Correction'!V17),'IAP Current'!V17*('IAP Correction'!V17+1),'IAP Current'!V17)</f>
        <v>194</v>
      </c>
    </row>
    <row r="18" spans="1:22" x14ac:dyDescent="0.25">
      <c r="A18" s="15">
        <v>4000</v>
      </c>
      <c r="B18" s="27">
        <f>IF(ISNUMBER('IAP Correction'!B18),'IAP Current'!B18*('IAP Correction'!B18+1),'IAP Current'!B18)</f>
        <v>34</v>
      </c>
      <c r="C18" s="27">
        <f>IF(ISNUMBER('IAP Correction'!C18),'IAP Current'!C18*('IAP Correction'!C18+1),'IAP Current'!C18)</f>
        <v>38</v>
      </c>
      <c r="D18" s="27">
        <f>IF(ISNUMBER('IAP Correction'!D18),'IAP Current'!D18*('IAP Correction'!D18+1),'IAP Current'!D18)</f>
        <v>39</v>
      </c>
      <c r="E18" s="27">
        <f>IF(ISNUMBER('IAP Correction'!E18),'IAP Current'!E18*('IAP Correction'!E18+1),'IAP Current'!E18)</f>
        <v>48</v>
      </c>
      <c r="F18" s="27">
        <f>IF(ISNUMBER('IAP Correction'!F18),'IAP Current'!F18*('IAP Correction'!F18+1),'IAP Current'!F18)</f>
        <v>52</v>
      </c>
      <c r="G18" s="27">
        <f>IF(ISNUMBER('IAP Correction'!G18),'IAP Current'!G18*('IAP Correction'!G18+1),'IAP Current'!G18)</f>
        <v>55</v>
      </c>
      <c r="H18" s="27">
        <f>IF(ISNUMBER('IAP Correction'!H18),'IAP Current'!H18*('IAP Correction'!H18+1),'IAP Current'!H18)</f>
        <v>62</v>
      </c>
      <c r="I18" s="27">
        <f>IF(ISNUMBER('IAP Correction'!I18),'IAP Current'!I18*('IAP Correction'!I18+1),'IAP Current'!I18)</f>
        <v>65</v>
      </c>
      <c r="J18" s="27">
        <f>IF(ISNUMBER('IAP Correction'!J18),'IAP Current'!J18*('IAP Correction'!J18+1),'IAP Current'!J18)</f>
        <v>70</v>
      </c>
      <c r="K18" s="27">
        <f>IF(ISNUMBER('IAP Correction'!K18),'IAP Current'!K18*('IAP Correction'!K18+1),'IAP Current'!K18)</f>
        <v>75</v>
      </c>
      <c r="L18" s="27">
        <f>IF(ISNUMBER('IAP Correction'!L18),'IAP Current'!L18*('IAP Correction'!L18+1),'IAP Current'!L18)</f>
        <v>80</v>
      </c>
      <c r="M18" s="27">
        <f>IF(ISNUMBER('IAP Correction'!M18),'IAP Current'!M18*('IAP Correction'!M18+1),'IAP Current'!M18)</f>
        <v>85</v>
      </c>
      <c r="N18" s="27">
        <f>IF(ISNUMBER('IAP Correction'!N18),'IAP Current'!N18*('IAP Correction'!N18+1),'IAP Current'!N18)</f>
        <v>88</v>
      </c>
      <c r="O18" s="27">
        <f>IF(ISNUMBER('IAP Correction'!O18),'IAP Current'!O18*('IAP Correction'!O18+1),'IAP Current'!O18)</f>
        <v>92</v>
      </c>
      <c r="P18" s="27">
        <f>IF(ISNUMBER('IAP Correction'!P18),'IAP Current'!P18*('IAP Correction'!P18+1),'IAP Current'!P18)</f>
        <v>98</v>
      </c>
      <c r="Q18" s="27">
        <f>IF(ISNUMBER('IAP Correction'!Q18),'IAP Current'!Q18*('IAP Correction'!Q18+1),'IAP Current'!Q18)</f>
        <v>104</v>
      </c>
      <c r="R18" s="27">
        <f>IF(ISNUMBER('IAP Correction'!R18),'IAP Current'!R18*('IAP Correction'!R18+1),'IAP Current'!R18)</f>
        <v>111</v>
      </c>
      <c r="S18" s="27">
        <f>IF(ISNUMBER('IAP Correction'!S18),'IAP Current'!S18*('IAP Correction'!S18+1),'IAP Current'!S18)</f>
        <v>123</v>
      </c>
      <c r="T18" s="27">
        <f>IF(ISNUMBER('IAP Correction'!T18),'IAP Current'!T18*('IAP Correction'!T18+1),'IAP Current'!T18)</f>
        <v>136</v>
      </c>
      <c r="U18" s="27">
        <f>IF(ISNUMBER('IAP Correction'!U18),'IAP Current'!U18*('IAP Correction'!U18+1),'IAP Current'!U18)</f>
        <v>168</v>
      </c>
      <c r="V18" s="27">
        <f>IF(ISNUMBER('IAP Correction'!V18),'IAP Current'!V18*('IAP Correction'!V18+1),'IAP Current'!V18)</f>
        <v>198</v>
      </c>
    </row>
    <row r="19" spans="1:22" x14ac:dyDescent="0.25">
      <c r="A19" s="15">
        <v>4200</v>
      </c>
      <c r="B19" s="27">
        <f>IF(ISNUMBER('IAP Correction'!B19),'IAP Current'!B19*('IAP Correction'!B19+1),'IAP Current'!B19)</f>
        <v>34</v>
      </c>
      <c r="C19" s="27">
        <f>IF(ISNUMBER('IAP Correction'!C19),'IAP Current'!C19*('IAP Correction'!C19+1),'IAP Current'!C19)</f>
        <v>38</v>
      </c>
      <c r="D19" s="27">
        <f>IF(ISNUMBER('IAP Correction'!D19),'IAP Current'!D19*('IAP Correction'!D19+1),'IAP Current'!D19)</f>
        <v>39</v>
      </c>
      <c r="E19" s="27">
        <f>IF(ISNUMBER('IAP Correction'!E19),'IAP Current'!E19*('IAP Correction'!E19+1),'IAP Current'!E19)</f>
        <v>50</v>
      </c>
      <c r="F19" s="27">
        <f>IF(ISNUMBER('IAP Correction'!F19),'IAP Current'!F19*('IAP Correction'!F19+1),'IAP Current'!F19)</f>
        <v>55</v>
      </c>
      <c r="G19" s="27">
        <f>IF(ISNUMBER('IAP Correction'!G19),'IAP Current'!G19*('IAP Correction'!G19+1),'IAP Current'!G19)</f>
        <v>61</v>
      </c>
      <c r="H19" s="27">
        <f>IF(ISNUMBER('IAP Correction'!H19),'IAP Current'!H19*('IAP Correction'!H19+1),'IAP Current'!H19)</f>
        <v>65</v>
      </c>
      <c r="I19" s="27">
        <f>IF(ISNUMBER('IAP Correction'!I19),'IAP Current'!I19*('IAP Correction'!I19+1),'IAP Current'!I19)</f>
        <v>69</v>
      </c>
      <c r="J19" s="27">
        <f>IF(ISNUMBER('IAP Correction'!J19),'IAP Current'!J19*('IAP Correction'!J19+1),'IAP Current'!J19)</f>
        <v>72</v>
      </c>
      <c r="K19" s="27">
        <f>IF(ISNUMBER('IAP Correction'!K19),'IAP Current'!K19*('IAP Correction'!K19+1),'IAP Current'!K19)</f>
        <v>79</v>
      </c>
      <c r="L19" s="27">
        <f>IF(ISNUMBER('IAP Correction'!L19),'IAP Current'!L19*('IAP Correction'!L19+1),'IAP Current'!L19)</f>
        <v>83</v>
      </c>
      <c r="M19" s="27">
        <f>IF(ISNUMBER('IAP Correction'!M19),'IAP Current'!M19*('IAP Correction'!M19+1),'IAP Current'!M19)</f>
        <v>87</v>
      </c>
      <c r="N19" s="27">
        <f>IF(ISNUMBER('IAP Correction'!N19),'IAP Current'!N19*('IAP Correction'!N19+1),'IAP Current'!N19)</f>
        <v>91</v>
      </c>
      <c r="O19" s="27">
        <f>IF(ISNUMBER('IAP Correction'!O19),'IAP Current'!O19*('IAP Correction'!O19+1),'IAP Current'!O19)</f>
        <v>94</v>
      </c>
      <c r="P19" s="27">
        <f>IF(ISNUMBER('IAP Correction'!P19),'IAP Current'!P19*('IAP Correction'!P19+1),'IAP Current'!P19)</f>
        <v>99</v>
      </c>
      <c r="Q19" s="27">
        <f>IF(ISNUMBER('IAP Correction'!Q19),'IAP Current'!Q19*('IAP Correction'!Q19+1),'IAP Current'!Q19)</f>
        <v>107</v>
      </c>
      <c r="R19" s="27">
        <f>IF(ISNUMBER('IAP Correction'!R19),'IAP Current'!R19*('IAP Correction'!R19+1),'IAP Current'!R19)</f>
        <v>112</v>
      </c>
      <c r="S19" s="27">
        <f>IF(ISNUMBER('IAP Correction'!S19),'IAP Current'!S19*('IAP Correction'!S19+1),'IAP Current'!S19)</f>
        <v>123</v>
      </c>
      <c r="T19" s="27">
        <f>IF(ISNUMBER('IAP Correction'!T19),'IAP Current'!T19*('IAP Correction'!T19+1),'IAP Current'!T19)</f>
        <v>136</v>
      </c>
      <c r="U19" s="27">
        <f>IF(ISNUMBER('IAP Correction'!U19),'IAP Current'!U19*('IAP Correction'!U19+1),'IAP Current'!U19)</f>
        <v>164</v>
      </c>
      <c r="V19" s="27">
        <f>IF(ISNUMBER('IAP Correction'!V19),'IAP Current'!V19*('IAP Correction'!V19+1),'IAP Current'!V19)</f>
        <v>198</v>
      </c>
    </row>
    <row r="20" spans="1:22" x14ac:dyDescent="0.25">
      <c r="A20" s="15">
        <v>4400</v>
      </c>
      <c r="B20" s="27">
        <f>IF(ISNUMBER('IAP Correction'!B20),'IAP Current'!B20*('IAP Correction'!B20+1),'IAP Current'!B20)</f>
        <v>34</v>
      </c>
      <c r="C20" s="27">
        <f>IF(ISNUMBER('IAP Correction'!C20),'IAP Current'!C20*('IAP Correction'!C20+1),'IAP Current'!C20)</f>
        <v>36</v>
      </c>
      <c r="D20" s="27">
        <f>IF(ISNUMBER('IAP Correction'!D20),'IAP Current'!D20*('IAP Correction'!D20+1),'IAP Current'!D20)</f>
        <v>39</v>
      </c>
      <c r="E20" s="27">
        <f>IF(ISNUMBER('IAP Correction'!E20),'IAP Current'!E20*('IAP Correction'!E20+1),'IAP Current'!E20)</f>
        <v>55</v>
      </c>
      <c r="F20" s="27">
        <f>IF(ISNUMBER('IAP Correction'!F20),'IAP Current'!F20*('IAP Correction'!F20+1),'IAP Current'!F20)</f>
        <v>61</v>
      </c>
      <c r="G20" s="27">
        <f>IF(ISNUMBER('IAP Correction'!G20),'IAP Current'!G20*('IAP Correction'!G20+1),'IAP Current'!G20)</f>
        <v>64</v>
      </c>
      <c r="H20" s="27">
        <f>IF(ISNUMBER('IAP Correction'!H20),'IAP Current'!H20*('IAP Correction'!H20+1),'IAP Current'!H20)</f>
        <v>67</v>
      </c>
      <c r="I20" s="27">
        <f>IF(ISNUMBER('IAP Correction'!I20),'IAP Current'!I20*('IAP Correction'!I20+1),'IAP Current'!I20)</f>
        <v>71</v>
      </c>
      <c r="J20" s="27">
        <f>IF(ISNUMBER('IAP Correction'!J20),'IAP Current'!J20*('IAP Correction'!J20+1),'IAP Current'!J20)</f>
        <v>75</v>
      </c>
      <c r="K20" s="27">
        <f>IF(ISNUMBER('IAP Correction'!K20),'IAP Current'!K20*('IAP Correction'!K20+1),'IAP Current'!K20)</f>
        <v>80</v>
      </c>
      <c r="L20" s="27">
        <f>IF(ISNUMBER('IAP Correction'!L20),'IAP Current'!L20*('IAP Correction'!L20+1),'IAP Current'!L20)</f>
        <v>84</v>
      </c>
      <c r="M20" s="27">
        <f>IF(ISNUMBER('IAP Correction'!M20),'IAP Current'!M20*('IAP Correction'!M20+1),'IAP Current'!M20)</f>
        <v>88</v>
      </c>
      <c r="N20" s="27">
        <f>IF(ISNUMBER('IAP Correction'!N20),'IAP Current'!N20*('IAP Correction'!N20+1),'IAP Current'!N20)</f>
        <v>92</v>
      </c>
      <c r="O20" s="27">
        <f>IF(ISNUMBER('IAP Correction'!O20),'IAP Current'!O20*('IAP Correction'!O20+1),'IAP Current'!O20)</f>
        <v>94</v>
      </c>
      <c r="P20" s="27">
        <f>IF(ISNUMBER('IAP Correction'!P20),'IAP Current'!P20*('IAP Correction'!P20+1),'IAP Current'!P20)</f>
        <v>102</v>
      </c>
      <c r="Q20" s="27">
        <f>IF(ISNUMBER('IAP Correction'!Q20),'IAP Current'!Q20*('IAP Correction'!Q20+1),'IAP Current'!Q20)</f>
        <v>107</v>
      </c>
      <c r="R20" s="27">
        <f>IF(ISNUMBER('IAP Correction'!R20),'IAP Current'!R20*('IAP Correction'!R20+1),'IAP Current'!R20)</f>
        <v>112</v>
      </c>
      <c r="S20" s="27">
        <f>IF(ISNUMBER('IAP Correction'!S20),'IAP Current'!S20*('IAP Correction'!S20+1),'IAP Current'!S20)</f>
        <v>122</v>
      </c>
      <c r="T20" s="27">
        <f>IF(ISNUMBER('IAP Correction'!T20),'IAP Current'!T20*('IAP Correction'!T20+1),'IAP Current'!T20)</f>
        <v>135</v>
      </c>
      <c r="U20" s="27">
        <f>IF(ISNUMBER('IAP Correction'!U20),'IAP Current'!U20*('IAP Correction'!U20+1),'IAP Current'!U20)</f>
        <v>162</v>
      </c>
      <c r="V20" s="27">
        <f>IF(ISNUMBER('IAP Correction'!V20),'IAP Current'!V20*('IAP Correction'!V20+1),'IAP Current'!V20)</f>
        <v>198</v>
      </c>
    </row>
    <row r="21" spans="1:22" x14ac:dyDescent="0.25">
      <c r="A21" s="15">
        <v>4600</v>
      </c>
      <c r="B21" s="27">
        <f>IF(ISNUMBER('IAP Correction'!B21),'IAP Current'!B21*('IAP Correction'!B21+1),'IAP Current'!B21)</f>
        <v>34</v>
      </c>
      <c r="C21" s="27">
        <f>IF(ISNUMBER('IAP Correction'!C21),'IAP Current'!C21*('IAP Correction'!C21+1),'IAP Current'!C21)</f>
        <v>36</v>
      </c>
      <c r="D21" s="27">
        <f>IF(ISNUMBER('IAP Correction'!D21),'IAP Current'!D21*('IAP Correction'!D21+1),'IAP Current'!D21)</f>
        <v>39</v>
      </c>
      <c r="E21" s="27">
        <f>IF(ISNUMBER('IAP Correction'!E21),'IAP Current'!E21*('IAP Correction'!E21+1),'IAP Current'!E21)</f>
        <v>55</v>
      </c>
      <c r="F21" s="27">
        <f>IF(ISNUMBER('IAP Correction'!F21),'IAP Current'!F21*('IAP Correction'!F21+1),'IAP Current'!F21)</f>
        <v>61</v>
      </c>
      <c r="G21" s="27">
        <f>IF(ISNUMBER('IAP Correction'!G21),'IAP Current'!G21*('IAP Correction'!G21+1),'IAP Current'!G21)</f>
        <v>63</v>
      </c>
      <c r="H21" s="27">
        <f>IF(ISNUMBER('IAP Correction'!H21),'IAP Current'!H21*('IAP Correction'!H21+1),'IAP Current'!H21)</f>
        <v>66</v>
      </c>
      <c r="I21" s="27">
        <f>IF(ISNUMBER('IAP Correction'!I21),'IAP Current'!I21*('IAP Correction'!I21+1),'IAP Current'!I21)</f>
        <v>70</v>
      </c>
      <c r="J21" s="27">
        <f>IF(ISNUMBER('IAP Correction'!J21),'IAP Current'!J21*('IAP Correction'!J21+1),'IAP Current'!J21)</f>
        <v>72</v>
      </c>
      <c r="K21" s="27">
        <f>IF(ISNUMBER('IAP Correction'!K21),'IAP Current'!K21*('IAP Correction'!K21+1),'IAP Current'!K21)</f>
        <v>78</v>
      </c>
      <c r="L21" s="27">
        <f>IF(ISNUMBER('IAP Correction'!L21),'IAP Current'!L21*('IAP Correction'!L21+1),'IAP Current'!L21)</f>
        <v>80</v>
      </c>
      <c r="M21" s="27">
        <f>IF(ISNUMBER('IAP Correction'!M21),'IAP Current'!M21*('IAP Correction'!M21+1),'IAP Current'!M21)</f>
        <v>85</v>
      </c>
      <c r="N21" s="27">
        <f>IF(ISNUMBER('IAP Correction'!N21),'IAP Current'!N21*('IAP Correction'!N21+1),'IAP Current'!N21)</f>
        <v>88</v>
      </c>
      <c r="O21" s="27">
        <f>IF(ISNUMBER('IAP Correction'!O21),'IAP Current'!O21*('IAP Correction'!O21+1),'IAP Current'!O21)</f>
        <v>92</v>
      </c>
      <c r="P21" s="27">
        <f>IF(ISNUMBER('IAP Correction'!P21),'IAP Current'!P21*('IAP Correction'!P21+1),'IAP Current'!P21)</f>
        <v>97</v>
      </c>
      <c r="Q21" s="27">
        <f>IF(ISNUMBER('IAP Correction'!Q21),'IAP Current'!Q21*('IAP Correction'!Q21+1),'IAP Current'!Q21)</f>
        <v>102</v>
      </c>
      <c r="R21" s="27">
        <f>IF(ISNUMBER('IAP Correction'!R21),'IAP Current'!R21*('IAP Correction'!R21+1),'IAP Current'!R21)</f>
        <v>109</v>
      </c>
      <c r="S21" s="27">
        <f>IF(ISNUMBER('IAP Correction'!S21),'IAP Current'!S21*('IAP Correction'!S21+1),'IAP Current'!S21)</f>
        <v>117</v>
      </c>
      <c r="T21" s="27">
        <f>IF(ISNUMBER('IAP Correction'!T21),'IAP Current'!T21*('IAP Correction'!T21+1),'IAP Current'!T21)</f>
        <v>133</v>
      </c>
      <c r="U21" s="27">
        <f>IF(ISNUMBER('IAP Correction'!U21),'IAP Current'!U21*('IAP Correction'!U21+1),'IAP Current'!U21)</f>
        <v>162</v>
      </c>
      <c r="V21" s="27">
        <f>IF(ISNUMBER('IAP Correction'!V21),'IAP Current'!V21*('IAP Correction'!V21+1),'IAP Current'!V21)</f>
        <v>194</v>
      </c>
    </row>
    <row r="22" spans="1:22" x14ac:dyDescent="0.25">
      <c r="A22" s="15">
        <v>4800</v>
      </c>
      <c r="B22" s="27">
        <f>IF(ISNUMBER('IAP Correction'!B22),'IAP Current'!B22*('IAP Correction'!B22+1),'IAP Current'!B22)</f>
        <v>34</v>
      </c>
      <c r="C22" s="27">
        <f>IF(ISNUMBER('IAP Correction'!C22),'IAP Current'!C22*('IAP Correction'!C22+1),'IAP Current'!C22)</f>
        <v>39</v>
      </c>
      <c r="D22" s="27">
        <f>IF(ISNUMBER('IAP Correction'!D22),'IAP Current'!D22*('IAP Correction'!D22+1),'IAP Current'!D22)</f>
        <v>39</v>
      </c>
      <c r="E22" s="27">
        <f>IF(ISNUMBER('IAP Correction'!E22),'IAP Current'!E22*('IAP Correction'!E22+1),'IAP Current'!E22)</f>
        <v>54</v>
      </c>
      <c r="F22" s="27">
        <f>IF(ISNUMBER('IAP Correction'!F22),'IAP Current'!F22*('IAP Correction'!F22+1),'IAP Current'!F22)</f>
        <v>57</v>
      </c>
      <c r="G22" s="27">
        <f>IF(ISNUMBER('IAP Correction'!G22),'IAP Current'!G22*('IAP Correction'!G22+1),'IAP Current'!G22)</f>
        <v>62</v>
      </c>
      <c r="H22" s="27">
        <f>IF(ISNUMBER('IAP Correction'!H22),'IAP Current'!H22*('IAP Correction'!H22+1),'IAP Current'!H22)</f>
        <v>64</v>
      </c>
      <c r="I22" s="27">
        <f>IF(ISNUMBER('IAP Correction'!I22),'IAP Current'!I22*('IAP Correction'!I22+1),'IAP Current'!I22)</f>
        <v>67</v>
      </c>
      <c r="J22" s="27">
        <f>IF(ISNUMBER('IAP Correction'!J22),'IAP Current'!J22*('IAP Correction'!J22+1),'IAP Current'!J22)</f>
        <v>69</v>
      </c>
      <c r="K22" s="27">
        <f>IF(ISNUMBER('IAP Correction'!K22),'IAP Current'!K22*('IAP Correction'!K22+1),'IAP Current'!K22)</f>
        <v>72</v>
      </c>
      <c r="L22" s="27">
        <f>IF(ISNUMBER('IAP Correction'!L22),'IAP Current'!L22*('IAP Correction'!L22+1),'IAP Current'!L22)</f>
        <v>76</v>
      </c>
      <c r="M22" s="27">
        <f>IF(ISNUMBER('IAP Correction'!M22),'IAP Current'!M22*('IAP Correction'!M22+1),'IAP Current'!M22)</f>
        <v>80</v>
      </c>
      <c r="N22" s="27">
        <f>IF(ISNUMBER('IAP Correction'!N22),'IAP Current'!N22*('IAP Correction'!N22+1),'IAP Current'!N22)</f>
        <v>83</v>
      </c>
      <c r="O22" s="27">
        <f>IF(ISNUMBER('IAP Correction'!O22),'IAP Current'!O22*('IAP Correction'!O22+1),'IAP Current'!O22)</f>
        <v>88</v>
      </c>
      <c r="P22" s="27">
        <f>IF(ISNUMBER('IAP Correction'!P22),'IAP Current'!P22*('IAP Correction'!P22+1),'IAP Current'!P22)</f>
        <v>93</v>
      </c>
      <c r="Q22" s="27">
        <f>IF(ISNUMBER('IAP Correction'!Q22),'IAP Current'!Q22*('IAP Correction'!Q22+1),'IAP Current'!Q22)</f>
        <v>97</v>
      </c>
      <c r="R22" s="27">
        <f>IF(ISNUMBER('IAP Correction'!R22),'IAP Current'!R22*('IAP Correction'!R22+1),'IAP Current'!R22)</f>
        <v>104</v>
      </c>
      <c r="S22" s="27">
        <f>IF(ISNUMBER('IAP Correction'!S22),'IAP Current'!S22*('IAP Correction'!S22+1),'IAP Current'!S22)</f>
        <v>113</v>
      </c>
      <c r="T22" s="27">
        <f>IF(ISNUMBER('IAP Correction'!T22),'IAP Current'!T22*('IAP Correction'!T22+1),'IAP Current'!T22)</f>
        <v>131</v>
      </c>
      <c r="U22" s="27">
        <f>IF(ISNUMBER('IAP Correction'!U22),'IAP Current'!U22*('IAP Correction'!U22+1),'IAP Current'!U22)</f>
        <v>164</v>
      </c>
      <c r="V22" s="27">
        <f>IF(ISNUMBER('IAP Correction'!V22),'IAP Current'!V22*('IAP Correction'!V22+1),'IAP Current'!V22)</f>
        <v>192</v>
      </c>
    </row>
    <row r="23" spans="1:22" x14ac:dyDescent="0.25">
      <c r="A23" s="15">
        <v>5000</v>
      </c>
      <c r="B23" s="27">
        <f>IF(ISNUMBER('IAP Correction'!B23),'IAP Current'!B23*('IAP Correction'!B23+1),'IAP Current'!B23)</f>
        <v>32</v>
      </c>
      <c r="C23" s="27">
        <f>IF(ISNUMBER('IAP Correction'!C23),'IAP Current'!C23*('IAP Correction'!C23+1),'IAP Current'!C23)</f>
        <v>34</v>
      </c>
      <c r="D23" s="27">
        <f>IF(ISNUMBER('IAP Correction'!D23),'IAP Current'!D23*('IAP Correction'!D23+1),'IAP Current'!D23)</f>
        <v>39</v>
      </c>
      <c r="E23" s="27">
        <f>IF(ISNUMBER('IAP Correction'!E23),'IAP Current'!E23*('IAP Correction'!E23+1),'IAP Current'!E23)</f>
        <v>50</v>
      </c>
      <c r="F23" s="27">
        <f>IF(ISNUMBER('IAP Correction'!F23),'IAP Current'!F23*('IAP Correction'!F23+1),'IAP Current'!F23)</f>
        <v>54</v>
      </c>
      <c r="G23" s="27">
        <f>IF(ISNUMBER('IAP Correction'!G23),'IAP Current'!G23*('IAP Correction'!G23+1),'IAP Current'!G23)</f>
        <v>60</v>
      </c>
      <c r="H23" s="27">
        <f>IF(ISNUMBER('IAP Correction'!H23),'IAP Current'!H23*('IAP Correction'!H23+1),'IAP Current'!H23)</f>
        <v>62</v>
      </c>
      <c r="I23" s="27">
        <f>IF(ISNUMBER('IAP Correction'!I23),'IAP Current'!I23*('IAP Correction'!I23+1),'IAP Current'!I23)</f>
        <v>65</v>
      </c>
      <c r="J23" s="27">
        <f>IF(ISNUMBER('IAP Correction'!J23),'IAP Current'!J23*('IAP Correction'!J23+1),'IAP Current'!J23)</f>
        <v>67</v>
      </c>
      <c r="K23" s="27">
        <f>IF(ISNUMBER('IAP Correction'!K23),'IAP Current'!K23*('IAP Correction'!K23+1),'IAP Current'!K23)</f>
        <v>70</v>
      </c>
      <c r="L23" s="27">
        <f>IF(ISNUMBER('IAP Correction'!L23),'IAP Current'!L23*('IAP Correction'!L23+1),'IAP Current'!L23)</f>
        <v>74</v>
      </c>
      <c r="M23" s="27">
        <f>IF(ISNUMBER('IAP Correction'!M23),'IAP Current'!M23*('IAP Correction'!M23+1),'IAP Current'!M23)</f>
        <v>78</v>
      </c>
      <c r="N23" s="27">
        <f>IF(ISNUMBER('IAP Correction'!N23),'IAP Current'!N23*('IAP Correction'!N23+1),'IAP Current'!N23)</f>
        <v>82</v>
      </c>
      <c r="O23" s="27">
        <f>IF(ISNUMBER('IAP Correction'!O23),'IAP Current'!O23*('IAP Correction'!O23+1),'IAP Current'!O23)</f>
        <v>85</v>
      </c>
      <c r="P23" s="27">
        <f>IF(ISNUMBER('IAP Correction'!P23),'IAP Current'!P23*('IAP Correction'!P23+1),'IAP Current'!P23)</f>
        <v>91</v>
      </c>
      <c r="Q23" s="27">
        <f>IF(ISNUMBER('IAP Correction'!Q23),'IAP Current'!Q23*('IAP Correction'!Q23+1),'IAP Current'!Q23)</f>
        <v>94</v>
      </c>
      <c r="R23" s="27">
        <f>IF(ISNUMBER('IAP Correction'!R23),'IAP Current'!R23*('IAP Correction'!R23+1),'IAP Current'!R23)</f>
        <v>102</v>
      </c>
      <c r="S23" s="27">
        <f>IF(ISNUMBER('IAP Correction'!S23),'IAP Current'!S23*('IAP Correction'!S23+1),'IAP Current'!S23)</f>
        <v>110</v>
      </c>
      <c r="T23" s="27">
        <f>IF(ISNUMBER('IAP Correction'!T23),'IAP Current'!T23*('IAP Correction'!T23+1),'IAP Current'!T23)</f>
        <v>130</v>
      </c>
      <c r="U23" s="27">
        <f>IF(ISNUMBER('IAP Correction'!U23),'IAP Current'!U23*('IAP Correction'!U23+1),'IAP Current'!U23)</f>
        <v>167</v>
      </c>
      <c r="V23" s="27">
        <f>IF(ISNUMBER('IAP Correction'!V23),'IAP Current'!V23*('IAP Correction'!V23+1),'IAP Current'!V23)</f>
        <v>192</v>
      </c>
    </row>
    <row r="24" spans="1:22" x14ac:dyDescent="0.25">
      <c r="A24" s="15">
        <v>5200</v>
      </c>
      <c r="B24" s="27">
        <f>IF(ISNUMBER('IAP Correction'!B24),'IAP Current'!B24*('IAP Correction'!B24+1),'IAP Current'!B24)</f>
        <v>32</v>
      </c>
      <c r="C24" s="27">
        <f>IF(ISNUMBER('IAP Correction'!C24),'IAP Current'!C24*('IAP Correction'!C24+1),'IAP Current'!C24)</f>
        <v>34</v>
      </c>
      <c r="D24" s="27">
        <f>IF(ISNUMBER('IAP Correction'!D24),'IAP Current'!D24*('IAP Correction'!D24+1),'IAP Current'!D24)</f>
        <v>39</v>
      </c>
      <c r="E24" s="27">
        <f>IF(ISNUMBER('IAP Correction'!E24),'IAP Current'!E24*('IAP Correction'!E24+1),'IAP Current'!E24)</f>
        <v>48</v>
      </c>
      <c r="F24" s="27">
        <f>IF(ISNUMBER('IAP Correction'!F24),'IAP Current'!F24*('IAP Correction'!F24+1),'IAP Current'!F24)</f>
        <v>52</v>
      </c>
      <c r="G24" s="27">
        <f>IF(ISNUMBER('IAP Correction'!G24),'IAP Current'!G24*('IAP Correction'!G24+1),'IAP Current'!G24)</f>
        <v>58</v>
      </c>
      <c r="H24" s="27">
        <f>IF(ISNUMBER('IAP Correction'!H24),'IAP Current'!H24*('IAP Correction'!H24+1),'IAP Current'!H24)</f>
        <v>61</v>
      </c>
      <c r="I24" s="27">
        <f>IF(ISNUMBER('IAP Correction'!I24),'IAP Current'!I24*('IAP Correction'!I24+1),'IAP Current'!I24)</f>
        <v>64</v>
      </c>
      <c r="J24" s="27">
        <f>IF(ISNUMBER('IAP Correction'!J24),'IAP Current'!J24*('IAP Correction'!J24+1),'IAP Current'!J24)</f>
        <v>67</v>
      </c>
      <c r="K24" s="27">
        <f>IF(ISNUMBER('IAP Correction'!K24),'IAP Current'!K24*('IAP Correction'!K24+1),'IAP Current'!K24)</f>
        <v>70</v>
      </c>
      <c r="L24" s="27">
        <f>IF(ISNUMBER('IAP Correction'!L24),'IAP Current'!L24*('IAP Correction'!L24+1),'IAP Current'!L24)</f>
        <v>72</v>
      </c>
      <c r="M24" s="27">
        <f>IF(ISNUMBER('IAP Correction'!M24),'IAP Current'!M24*('IAP Correction'!M24+1),'IAP Current'!M24)</f>
        <v>76</v>
      </c>
      <c r="N24" s="27">
        <f>IF(ISNUMBER('IAP Correction'!N24),'IAP Current'!N24*('IAP Correction'!N24+1),'IAP Current'!N24)</f>
        <v>82</v>
      </c>
      <c r="O24" s="27">
        <f>IF(ISNUMBER('IAP Correction'!O24),'IAP Current'!O24*('IAP Correction'!O24+1),'IAP Current'!O24)</f>
        <v>84</v>
      </c>
      <c r="P24" s="27">
        <f>IF(ISNUMBER('IAP Correction'!P24),'IAP Current'!P24*('IAP Correction'!P24+1),'IAP Current'!P24)</f>
        <v>88</v>
      </c>
      <c r="Q24" s="27">
        <f>IF(ISNUMBER('IAP Correction'!Q24),'IAP Current'!Q24*('IAP Correction'!Q24+1),'IAP Current'!Q24)</f>
        <v>94</v>
      </c>
      <c r="R24" s="27">
        <f>IF(ISNUMBER('IAP Correction'!R24),'IAP Current'!R24*('IAP Correction'!R24+1),'IAP Current'!R24)</f>
        <v>101</v>
      </c>
      <c r="S24" s="27">
        <f>IF(ISNUMBER('IAP Correction'!S24),'IAP Current'!S24*('IAP Correction'!S24+1),'IAP Current'!S24)</f>
        <v>108</v>
      </c>
      <c r="T24" s="27">
        <f>IF(ISNUMBER('IAP Correction'!T24),'IAP Current'!T24*('IAP Correction'!T24+1),'IAP Current'!T24)</f>
        <v>130</v>
      </c>
      <c r="U24" s="27">
        <f>IF(ISNUMBER('IAP Correction'!U24),'IAP Current'!U24*('IAP Correction'!U24+1),'IAP Current'!U24)</f>
        <v>169</v>
      </c>
      <c r="V24" s="27">
        <f>IF(ISNUMBER('IAP Correction'!V24),'IAP Current'!V24*('IAP Correction'!V24+1),'IAP Current'!V24)</f>
        <v>192</v>
      </c>
    </row>
    <row r="25" spans="1:22" x14ac:dyDescent="0.25">
      <c r="A25" s="15">
        <v>5600</v>
      </c>
      <c r="B25" s="27">
        <f>IF(ISNUMBER('IAP Correction'!B25),'IAP Current'!B25*('IAP Correction'!B25+1),'IAP Current'!B25)</f>
        <v>32</v>
      </c>
      <c r="C25" s="27">
        <f>IF(ISNUMBER('IAP Correction'!C25),'IAP Current'!C25*('IAP Correction'!C25+1),'IAP Current'!C25)</f>
        <v>34</v>
      </c>
      <c r="D25" s="27">
        <f>IF(ISNUMBER('IAP Correction'!D25),'IAP Current'!D25*('IAP Correction'!D25+1),'IAP Current'!D25)</f>
        <v>39</v>
      </c>
      <c r="E25" s="27">
        <f>IF(ISNUMBER('IAP Correction'!E25),'IAP Current'!E25*('IAP Correction'!E25+1),'IAP Current'!E25)</f>
        <v>49</v>
      </c>
      <c r="F25" s="27">
        <f>IF(ISNUMBER('IAP Correction'!F25),'IAP Current'!F25*('IAP Correction'!F25+1),'IAP Current'!F25)</f>
        <v>51</v>
      </c>
      <c r="G25" s="27">
        <f>IF(ISNUMBER('IAP Correction'!G25),'IAP Current'!G25*('IAP Correction'!G25+1),'IAP Current'!G25)</f>
        <v>58</v>
      </c>
      <c r="H25" s="27">
        <f>IF(ISNUMBER('IAP Correction'!H25),'IAP Current'!H25*('IAP Correction'!H25+1),'IAP Current'!H25)</f>
        <v>62</v>
      </c>
      <c r="I25" s="27">
        <f>IF(ISNUMBER('IAP Correction'!I25),'IAP Current'!I25*('IAP Correction'!I25+1),'IAP Current'!I25)</f>
        <v>64</v>
      </c>
      <c r="J25" s="27">
        <f>IF(ISNUMBER('IAP Correction'!J25),'IAP Current'!J25*('IAP Correction'!J25+1),'IAP Current'!J25)</f>
        <v>67</v>
      </c>
      <c r="K25" s="27">
        <f>IF(ISNUMBER('IAP Correction'!K25),'IAP Current'!K25*('IAP Correction'!K25+1),'IAP Current'!K25)</f>
        <v>70</v>
      </c>
      <c r="L25" s="27">
        <f>IF(ISNUMBER('IAP Correction'!L25),'IAP Current'!L25*('IAP Correction'!L25+1),'IAP Current'!L25)</f>
        <v>72</v>
      </c>
      <c r="M25" s="27">
        <f>IF(ISNUMBER('IAP Correction'!M25),'IAP Current'!M25*('IAP Correction'!M25+1),'IAP Current'!M25)</f>
        <v>75</v>
      </c>
      <c r="N25" s="27">
        <f>IF(ISNUMBER('IAP Correction'!N25),'IAP Current'!N25*('IAP Correction'!N25+1),'IAP Current'!N25)</f>
        <v>80</v>
      </c>
      <c r="O25" s="27">
        <f>IF(ISNUMBER('IAP Correction'!O25),'IAP Current'!O25*('IAP Correction'!O25+1),'IAP Current'!O25)</f>
        <v>83</v>
      </c>
      <c r="P25" s="27">
        <f>IF(ISNUMBER('IAP Correction'!P25),'IAP Current'!P25*('IAP Correction'!P25+1),'IAP Current'!P25)</f>
        <v>89</v>
      </c>
      <c r="Q25" s="27">
        <f>IF(ISNUMBER('IAP Correction'!Q25),'IAP Current'!Q25*('IAP Correction'!Q25+1),'IAP Current'!Q25)</f>
        <v>94</v>
      </c>
      <c r="R25" s="27">
        <f>IF(ISNUMBER('IAP Correction'!R25),'IAP Current'!R25*('IAP Correction'!R25+1),'IAP Current'!R25)</f>
        <v>103</v>
      </c>
      <c r="S25" s="27">
        <f>IF(ISNUMBER('IAP Correction'!S25),'IAP Current'!S25*('IAP Correction'!S25+1),'IAP Current'!S25)</f>
        <v>111</v>
      </c>
      <c r="T25" s="27">
        <f>IF(ISNUMBER('IAP Correction'!T25),'IAP Current'!T25*('IAP Correction'!T25+1),'IAP Current'!T25)</f>
        <v>130</v>
      </c>
      <c r="U25" s="27">
        <f>IF(ISNUMBER('IAP Correction'!U25),'IAP Current'!U25*('IAP Correction'!U25+1),'IAP Current'!U25)</f>
        <v>174</v>
      </c>
      <c r="V25" s="27">
        <f>IF(ISNUMBER('IAP Correction'!V25),'IAP Current'!V25*('IAP Correction'!V25+1),'IAP Current'!V25)</f>
        <v>196</v>
      </c>
    </row>
    <row r="26" spans="1:22" x14ac:dyDescent="0.25">
      <c r="A26" s="15">
        <v>6000</v>
      </c>
      <c r="B26" s="27">
        <f>IF(ISNUMBER('IAP Correction'!B26),'IAP Current'!B26*('IAP Correction'!B26+1),'IAP Current'!B26)</f>
        <v>32</v>
      </c>
      <c r="C26" s="27">
        <f>IF(ISNUMBER('IAP Correction'!C26),'IAP Current'!C26*('IAP Correction'!C26+1),'IAP Current'!C26)</f>
        <v>36</v>
      </c>
      <c r="D26" s="27">
        <f>IF(ISNUMBER('IAP Correction'!D26),'IAP Current'!D26*('IAP Correction'!D26+1),'IAP Current'!D26)</f>
        <v>40</v>
      </c>
      <c r="E26" s="27">
        <f>IF(ISNUMBER('IAP Correction'!E26),'IAP Current'!E26*('IAP Correction'!E26+1),'IAP Current'!E26)</f>
        <v>50</v>
      </c>
      <c r="F26" s="27">
        <f>IF(ISNUMBER('IAP Correction'!F26),'IAP Current'!F26*('IAP Correction'!F26+1),'IAP Current'!F26)</f>
        <v>51</v>
      </c>
      <c r="G26" s="27">
        <f>IF(ISNUMBER('IAP Correction'!G26),'IAP Current'!G26*('IAP Correction'!G26+1),'IAP Current'!G26)</f>
        <v>58</v>
      </c>
      <c r="H26" s="27">
        <f>IF(ISNUMBER('IAP Correction'!H26),'IAP Current'!H26*('IAP Correction'!H26+1),'IAP Current'!H26)</f>
        <v>63</v>
      </c>
      <c r="I26" s="27">
        <f>IF(ISNUMBER('IAP Correction'!I26),'IAP Current'!I26*('IAP Correction'!I26+1),'IAP Current'!I26)</f>
        <v>65</v>
      </c>
      <c r="J26" s="27">
        <f>IF(ISNUMBER('IAP Correction'!J26),'IAP Current'!J26*('IAP Correction'!J26+1),'IAP Current'!J26)</f>
        <v>68</v>
      </c>
      <c r="K26" s="27">
        <f>IF(ISNUMBER('IAP Correction'!K26),'IAP Current'!K26*('IAP Correction'!K26+1),'IAP Current'!K26)</f>
        <v>70</v>
      </c>
      <c r="L26" s="27">
        <f>IF(ISNUMBER('IAP Correction'!L26),'IAP Current'!L26*('IAP Correction'!L26+1),'IAP Current'!L26)</f>
        <v>74</v>
      </c>
      <c r="M26" s="27">
        <f>IF(ISNUMBER('IAP Correction'!M26),'IAP Current'!M26*('IAP Correction'!M26+1),'IAP Current'!M26)</f>
        <v>75</v>
      </c>
      <c r="N26" s="27">
        <f>IF(ISNUMBER('IAP Correction'!N26),'IAP Current'!N26*('IAP Correction'!N26+1),'IAP Current'!N26)</f>
        <v>79</v>
      </c>
      <c r="O26" s="27">
        <f>IF(ISNUMBER('IAP Correction'!O26),'IAP Current'!O26*('IAP Correction'!O26+1),'IAP Current'!O26)</f>
        <v>83</v>
      </c>
      <c r="P26" s="27">
        <f>IF(ISNUMBER('IAP Correction'!P26),'IAP Current'!P26*('IAP Correction'!P26+1),'IAP Current'!P26)</f>
        <v>91</v>
      </c>
      <c r="Q26" s="27">
        <f>IF(ISNUMBER('IAP Correction'!Q26),'IAP Current'!Q26*('IAP Correction'!Q26+1),'IAP Current'!Q26)</f>
        <v>96</v>
      </c>
      <c r="R26" s="27">
        <f>IF(ISNUMBER('IAP Correction'!R26),'IAP Current'!R26*('IAP Correction'!R26+1),'IAP Current'!R26)</f>
        <v>107</v>
      </c>
      <c r="S26" s="27">
        <f>IF(ISNUMBER('IAP Correction'!S26),'IAP Current'!S26*('IAP Correction'!S26+1),'IAP Current'!S26)</f>
        <v>116</v>
      </c>
      <c r="T26" s="27">
        <f>IF(ISNUMBER('IAP Correction'!T26),'IAP Current'!T26*('IAP Correction'!T26+1),'IAP Current'!T26)</f>
        <v>132</v>
      </c>
      <c r="U26" s="27">
        <f>IF(ISNUMBER('IAP Correction'!U26),'IAP Current'!U26*('IAP Correction'!U26+1),'IAP Current'!U26)</f>
        <v>181</v>
      </c>
      <c r="V26" s="27">
        <f>IF(ISNUMBER('IAP Correction'!V26),'IAP Current'!V26*('IAP Correction'!V26+1),'IAP Current'!V26)</f>
        <v>204</v>
      </c>
    </row>
    <row r="27" spans="1:22" x14ac:dyDescent="0.25">
      <c r="A27" s="15">
        <v>6400</v>
      </c>
      <c r="B27" s="27">
        <f>IF(ISNUMBER('IAP Correction'!B27),'IAP Current'!B27*('IAP Correction'!B27+1),'IAP Current'!B27)</f>
        <v>32</v>
      </c>
      <c r="C27" s="27">
        <f>IF(ISNUMBER('IAP Correction'!C27),'IAP Current'!C27*('IAP Correction'!C27+1),'IAP Current'!C27)</f>
        <v>36</v>
      </c>
      <c r="D27" s="27">
        <f>IF(ISNUMBER('IAP Correction'!D27),'IAP Current'!D27*('IAP Correction'!D27+1),'IAP Current'!D27)</f>
        <v>40</v>
      </c>
      <c r="E27" s="27">
        <f>IF(ISNUMBER('IAP Correction'!E27),'IAP Current'!E27*('IAP Correction'!E27+1),'IAP Current'!E27)</f>
        <v>49</v>
      </c>
      <c r="F27" s="27">
        <f>IF(ISNUMBER('IAP Correction'!F27),'IAP Current'!F27*('IAP Correction'!F27+1),'IAP Current'!F27)</f>
        <v>51</v>
      </c>
      <c r="G27" s="27">
        <f>IF(ISNUMBER('IAP Correction'!G27),'IAP Current'!G27*('IAP Correction'!G27+1),'IAP Current'!G27)</f>
        <v>58</v>
      </c>
      <c r="H27" s="27">
        <f>IF(ISNUMBER('IAP Correction'!H27),'IAP Current'!H27*('IAP Correction'!H27+1),'IAP Current'!H27)</f>
        <v>63</v>
      </c>
      <c r="I27" s="27">
        <f>IF(ISNUMBER('IAP Correction'!I27),'IAP Current'!I27*('IAP Correction'!I27+1),'IAP Current'!I27)</f>
        <v>67</v>
      </c>
      <c r="J27" s="27">
        <f>IF(ISNUMBER('IAP Correction'!J27),'IAP Current'!J27*('IAP Correction'!J27+1),'IAP Current'!J27)</f>
        <v>70</v>
      </c>
      <c r="K27" s="27">
        <f>IF(ISNUMBER('IAP Correction'!K27),'IAP Current'!K27*('IAP Correction'!K27+1),'IAP Current'!K27)</f>
        <v>72</v>
      </c>
      <c r="L27" s="27">
        <f>IF(ISNUMBER('IAP Correction'!L27),'IAP Current'!L27*('IAP Correction'!L27+1),'IAP Current'!L27)</f>
        <v>75</v>
      </c>
      <c r="M27" s="27">
        <f>IF(ISNUMBER('IAP Correction'!M27),'IAP Current'!M27*('IAP Correction'!M27+1),'IAP Current'!M27)</f>
        <v>79</v>
      </c>
      <c r="N27" s="27">
        <f>IF(ISNUMBER('IAP Correction'!N27),'IAP Current'!N27*('IAP Correction'!N27+1),'IAP Current'!N27)</f>
        <v>83</v>
      </c>
      <c r="O27" s="27">
        <f>IF(ISNUMBER('IAP Correction'!O27),'IAP Current'!O27*('IAP Correction'!O27+1),'IAP Current'!O27)</f>
        <v>87</v>
      </c>
      <c r="P27" s="27">
        <f>IF(ISNUMBER('IAP Correction'!P27),'IAP Current'!P27*('IAP Correction'!P27+1),'IAP Current'!P27)</f>
        <v>93</v>
      </c>
      <c r="Q27" s="27">
        <f>IF(ISNUMBER('IAP Correction'!Q27),'IAP Current'!Q27*('IAP Correction'!Q27+1),'IAP Current'!Q27)</f>
        <v>97</v>
      </c>
      <c r="R27" s="27">
        <f>IF(ISNUMBER('IAP Correction'!R27),'IAP Current'!R27*('IAP Correction'!R27+1),'IAP Current'!R27)</f>
        <v>107</v>
      </c>
      <c r="S27" s="27">
        <f>IF(ISNUMBER('IAP Correction'!S27),'IAP Current'!S27*('IAP Correction'!S27+1),'IAP Current'!S27)</f>
        <v>117</v>
      </c>
      <c r="T27" s="27">
        <f>IF(ISNUMBER('IAP Correction'!T27),'IAP Current'!T27*('IAP Correction'!T27+1),'IAP Current'!T27)</f>
        <v>135</v>
      </c>
      <c r="U27" s="27">
        <f>IF(ISNUMBER('IAP Correction'!U27),'IAP Current'!U27*('IAP Correction'!U27+1),'IAP Current'!U27)</f>
        <v>187</v>
      </c>
      <c r="V27" s="27">
        <f>IF(ISNUMBER('IAP Correction'!V27),'IAP Current'!V27*('IAP Correction'!V27+1),'IAP Current'!V27)</f>
        <v>208</v>
      </c>
    </row>
    <row r="28" spans="1:22" x14ac:dyDescent="0.25">
      <c r="A28" s="15">
        <v>6800</v>
      </c>
      <c r="B28" s="27">
        <f>IF(ISNUMBER('IAP Correction'!B28),'IAP Current'!B28*('IAP Correction'!B28+1),'IAP Current'!B28)</f>
        <v>32</v>
      </c>
      <c r="C28" s="27">
        <f>IF(ISNUMBER('IAP Correction'!C28),'IAP Current'!C28*('IAP Correction'!C28+1),'IAP Current'!C28)</f>
        <v>36</v>
      </c>
      <c r="D28" s="27">
        <f>IF(ISNUMBER('IAP Correction'!D28),'IAP Current'!D28*('IAP Correction'!D28+1),'IAP Current'!D28)</f>
        <v>40</v>
      </c>
      <c r="E28" s="27">
        <f>IF(ISNUMBER('IAP Correction'!E28),'IAP Current'!E28*('IAP Correction'!E28+1),'IAP Current'!E28)</f>
        <v>48</v>
      </c>
      <c r="F28" s="27">
        <f>IF(ISNUMBER('IAP Correction'!F28),'IAP Current'!F28*('IAP Correction'!F28+1),'IAP Current'!F28)</f>
        <v>51</v>
      </c>
      <c r="G28" s="27">
        <f>IF(ISNUMBER('IAP Correction'!G28),'IAP Current'!G28*('IAP Correction'!G28+1),'IAP Current'!G28)</f>
        <v>58</v>
      </c>
      <c r="H28" s="27">
        <f>IF(ISNUMBER('IAP Correction'!H28),'IAP Current'!H28*('IAP Correction'!H28+1),'IAP Current'!H28)</f>
        <v>63</v>
      </c>
      <c r="I28" s="27">
        <f>IF(ISNUMBER('IAP Correction'!I28),'IAP Current'!I28*('IAP Correction'!I28+1),'IAP Current'!I28)</f>
        <v>68</v>
      </c>
      <c r="J28" s="27">
        <f>IF(ISNUMBER('IAP Correction'!J28),'IAP Current'!J28*('IAP Correction'!J28+1),'IAP Current'!J28)</f>
        <v>72</v>
      </c>
      <c r="K28" s="27">
        <f>IF(ISNUMBER('IAP Correction'!K28),'IAP Current'!K28*('IAP Correction'!K28+1),'IAP Current'!K28)</f>
        <v>75</v>
      </c>
      <c r="L28" s="27">
        <f>IF(ISNUMBER('IAP Correction'!L28),'IAP Current'!L28*('IAP Correction'!L28+1),'IAP Current'!L28)</f>
        <v>78</v>
      </c>
      <c r="M28" s="27">
        <f>IF(ISNUMBER('IAP Correction'!M28),'IAP Current'!M28*('IAP Correction'!M28+1),'IAP Current'!M28)</f>
        <v>82</v>
      </c>
      <c r="N28" s="27">
        <f>IF(ISNUMBER('IAP Correction'!N28),'IAP Current'!N28*('IAP Correction'!N28+1),'IAP Current'!N28)</f>
        <v>85</v>
      </c>
      <c r="O28" s="27">
        <f>IF(ISNUMBER('IAP Correction'!O28),'IAP Current'!O28*('IAP Correction'!O28+1),'IAP Current'!O28)</f>
        <v>90</v>
      </c>
      <c r="P28" s="27">
        <f>IF(ISNUMBER('IAP Correction'!P28),'IAP Current'!P28*('IAP Correction'!P28+1),'IAP Current'!P28)</f>
        <v>94</v>
      </c>
      <c r="Q28" s="27">
        <f>IF(ISNUMBER('IAP Correction'!Q28),'IAP Current'!Q28*('IAP Correction'!Q28+1),'IAP Current'!Q28)</f>
        <v>98</v>
      </c>
      <c r="R28" s="27">
        <f>IF(ISNUMBER('IAP Correction'!R28),'IAP Current'!R28*('IAP Correction'!R28+1),'IAP Current'!R28)</f>
        <v>108</v>
      </c>
      <c r="S28" s="27">
        <f>IF(ISNUMBER('IAP Correction'!S28),'IAP Current'!S28*('IAP Correction'!S28+1),'IAP Current'!S28)</f>
        <v>118</v>
      </c>
      <c r="T28" s="27">
        <f>IF(ISNUMBER('IAP Correction'!T28),'IAP Current'!T28*('IAP Correction'!T28+1),'IAP Current'!T28)</f>
        <v>139</v>
      </c>
      <c r="U28" s="27">
        <f>IF(ISNUMBER('IAP Correction'!U28),'IAP Current'!U28*('IAP Correction'!U28+1),'IAP Current'!U28)</f>
        <v>195</v>
      </c>
      <c r="V28" s="27">
        <f>IF(ISNUMBER('IAP Correction'!V28),'IAP Current'!V28*('IAP Correction'!V28+1),'IAP Current'!V28)</f>
        <v>215</v>
      </c>
    </row>
    <row r="29" spans="1:22" x14ac:dyDescent="0.25">
      <c r="A29" s="15">
        <v>7200</v>
      </c>
      <c r="B29" s="27">
        <f>IF(ISNUMBER('IAP Correction'!B29),'IAP Current'!B29*('IAP Correction'!B29+1),'IAP Current'!B29)</f>
        <v>32</v>
      </c>
      <c r="C29" s="27">
        <f>IF(ISNUMBER('IAP Correction'!C29),'IAP Current'!C29*('IAP Correction'!C29+1),'IAP Current'!C29)</f>
        <v>36</v>
      </c>
      <c r="D29" s="27">
        <f>IF(ISNUMBER('IAP Correction'!D29),'IAP Current'!D29*('IAP Correction'!D29+1),'IAP Current'!D29)</f>
        <v>40</v>
      </c>
      <c r="E29" s="27">
        <f>IF(ISNUMBER('IAP Correction'!E29),'IAP Current'!E29*('IAP Correction'!E29+1),'IAP Current'!E29)</f>
        <v>48</v>
      </c>
      <c r="F29" s="27">
        <f>IF(ISNUMBER('IAP Correction'!F29),'IAP Current'!F29*('IAP Correction'!F29+1),'IAP Current'!F29)</f>
        <v>51</v>
      </c>
      <c r="G29" s="27">
        <f>IF(ISNUMBER('IAP Correction'!G29),'IAP Current'!G29*('IAP Correction'!G29+1),'IAP Current'!G29)</f>
        <v>58</v>
      </c>
      <c r="H29" s="27">
        <f>IF(ISNUMBER('IAP Correction'!H29),'IAP Current'!H29*('IAP Correction'!H29+1),'IAP Current'!H29)</f>
        <v>63</v>
      </c>
      <c r="I29" s="27">
        <f>IF(ISNUMBER('IAP Correction'!I29),'IAP Current'!I29*('IAP Correction'!I29+1),'IAP Current'!I29)</f>
        <v>69</v>
      </c>
      <c r="J29" s="27">
        <f>IF(ISNUMBER('IAP Correction'!J29),'IAP Current'!J29*('IAP Correction'!J29+1),'IAP Current'!J29)</f>
        <v>74</v>
      </c>
      <c r="K29" s="27">
        <f>IF(ISNUMBER('IAP Correction'!K29),'IAP Current'!K29*('IAP Correction'!K29+1),'IAP Current'!K29)</f>
        <v>75</v>
      </c>
      <c r="L29" s="27">
        <f>IF(ISNUMBER('IAP Correction'!L29),'IAP Current'!L29*('IAP Correction'!L29+1),'IAP Current'!L29)</f>
        <v>79</v>
      </c>
      <c r="M29" s="27">
        <f>IF(ISNUMBER('IAP Correction'!M29),'IAP Current'!M29*('IAP Correction'!M29+1),'IAP Current'!M29)</f>
        <v>82</v>
      </c>
      <c r="N29" s="27">
        <f>IF(ISNUMBER('IAP Correction'!N29),'IAP Current'!N29*('IAP Correction'!N29+1),'IAP Current'!N29)</f>
        <v>86</v>
      </c>
      <c r="O29" s="27">
        <f>IF(ISNUMBER('IAP Correction'!O29),'IAP Current'!O29*('IAP Correction'!O29+1),'IAP Current'!O29)</f>
        <v>90</v>
      </c>
      <c r="P29" s="27">
        <f>IF(ISNUMBER('IAP Correction'!P29),'IAP Current'!P29*('IAP Correction'!P29+1),'IAP Current'!P29)</f>
        <v>94</v>
      </c>
      <c r="Q29" s="27">
        <f>IF(ISNUMBER('IAP Correction'!Q29),'IAP Current'!Q29*('IAP Correction'!Q29+1),'IAP Current'!Q29)</f>
        <v>98</v>
      </c>
      <c r="R29" s="27">
        <f>IF(ISNUMBER('IAP Correction'!R29),'IAP Current'!R29*('IAP Correction'!R29+1),'IAP Current'!R29)</f>
        <v>108</v>
      </c>
      <c r="S29" s="27">
        <f>IF(ISNUMBER('IAP Correction'!S29),'IAP Current'!S29*('IAP Correction'!S29+1),'IAP Current'!S29)</f>
        <v>118</v>
      </c>
      <c r="T29" s="27">
        <f>IF(ISNUMBER('IAP Correction'!T29),'IAP Current'!T29*('IAP Correction'!T29+1),'IAP Current'!T29)</f>
        <v>141</v>
      </c>
      <c r="U29" s="27">
        <f>IF(ISNUMBER('IAP Correction'!U29),'IAP Current'!U29*('IAP Correction'!U29+1),'IAP Current'!U29)</f>
        <v>204</v>
      </c>
      <c r="V29" s="27">
        <f>IF(ISNUMBER('IAP Correction'!V29),'IAP Current'!V29*('IAP Correction'!V29+1),'IAP Current'!V29)</f>
        <v>225</v>
      </c>
    </row>
    <row r="30" spans="1:22" x14ac:dyDescent="0.25">
      <c r="A30" s="15">
        <v>7600</v>
      </c>
      <c r="B30" s="27">
        <f>IF(ISNUMBER('IAP Correction'!B30),'IAP Current'!B30*('IAP Correction'!B30+1),'IAP Current'!B30)</f>
        <v>32</v>
      </c>
      <c r="C30" s="27">
        <f>IF(ISNUMBER('IAP Correction'!C30),'IAP Current'!C30*('IAP Correction'!C30+1),'IAP Current'!C30)</f>
        <v>36</v>
      </c>
      <c r="D30" s="27">
        <f>IF(ISNUMBER('IAP Correction'!D30),'IAP Current'!D30*('IAP Correction'!D30+1),'IAP Current'!D30)</f>
        <v>40</v>
      </c>
      <c r="E30" s="27">
        <f>IF(ISNUMBER('IAP Correction'!E30),'IAP Current'!E30*('IAP Correction'!E30+1),'IAP Current'!E30)</f>
        <v>48</v>
      </c>
      <c r="F30" s="27">
        <f>IF(ISNUMBER('IAP Correction'!F30),'IAP Current'!F30*('IAP Correction'!F30+1),'IAP Current'!F30)</f>
        <v>51</v>
      </c>
      <c r="G30" s="27">
        <f>IF(ISNUMBER('IAP Correction'!G30),'IAP Current'!G30*('IAP Correction'!G30+1),'IAP Current'!G30)</f>
        <v>58</v>
      </c>
      <c r="H30" s="27">
        <f>IF(ISNUMBER('IAP Correction'!H30),'IAP Current'!H30*('IAP Correction'!H30+1),'IAP Current'!H30)</f>
        <v>63</v>
      </c>
      <c r="I30" s="27">
        <f>IF(ISNUMBER('IAP Correction'!I30),'IAP Current'!I30*('IAP Correction'!I30+1),'IAP Current'!I30)</f>
        <v>69</v>
      </c>
      <c r="J30" s="27">
        <f>IF(ISNUMBER('IAP Correction'!J30),'IAP Current'!J30*('IAP Correction'!J30+1),'IAP Current'!J30)</f>
        <v>71</v>
      </c>
      <c r="K30" s="27">
        <f>IF(ISNUMBER('IAP Correction'!K30),'IAP Current'!K30*('IAP Correction'!K30+1),'IAP Current'!K30)</f>
        <v>75</v>
      </c>
      <c r="L30" s="27">
        <f>IF(ISNUMBER('IAP Correction'!L30),'IAP Current'!L30*('IAP Correction'!L30+1),'IAP Current'!L30)</f>
        <v>79</v>
      </c>
      <c r="M30" s="27">
        <f>IF(ISNUMBER('IAP Correction'!M30),'IAP Current'!M30*('IAP Correction'!M30+1),'IAP Current'!M30)</f>
        <v>82</v>
      </c>
      <c r="N30" s="27">
        <f>IF(ISNUMBER('IAP Correction'!N30),'IAP Current'!N30*('IAP Correction'!N30+1),'IAP Current'!N30)</f>
        <v>86</v>
      </c>
      <c r="O30" s="27">
        <f>IF(ISNUMBER('IAP Correction'!O30),'IAP Current'!O30*('IAP Correction'!O30+1),'IAP Current'!O30)</f>
        <v>89</v>
      </c>
      <c r="P30" s="27">
        <f>IF(ISNUMBER('IAP Correction'!P30),'IAP Current'!P30*('IAP Correction'!P30+1),'IAP Current'!P30)</f>
        <v>93</v>
      </c>
      <c r="Q30" s="27">
        <f>IF(ISNUMBER('IAP Correction'!Q30),'IAP Current'!Q30*('IAP Correction'!Q30+1),'IAP Current'!Q30)</f>
        <v>99</v>
      </c>
      <c r="R30" s="27">
        <f>IF(ISNUMBER('IAP Correction'!R30),'IAP Current'!R30*('IAP Correction'!R30+1),'IAP Current'!R30)</f>
        <v>108</v>
      </c>
      <c r="S30" s="27">
        <f>IF(ISNUMBER('IAP Correction'!S30),'IAP Current'!S30*('IAP Correction'!S30+1),'IAP Current'!S30)</f>
        <v>118</v>
      </c>
      <c r="T30" s="27">
        <f>IF(ISNUMBER('IAP Correction'!T30),'IAP Current'!T30*('IAP Correction'!T30+1),'IAP Current'!T30)</f>
        <v>139</v>
      </c>
      <c r="U30" s="27">
        <f>IF(ISNUMBER('IAP Correction'!U30),'IAP Current'!U30*('IAP Correction'!U30+1),'IAP Current'!U30)</f>
        <v>205</v>
      </c>
      <c r="V30" s="27">
        <f>IF(ISNUMBER('IAP Correction'!V30),'IAP Current'!V30*('IAP Correction'!V30+1),'IAP Current'!V30)</f>
        <v>228</v>
      </c>
    </row>
    <row r="31" spans="1:22" x14ac:dyDescent="0.25">
      <c r="A31" s="15">
        <v>8000</v>
      </c>
      <c r="B31" s="27">
        <f>IF(ISNUMBER('IAP Correction'!B31),'IAP Current'!B31*('IAP Correction'!B31+1),'IAP Current'!B31)</f>
        <v>32</v>
      </c>
      <c r="C31" s="27">
        <f>IF(ISNUMBER('IAP Correction'!C31),'IAP Current'!C31*('IAP Correction'!C31+1),'IAP Current'!C31)</f>
        <v>36</v>
      </c>
      <c r="D31" s="27">
        <f>IF(ISNUMBER('IAP Correction'!D31),'IAP Current'!D31*('IAP Correction'!D31+1),'IAP Current'!D31)</f>
        <v>40</v>
      </c>
      <c r="E31" s="27">
        <f>IF(ISNUMBER('IAP Correction'!E31),'IAP Current'!E31*('IAP Correction'!E31+1),'IAP Current'!E31)</f>
        <v>48</v>
      </c>
      <c r="F31" s="27">
        <f>IF(ISNUMBER('IAP Correction'!F31),'IAP Current'!F31*('IAP Correction'!F31+1),'IAP Current'!F31)</f>
        <v>52</v>
      </c>
      <c r="G31" s="27">
        <f>IF(ISNUMBER('IAP Correction'!G31),'IAP Current'!G31*('IAP Correction'!G31+1),'IAP Current'!G31)</f>
        <v>58</v>
      </c>
      <c r="H31" s="27">
        <f>IF(ISNUMBER('IAP Correction'!H31),'IAP Current'!H31*('IAP Correction'!H31+1),'IAP Current'!H31)</f>
        <v>62</v>
      </c>
      <c r="I31" s="27">
        <f>IF(ISNUMBER('IAP Correction'!I31),'IAP Current'!I31*('IAP Correction'!I31+1),'IAP Current'!I31)</f>
        <v>67</v>
      </c>
      <c r="J31" s="27">
        <f>IF(ISNUMBER('IAP Correction'!J31),'IAP Current'!J31*('IAP Correction'!J31+1),'IAP Current'!J31)</f>
        <v>71</v>
      </c>
      <c r="K31" s="27">
        <f>IF(ISNUMBER('IAP Correction'!K31),'IAP Current'!K31*('IAP Correction'!K31+1),'IAP Current'!K31)</f>
        <v>75</v>
      </c>
      <c r="L31" s="27">
        <f>IF(ISNUMBER('IAP Correction'!L31),'IAP Current'!L31*('IAP Correction'!L31+1),'IAP Current'!L31)</f>
        <v>79</v>
      </c>
      <c r="M31" s="27">
        <f>IF(ISNUMBER('IAP Correction'!M31),'IAP Current'!M31*('IAP Correction'!M31+1),'IAP Current'!M31)</f>
        <v>82</v>
      </c>
      <c r="N31" s="27">
        <f>IF(ISNUMBER('IAP Correction'!N31),'IAP Current'!N31*('IAP Correction'!N31+1),'IAP Current'!N31)</f>
        <v>85</v>
      </c>
      <c r="O31" s="27">
        <f>IF(ISNUMBER('IAP Correction'!O31),'IAP Current'!O31*('IAP Correction'!O31+1),'IAP Current'!O31)</f>
        <v>89</v>
      </c>
      <c r="P31" s="27">
        <f>IF(ISNUMBER('IAP Correction'!P31),'IAP Current'!P31*('IAP Correction'!P31+1),'IAP Current'!P31)</f>
        <v>92</v>
      </c>
      <c r="Q31" s="27">
        <f>IF(ISNUMBER('IAP Correction'!Q31),'IAP Current'!Q31*('IAP Correction'!Q31+1),'IAP Current'!Q31)</f>
        <v>99</v>
      </c>
      <c r="R31" s="27">
        <f>IF(ISNUMBER('IAP Correction'!R31),'IAP Current'!R31*('IAP Correction'!R31+1),'IAP Current'!R31)</f>
        <v>109</v>
      </c>
      <c r="S31" s="27">
        <f>IF(ISNUMBER('IAP Correction'!S31),'IAP Current'!S31*('IAP Correction'!S31+1),'IAP Current'!S31)</f>
        <v>120</v>
      </c>
      <c r="T31" s="27">
        <f>IF(ISNUMBER('IAP Correction'!T31),'IAP Current'!T31*('IAP Correction'!T31+1),'IAP Current'!T31)</f>
        <v>140</v>
      </c>
      <c r="U31" s="27">
        <f>IF(ISNUMBER('IAP Correction'!U31),'IAP Current'!U31*('IAP Correction'!U31+1),'IAP Current'!U31)</f>
        <v>206</v>
      </c>
      <c r="V31" s="27">
        <f>IF(ISNUMBER('IAP Correction'!V31),'IAP Current'!V31*('IAP Correction'!V31+1),'IAP Current'!V31)</f>
        <v>231</v>
      </c>
    </row>
    <row r="32" spans="1:22" x14ac:dyDescent="0.25">
      <c r="A32" s="15">
        <v>8400</v>
      </c>
      <c r="B32" s="27">
        <f>IF(ISNUMBER('IAP Correction'!B32),'IAP Current'!B32*('IAP Correction'!B32+1),'IAP Current'!B32)</f>
        <v>32</v>
      </c>
      <c r="C32" s="27">
        <f>IF(ISNUMBER('IAP Correction'!C32),'IAP Current'!C32*('IAP Correction'!C32+1),'IAP Current'!C32)</f>
        <v>36</v>
      </c>
      <c r="D32" s="27">
        <f>IF(ISNUMBER('IAP Correction'!D32),'IAP Current'!D32*('IAP Correction'!D32+1),'IAP Current'!D32)</f>
        <v>39</v>
      </c>
      <c r="E32" s="27">
        <f>IF(ISNUMBER('IAP Correction'!E32),'IAP Current'!E32*('IAP Correction'!E32+1),'IAP Current'!E32)</f>
        <v>48</v>
      </c>
      <c r="F32" s="27">
        <f>IF(ISNUMBER('IAP Correction'!F32),'IAP Current'!F32*('IAP Correction'!F32+1),'IAP Current'!F32)</f>
        <v>52</v>
      </c>
      <c r="G32" s="27">
        <f>IF(ISNUMBER('IAP Correction'!G32),'IAP Current'!G32*('IAP Correction'!G32+1),'IAP Current'!G32)</f>
        <v>61</v>
      </c>
      <c r="H32" s="27">
        <f>IF(ISNUMBER('IAP Correction'!H32),'IAP Current'!H32*('IAP Correction'!H32+1),'IAP Current'!H32)</f>
        <v>63</v>
      </c>
      <c r="I32" s="27">
        <f>IF(ISNUMBER('IAP Correction'!I32),'IAP Current'!I32*('IAP Correction'!I32+1),'IAP Current'!I32)</f>
        <v>67</v>
      </c>
      <c r="J32" s="27">
        <f>IF(ISNUMBER('IAP Correction'!J32),'IAP Current'!J32*('IAP Correction'!J32+1),'IAP Current'!J32)</f>
        <v>71</v>
      </c>
      <c r="K32" s="27">
        <f>IF(ISNUMBER('IAP Correction'!K32),'IAP Current'!K32*('IAP Correction'!K32+1),'IAP Current'!K32)</f>
        <v>75</v>
      </c>
      <c r="L32" s="27">
        <f>IF(ISNUMBER('IAP Correction'!L32),'IAP Current'!L32*('IAP Correction'!L32+1),'IAP Current'!L32)</f>
        <v>79</v>
      </c>
      <c r="M32" s="27">
        <f>IF(ISNUMBER('IAP Correction'!M32),'IAP Current'!M32*('IAP Correction'!M32+1),'IAP Current'!M32)</f>
        <v>82</v>
      </c>
      <c r="N32" s="27">
        <f>IF(ISNUMBER('IAP Correction'!N32),'IAP Current'!N32*('IAP Correction'!N32+1),'IAP Current'!N32)</f>
        <v>85</v>
      </c>
      <c r="O32" s="27">
        <f>IF(ISNUMBER('IAP Correction'!O32),'IAP Current'!O32*('IAP Correction'!O32+1),'IAP Current'!O32)</f>
        <v>89</v>
      </c>
      <c r="P32" s="27">
        <f>IF(ISNUMBER('IAP Correction'!P32),'IAP Current'!P32*('IAP Correction'!P32+1),'IAP Current'!P32)</f>
        <v>93</v>
      </c>
      <c r="Q32" s="27">
        <f>IF(ISNUMBER('IAP Correction'!Q32),'IAP Current'!Q32*('IAP Correction'!Q32+1),'IAP Current'!Q32)</f>
        <v>102</v>
      </c>
      <c r="R32" s="27">
        <f>IF(ISNUMBER('IAP Correction'!R32),'IAP Current'!R32*('IAP Correction'!R32+1),'IAP Current'!R32)</f>
        <v>109</v>
      </c>
      <c r="S32" s="27">
        <f>IF(ISNUMBER('IAP Correction'!S32),'IAP Current'!S32*('IAP Correction'!S32+1),'IAP Current'!S32)</f>
        <v>122</v>
      </c>
      <c r="T32" s="27">
        <f>IF(ISNUMBER('IAP Correction'!T32),'IAP Current'!T32*('IAP Correction'!T32+1),'IAP Current'!T32)</f>
        <v>149</v>
      </c>
      <c r="U32" s="27">
        <f>IF(ISNUMBER('IAP Correction'!U32),'IAP Current'!U32*('IAP Correction'!U32+1),'IAP Current'!U32)</f>
        <v>206</v>
      </c>
      <c r="V32" s="27">
        <f>IF(ISNUMBER('IAP Correction'!V32),'IAP Current'!V32*('IAP Correction'!V32+1),'IAP Current'!V32)</f>
        <v>231</v>
      </c>
    </row>
    <row r="33" spans="1:22" x14ac:dyDescent="0.25">
      <c r="A33" s="15">
        <v>8800</v>
      </c>
      <c r="B33" s="27">
        <f>IF(ISNUMBER('IAP Correction'!B33),'IAP Current'!B33*('IAP Correction'!B33+1),'IAP Current'!B33)</f>
        <v>32</v>
      </c>
      <c r="C33" s="27">
        <f>IF(ISNUMBER('IAP Correction'!C33),'IAP Current'!C33*('IAP Correction'!C33+1),'IAP Current'!C33)</f>
        <v>36</v>
      </c>
      <c r="D33" s="27">
        <f>IF(ISNUMBER('IAP Correction'!D33),'IAP Current'!D33*('IAP Correction'!D33+1),'IAP Current'!D33)</f>
        <v>39</v>
      </c>
      <c r="E33" s="27">
        <f>IF(ISNUMBER('IAP Correction'!E33),'IAP Current'!E33*('IAP Correction'!E33+1),'IAP Current'!E33)</f>
        <v>50</v>
      </c>
      <c r="F33" s="27">
        <f>IF(ISNUMBER('IAP Correction'!F33),'IAP Current'!F33*('IAP Correction'!F33+1),'IAP Current'!F33)</f>
        <v>57</v>
      </c>
      <c r="G33" s="27">
        <f>IF(ISNUMBER('IAP Correction'!G33),'IAP Current'!G33*('IAP Correction'!G33+1),'IAP Current'!G33)</f>
        <v>61</v>
      </c>
      <c r="H33" s="27">
        <f>IF(ISNUMBER('IAP Correction'!H33),'IAP Current'!H33*('IAP Correction'!H33+1),'IAP Current'!H33)</f>
        <v>63</v>
      </c>
      <c r="I33" s="27">
        <f>IF(ISNUMBER('IAP Correction'!I33),'IAP Current'!I33*('IAP Correction'!I33+1),'IAP Current'!I33)</f>
        <v>67</v>
      </c>
      <c r="J33" s="27">
        <f>IF(ISNUMBER('IAP Correction'!J33),'IAP Current'!J33*('IAP Correction'!J33+1),'IAP Current'!J33)</f>
        <v>71</v>
      </c>
      <c r="K33" s="27">
        <f>IF(ISNUMBER('IAP Correction'!K33),'IAP Current'!K33*('IAP Correction'!K33+1),'IAP Current'!K33)</f>
        <v>75</v>
      </c>
      <c r="L33" s="27">
        <f>IF(ISNUMBER('IAP Correction'!L33),'IAP Current'!L33*('IAP Correction'!L33+1),'IAP Current'!L33)</f>
        <v>79</v>
      </c>
      <c r="M33" s="27">
        <f>IF(ISNUMBER('IAP Correction'!M33),'IAP Current'!M33*('IAP Correction'!M33+1),'IAP Current'!M33)</f>
        <v>82</v>
      </c>
      <c r="N33" s="27">
        <f>IF(ISNUMBER('IAP Correction'!N33),'IAP Current'!N33*('IAP Correction'!N33+1),'IAP Current'!N33)</f>
        <v>85</v>
      </c>
      <c r="O33" s="27">
        <f>IF(ISNUMBER('IAP Correction'!O33),'IAP Current'!O33*('IAP Correction'!O33+1),'IAP Current'!O33)</f>
        <v>88</v>
      </c>
      <c r="P33" s="27">
        <f>IF(ISNUMBER('IAP Correction'!P33),'IAP Current'!P33*('IAP Correction'!P33+1),'IAP Current'!P33)</f>
        <v>93</v>
      </c>
      <c r="Q33" s="27">
        <f>IF(ISNUMBER('IAP Correction'!Q33),'IAP Current'!Q33*('IAP Correction'!Q33+1),'IAP Current'!Q33)</f>
        <v>102</v>
      </c>
      <c r="R33" s="27">
        <f>IF(ISNUMBER('IAP Correction'!R33),'IAP Current'!R33*('IAP Correction'!R33+1),'IAP Current'!R33)</f>
        <v>109</v>
      </c>
      <c r="S33" s="27">
        <f>IF(ISNUMBER('IAP Correction'!S33),'IAP Current'!S33*('IAP Correction'!S33+1),'IAP Current'!S33)</f>
        <v>122</v>
      </c>
      <c r="T33" s="27">
        <f>IF(ISNUMBER('IAP Correction'!T33),'IAP Current'!T33*('IAP Correction'!T33+1),'IAP Current'!T33)</f>
        <v>150</v>
      </c>
      <c r="U33" s="27">
        <f>IF(ISNUMBER('IAP Correction'!U33),'IAP Current'!U33*('IAP Correction'!U33+1),'IAP Current'!U33)</f>
        <v>205</v>
      </c>
      <c r="V33" s="27">
        <f>IF(ISNUMBER('IAP Correction'!V33),'IAP Current'!V33*('IAP Correction'!V33+1),'IAP Current'!V33)</f>
        <v>233</v>
      </c>
    </row>
    <row r="34" spans="1:22" x14ac:dyDescent="0.25">
      <c r="A34" s="15">
        <v>9200</v>
      </c>
      <c r="B34" s="27">
        <f>IF(ISNUMBER('IAP Correction'!B34),'IAP Current'!B34*('IAP Correction'!B34+1),'IAP Current'!B34)</f>
        <v>32</v>
      </c>
      <c r="C34" s="27">
        <f>IF(ISNUMBER('IAP Correction'!C34),'IAP Current'!C34*('IAP Correction'!C34+1),'IAP Current'!C34)</f>
        <v>36</v>
      </c>
      <c r="D34" s="27">
        <f>IF(ISNUMBER('IAP Correction'!D34),'IAP Current'!D34*('IAP Correction'!D34+1),'IAP Current'!D34)</f>
        <v>39</v>
      </c>
      <c r="E34" s="27">
        <f>IF(ISNUMBER('IAP Correction'!E34),'IAP Current'!E34*('IAP Correction'!E34+1),'IAP Current'!E34)</f>
        <v>51</v>
      </c>
      <c r="F34" s="27">
        <f>IF(ISNUMBER('IAP Correction'!F34),'IAP Current'!F34*('IAP Correction'!F34+1),'IAP Current'!F34)</f>
        <v>58</v>
      </c>
      <c r="G34" s="27">
        <f>IF(ISNUMBER('IAP Correction'!G34),'IAP Current'!G34*('IAP Correction'!G34+1),'IAP Current'!G34)</f>
        <v>62</v>
      </c>
      <c r="H34" s="27">
        <f>IF(ISNUMBER('IAP Correction'!H34),'IAP Current'!H34*('IAP Correction'!H34+1),'IAP Current'!H34)</f>
        <v>65</v>
      </c>
      <c r="I34" s="27">
        <f>IF(ISNUMBER('IAP Correction'!I34),'IAP Current'!I34*('IAP Correction'!I34+1),'IAP Current'!I34)</f>
        <v>69</v>
      </c>
      <c r="J34" s="27">
        <f>IF(ISNUMBER('IAP Correction'!J34),'IAP Current'!J34*('IAP Correction'!J34+1),'IAP Current'!J34)</f>
        <v>71</v>
      </c>
      <c r="K34" s="27">
        <f>IF(ISNUMBER('IAP Correction'!K34),'IAP Current'!K34*('IAP Correction'!K34+1),'IAP Current'!K34)</f>
        <v>76</v>
      </c>
      <c r="L34" s="27">
        <f>IF(ISNUMBER('IAP Correction'!L34),'IAP Current'!L34*('IAP Correction'!L34+1),'IAP Current'!L34)</f>
        <v>80</v>
      </c>
      <c r="M34" s="27">
        <f>IF(ISNUMBER('IAP Correction'!M34),'IAP Current'!M34*('IAP Correction'!M34+1),'IAP Current'!M34)</f>
        <v>84</v>
      </c>
      <c r="N34" s="27">
        <f>IF(ISNUMBER('IAP Correction'!N34),'IAP Current'!N34*('IAP Correction'!N34+1),'IAP Current'!N34)</f>
        <v>86</v>
      </c>
      <c r="O34" s="27">
        <f>IF(ISNUMBER('IAP Correction'!O34),'IAP Current'!O34*('IAP Correction'!O34+1),'IAP Current'!O34)</f>
        <v>89</v>
      </c>
      <c r="P34" s="27">
        <f>IF(ISNUMBER('IAP Correction'!P34),'IAP Current'!P34*('IAP Correction'!P34+1),'IAP Current'!P34)</f>
        <v>93</v>
      </c>
      <c r="Q34" s="27">
        <f>IF(ISNUMBER('IAP Correction'!Q34),'IAP Current'!Q34*('IAP Correction'!Q34+1),'IAP Current'!Q34)</f>
        <v>102</v>
      </c>
      <c r="R34" s="27">
        <f>IF(ISNUMBER('IAP Correction'!R34),'IAP Current'!R34*('IAP Correction'!R34+1),'IAP Current'!R34)</f>
        <v>109</v>
      </c>
      <c r="S34" s="27">
        <f>IF(ISNUMBER('IAP Correction'!S34),'IAP Current'!S34*('IAP Correction'!S34+1),'IAP Current'!S34)</f>
        <v>122</v>
      </c>
      <c r="T34" s="27">
        <f>IF(ISNUMBER('IAP Correction'!T34),'IAP Current'!T34*('IAP Correction'!T34+1),'IAP Current'!T34)</f>
        <v>145</v>
      </c>
      <c r="U34" s="27">
        <f>IF(ISNUMBER('IAP Correction'!U34),'IAP Current'!U34*('IAP Correction'!U34+1),'IAP Current'!U34)</f>
        <v>202</v>
      </c>
      <c r="V34" s="27">
        <f>IF(ISNUMBER('IAP Correction'!V34),'IAP Current'!V34*('IAP Correction'!V34+1),'IAP Current'!V34)</f>
        <v>231</v>
      </c>
    </row>
    <row r="35" spans="1:22" x14ac:dyDescent="0.25">
      <c r="A35" s="15">
        <v>9600</v>
      </c>
      <c r="B35" s="27">
        <f>IF(ISNUMBER('IAP Correction'!B35),'IAP Current'!B35*('IAP Correction'!B35+1),'IAP Current'!B35)</f>
        <v>32</v>
      </c>
      <c r="C35" s="27">
        <f>IF(ISNUMBER('IAP Correction'!C35),'IAP Current'!C35*('IAP Correction'!C35+1),'IAP Current'!C35)</f>
        <v>36</v>
      </c>
      <c r="D35" s="27">
        <f>IF(ISNUMBER('IAP Correction'!D35),'IAP Current'!D35*('IAP Correction'!D35+1),'IAP Current'!D35)</f>
        <v>39</v>
      </c>
      <c r="E35" s="27">
        <f>IF(ISNUMBER('IAP Correction'!E35),'IAP Current'!E35*('IAP Correction'!E35+1),'IAP Current'!E35)</f>
        <v>52</v>
      </c>
      <c r="F35" s="27">
        <f>IF(ISNUMBER('IAP Correction'!F35),'IAP Current'!F35*('IAP Correction'!F35+1),'IAP Current'!F35)</f>
        <v>61</v>
      </c>
      <c r="G35" s="27">
        <f>IF(ISNUMBER('IAP Correction'!G35),'IAP Current'!G35*('IAP Correction'!G35+1),'IAP Current'!G35)</f>
        <v>65</v>
      </c>
      <c r="H35" s="27">
        <f>IF(ISNUMBER('IAP Correction'!H35),'IAP Current'!H35*('IAP Correction'!H35+1),'IAP Current'!H35)</f>
        <v>67</v>
      </c>
      <c r="I35" s="27">
        <f>IF(ISNUMBER('IAP Correction'!I35),'IAP Current'!I35*('IAP Correction'!I35+1),'IAP Current'!I35)</f>
        <v>70</v>
      </c>
      <c r="J35" s="27">
        <f>IF(ISNUMBER('IAP Correction'!J35),'IAP Current'!J35*('IAP Correction'!J35+1),'IAP Current'!J35)</f>
        <v>74</v>
      </c>
      <c r="K35" s="27">
        <f>IF(ISNUMBER('IAP Correction'!K35),'IAP Current'!K35*('IAP Correction'!K35+1),'IAP Current'!K35)</f>
        <v>79</v>
      </c>
      <c r="L35" s="27">
        <f>IF(ISNUMBER('IAP Correction'!L35),'IAP Current'!L35*('IAP Correction'!L35+1),'IAP Current'!L35)</f>
        <v>82</v>
      </c>
      <c r="M35" s="27">
        <f>IF(ISNUMBER('IAP Correction'!M35),'IAP Current'!M35*('IAP Correction'!M35+1),'IAP Current'!M35)</f>
        <v>84</v>
      </c>
      <c r="N35" s="27">
        <f>IF(ISNUMBER('IAP Correction'!N35),'IAP Current'!N35*('IAP Correction'!N35+1),'IAP Current'!N35)</f>
        <v>86</v>
      </c>
      <c r="O35" s="27">
        <f>IF(ISNUMBER('IAP Correction'!O35),'IAP Current'!O35*('IAP Correction'!O35+1),'IAP Current'!O35)</f>
        <v>89</v>
      </c>
      <c r="P35" s="27">
        <f>IF(ISNUMBER('IAP Correction'!P35),'IAP Current'!P35*('IAP Correction'!P35+1),'IAP Current'!P35)</f>
        <v>94</v>
      </c>
      <c r="Q35" s="27">
        <f>IF(ISNUMBER('IAP Correction'!Q35),'IAP Current'!Q35*('IAP Correction'!Q35+1),'IAP Current'!Q35)</f>
        <v>99</v>
      </c>
      <c r="R35" s="27">
        <f>IF(ISNUMBER('IAP Correction'!R35),'IAP Current'!R35*('IAP Correction'!R35+1),'IAP Current'!R35)</f>
        <v>108</v>
      </c>
      <c r="S35" s="27">
        <f>IF(ISNUMBER('IAP Correction'!S35),'IAP Current'!S35*('IAP Correction'!S35+1),'IAP Current'!S35)</f>
        <v>118</v>
      </c>
      <c r="T35" s="27">
        <f>IF(ISNUMBER('IAP Correction'!T35),'IAP Current'!T35*('IAP Correction'!T35+1),'IAP Current'!T35)</f>
        <v>143</v>
      </c>
      <c r="U35" s="27">
        <f>IF(ISNUMBER('IAP Correction'!U35),'IAP Current'!U35*('IAP Correction'!U35+1),'IAP Current'!U35)</f>
        <v>201</v>
      </c>
      <c r="V35" s="27">
        <f>IF(ISNUMBER('IAP Correction'!V35),'IAP Current'!V35*('IAP Correction'!V35+1),'IAP Current'!V35)</f>
        <v>229</v>
      </c>
    </row>
    <row r="36" spans="1:22" x14ac:dyDescent="0.25">
      <c r="A36" s="15">
        <v>10000</v>
      </c>
      <c r="B36" s="27">
        <f>IF(ISNUMBER('IAP Correction'!B36),'IAP Current'!B36*('IAP Correction'!B36+1),'IAP Current'!B36)</f>
        <v>32</v>
      </c>
      <c r="C36" s="27">
        <f>IF(ISNUMBER('IAP Correction'!C36),'IAP Current'!C36*('IAP Correction'!C36+1),'IAP Current'!C36)</f>
        <v>36</v>
      </c>
      <c r="D36" s="27">
        <f>IF(ISNUMBER('IAP Correction'!D36),'IAP Current'!D36*('IAP Correction'!D36+1),'IAP Current'!D36)</f>
        <v>39</v>
      </c>
      <c r="E36" s="27">
        <f>IF(ISNUMBER('IAP Correction'!E36),'IAP Current'!E36*('IAP Correction'!E36+1),'IAP Current'!E36)</f>
        <v>52</v>
      </c>
      <c r="F36" s="27">
        <f>IF(ISNUMBER('IAP Correction'!F36),'IAP Current'!F36*('IAP Correction'!F36+1),'IAP Current'!F36)</f>
        <v>61</v>
      </c>
      <c r="G36" s="27">
        <f>IF(ISNUMBER('IAP Correction'!G36),'IAP Current'!G36*('IAP Correction'!G36+1),'IAP Current'!G36)</f>
        <v>65</v>
      </c>
      <c r="H36" s="27">
        <f>IF(ISNUMBER('IAP Correction'!H36),'IAP Current'!H36*('IAP Correction'!H36+1),'IAP Current'!H36)</f>
        <v>67</v>
      </c>
      <c r="I36" s="27">
        <f>IF(ISNUMBER('IAP Correction'!I36),'IAP Current'!I36*('IAP Correction'!I36+1),'IAP Current'!I36)</f>
        <v>70</v>
      </c>
      <c r="J36" s="27">
        <f>IF(ISNUMBER('IAP Correction'!J36),'IAP Current'!J36*('IAP Correction'!J36+1),'IAP Current'!J36)</f>
        <v>74</v>
      </c>
      <c r="K36" s="27">
        <f>IF(ISNUMBER('IAP Correction'!K36),'IAP Current'!K36*('IAP Correction'!K36+1),'IAP Current'!K36)</f>
        <v>79</v>
      </c>
      <c r="L36" s="27">
        <f>IF(ISNUMBER('IAP Correction'!L36),'IAP Current'!L36*('IAP Correction'!L36+1),'IAP Current'!L36)</f>
        <v>82</v>
      </c>
      <c r="M36" s="27">
        <f>IF(ISNUMBER('IAP Correction'!M36),'IAP Current'!M36*('IAP Correction'!M36+1),'IAP Current'!M36)</f>
        <v>84</v>
      </c>
      <c r="N36" s="27">
        <f>IF(ISNUMBER('IAP Correction'!N36),'IAP Current'!N36*('IAP Correction'!N36+1),'IAP Current'!N36)</f>
        <v>86</v>
      </c>
      <c r="O36" s="27">
        <f>IF(ISNUMBER('IAP Correction'!O36),'IAP Current'!O36*('IAP Correction'!O36+1),'IAP Current'!O36)</f>
        <v>89</v>
      </c>
      <c r="P36" s="27">
        <f>IF(ISNUMBER('IAP Correction'!P36),'IAP Current'!P36*('IAP Correction'!P36+1),'IAP Current'!P36)</f>
        <v>94</v>
      </c>
      <c r="Q36" s="27">
        <f>IF(ISNUMBER('IAP Correction'!Q36),'IAP Current'!Q36*('IAP Correction'!Q36+1),'IAP Current'!Q36)</f>
        <v>99</v>
      </c>
      <c r="R36" s="27">
        <f>IF(ISNUMBER('IAP Correction'!R36),'IAP Current'!R36*('IAP Correction'!R36+1),'IAP Current'!R36)</f>
        <v>104</v>
      </c>
      <c r="S36" s="27">
        <f>IF(ISNUMBER('IAP Correction'!S36),'IAP Current'!S36*('IAP Correction'!S36+1),'IAP Current'!S36)</f>
        <v>113</v>
      </c>
      <c r="T36" s="27">
        <f>IF(ISNUMBER('IAP Correction'!T36),'IAP Current'!T36*('IAP Correction'!T36+1),'IAP Current'!T36)</f>
        <v>141</v>
      </c>
      <c r="U36" s="27">
        <f>IF(ISNUMBER('IAP Correction'!U36),'IAP Current'!U36*('IAP Correction'!U36+1),'IAP Current'!U36)</f>
        <v>202</v>
      </c>
      <c r="V36" s="27">
        <f>IF(ISNUMBER('IAP Correction'!V36),'IAP Current'!V36*('IAP Correction'!V36+1),'IAP Current'!V36)</f>
        <v>231</v>
      </c>
    </row>
    <row r="37" spans="1:22" x14ac:dyDescent="0.25">
      <c r="A37" s="15">
        <v>10400</v>
      </c>
      <c r="B37" s="27">
        <f>IF(ISNUMBER('IAP Correction'!B37),'IAP Current'!B37*('IAP Correction'!B37+1),'IAP Current'!B37)</f>
        <v>32</v>
      </c>
      <c r="C37" s="27">
        <f>IF(ISNUMBER('IAP Correction'!C37),'IAP Current'!C37*('IAP Correction'!C37+1),'IAP Current'!C37)</f>
        <v>36</v>
      </c>
      <c r="D37" s="27">
        <f>IF(ISNUMBER('IAP Correction'!D37),'IAP Current'!D37*('IAP Correction'!D37+1),'IAP Current'!D37)</f>
        <v>39</v>
      </c>
      <c r="E37" s="27">
        <f>IF(ISNUMBER('IAP Correction'!E37),'IAP Current'!E37*('IAP Correction'!E37+1),'IAP Current'!E37)</f>
        <v>52</v>
      </c>
      <c r="F37" s="27">
        <f>IF(ISNUMBER('IAP Correction'!F37),'IAP Current'!F37*('IAP Correction'!F37+1),'IAP Current'!F37)</f>
        <v>61</v>
      </c>
      <c r="G37" s="27">
        <f>IF(ISNUMBER('IAP Correction'!G37),'IAP Current'!G37*('IAP Correction'!G37+1),'IAP Current'!G37)</f>
        <v>63</v>
      </c>
      <c r="H37" s="27">
        <f>IF(ISNUMBER('IAP Correction'!H37),'IAP Current'!H37*('IAP Correction'!H37+1),'IAP Current'!H37)</f>
        <v>66</v>
      </c>
      <c r="I37" s="27">
        <f>IF(ISNUMBER('IAP Correction'!I37),'IAP Current'!I37*('IAP Correction'!I37+1),'IAP Current'!I37)</f>
        <v>69</v>
      </c>
      <c r="J37" s="27">
        <f>IF(ISNUMBER('IAP Correction'!J37),'IAP Current'!J37*('IAP Correction'!J37+1),'IAP Current'!J37)</f>
        <v>71</v>
      </c>
      <c r="K37" s="27">
        <f>IF(ISNUMBER('IAP Correction'!K37),'IAP Current'!K37*('IAP Correction'!K37+1),'IAP Current'!K37)</f>
        <v>76</v>
      </c>
      <c r="L37" s="27">
        <f>IF(ISNUMBER('IAP Correction'!L37),'IAP Current'!L37*('IAP Correction'!L37+1),'IAP Current'!L37)</f>
        <v>82</v>
      </c>
      <c r="M37" s="27">
        <f>IF(ISNUMBER('IAP Correction'!M37),'IAP Current'!M37*('IAP Correction'!M37+1),'IAP Current'!M37)</f>
        <v>84</v>
      </c>
      <c r="N37" s="27">
        <f>IF(ISNUMBER('IAP Correction'!N37),'IAP Current'!N37*('IAP Correction'!N37+1),'IAP Current'!N37)</f>
        <v>86</v>
      </c>
      <c r="O37" s="27">
        <f>IF(ISNUMBER('IAP Correction'!O37),'IAP Current'!O37*('IAP Correction'!O37+1),'IAP Current'!O37)</f>
        <v>90</v>
      </c>
      <c r="P37" s="27">
        <f>IF(ISNUMBER('IAP Correction'!P37),'IAP Current'!P37*('IAP Correction'!P37+1),'IAP Current'!P37)</f>
        <v>97</v>
      </c>
      <c r="Q37" s="27">
        <f>IF(ISNUMBER('IAP Correction'!Q37),'IAP Current'!Q37*('IAP Correction'!Q37+1),'IAP Current'!Q37)</f>
        <v>99</v>
      </c>
      <c r="R37" s="27">
        <f>IF(ISNUMBER('IAP Correction'!R37),'IAP Current'!R37*('IAP Correction'!R37+1),'IAP Current'!R37)</f>
        <v>104</v>
      </c>
      <c r="S37" s="27">
        <f>IF(ISNUMBER('IAP Correction'!S37),'IAP Current'!S37*('IAP Correction'!S37+1),'IAP Current'!S37)</f>
        <v>113</v>
      </c>
      <c r="T37" s="27">
        <f>IF(ISNUMBER('IAP Correction'!T37),'IAP Current'!T37*('IAP Correction'!T37+1),'IAP Current'!T37)</f>
        <v>140</v>
      </c>
      <c r="U37" s="27">
        <f>IF(ISNUMBER('IAP Correction'!U37),'IAP Current'!U37*('IAP Correction'!U37+1),'IAP Current'!U37)</f>
        <v>196</v>
      </c>
      <c r="V37" s="27">
        <f>IF(ISNUMBER('IAP Correction'!V37),'IAP Current'!V37*('IAP Correction'!V37+1),'IAP Current'!V37)</f>
        <v>228</v>
      </c>
    </row>
    <row r="38" spans="1:22" x14ac:dyDescent="0.25">
      <c r="A38" s="15">
        <v>10800</v>
      </c>
      <c r="B38" s="27">
        <f>IF(ISNUMBER('IAP Correction'!B38),'IAP Current'!B38*('IAP Correction'!B38+1),'IAP Current'!B38)</f>
        <v>32</v>
      </c>
      <c r="C38" s="27">
        <f>IF(ISNUMBER('IAP Correction'!C38),'IAP Current'!C38*('IAP Correction'!C38+1),'IAP Current'!C38)</f>
        <v>36</v>
      </c>
      <c r="D38" s="27">
        <f>IF(ISNUMBER('IAP Correction'!D38),'IAP Current'!D38*('IAP Correction'!D38+1),'IAP Current'!D38)</f>
        <v>39</v>
      </c>
      <c r="E38" s="27">
        <f>IF(ISNUMBER('IAP Correction'!E38),'IAP Current'!E38*('IAP Correction'!E38+1),'IAP Current'!E38)</f>
        <v>52</v>
      </c>
      <c r="F38" s="27">
        <f>IF(ISNUMBER('IAP Correction'!F38),'IAP Current'!F38*('IAP Correction'!F38+1),'IAP Current'!F38)</f>
        <v>61</v>
      </c>
      <c r="G38" s="27">
        <f>IF(ISNUMBER('IAP Correction'!G38),'IAP Current'!G38*('IAP Correction'!G38+1),'IAP Current'!G38)</f>
        <v>63</v>
      </c>
      <c r="H38" s="27">
        <f>IF(ISNUMBER('IAP Correction'!H38),'IAP Current'!H38*('IAP Correction'!H38+1),'IAP Current'!H38)</f>
        <v>66</v>
      </c>
      <c r="I38" s="27">
        <f>IF(ISNUMBER('IAP Correction'!I38),'IAP Current'!I38*('IAP Correction'!I38+1),'IAP Current'!I38)</f>
        <v>69</v>
      </c>
      <c r="J38" s="27">
        <f>IF(ISNUMBER('IAP Correction'!J38),'IAP Current'!J38*('IAP Correction'!J38+1),'IAP Current'!J38)</f>
        <v>71</v>
      </c>
      <c r="K38" s="27">
        <f>IF(ISNUMBER('IAP Correction'!K38),'IAP Current'!K38*('IAP Correction'!K38+1),'IAP Current'!K38)</f>
        <v>76</v>
      </c>
      <c r="L38" s="27">
        <f>IF(ISNUMBER('IAP Correction'!L38),'IAP Current'!L38*('IAP Correction'!L38+1),'IAP Current'!L38)</f>
        <v>82</v>
      </c>
      <c r="M38" s="27">
        <f>IF(ISNUMBER('IAP Correction'!M38),'IAP Current'!M38*('IAP Correction'!M38+1),'IAP Current'!M38)</f>
        <v>84</v>
      </c>
      <c r="N38" s="27">
        <f>IF(ISNUMBER('IAP Correction'!N38),'IAP Current'!N38*('IAP Correction'!N38+1),'IAP Current'!N38)</f>
        <v>86</v>
      </c>
      <c r="O38" s="27">
        <f>IF(ISNUMBER('IAP Correction'!O38),'IAP Current'!O38*('IAP Correction'!O38+1),'IAP Current'!O38)</f>
        <v>90</v>
      </c>
      <c r="P38" s="27">
        <f>IF(ISNUMBER('IAP Correction'!P38),'IAP Current'!P38*('IAP Correction'!P38+1),'IAP Current'!P38)</f>
        <v>97</v>
      </c>
      <c r="Q38" s="27">
        <f>IF(ISNUMBER('IAP Correction'!Q38),'IAP Current'!Q38*('IAP Correction'!Q38+1),'IAP Current'!Q38)</f>
        <v>102</v>
      </c>
      <c r="R38" s="27">
        <f>IF(ISNUMBER('IAP Correction'!R38),'IAP Current'!R38*('IAP Correction'!R38+1),'IAP Current'!R38)</f>
        <v>104</v>
      </c>
      <c r="S38" s="27">
        <f>IF(ISNUMBER('IAP Correction'!S38),'IAP Current'!S38*('IAP Correction'!S38+1),'IAP Current'!S38)</f>
        <v>116</v>
      </c>
      <c r="T38" s="27">
        <f>IF(ISNUMBER('IAP Correction'!T38),'IAP Current'!T38*('IAP Correction'!T38+1),'IAP Current'!T38)</f>
        <v>140</v>
      </c>
      <c r="U38" s="27">
        <f>IF(ISNUMBER('IAP Correction'!U38),'IAP Current'!U38*('IAP Correction'!U38+1),'IAP Current'!U38)</f>
        <v>192</v>
      </c>
      <c r="V38" s="27">
        <f>IF(ISNUMBER('IAP Correction'!V38),'IAP Current'!V38*('IAP Correction'!V38+1),'IAP Current'!V38)</f>
        <v>225</v>
      </c>
    </row>
    <row r="39" spans="1:22" x14ac:dyDescent="0.25">
      <c r="A39" s="15">
        <v>11200</v>
      </c>
      <c r="B39" s="27">
        <f>IF(ISNUMBER('IAP Correction'!B39),'IAP Current'!B39*('IAP Correction'!B39+1),'IAP Current'!B39)</f>
        <v>32</v>
      </c>
      <c r="C39" s="27">
        <f>IF(ISNUMBER('IAP Correction'!C39),'IAP Current'!C39*('IAP Correction'!C39+1),'IAP Current'!C39)</f>
        <v>36</v>
      </c>
      <c r="D39" s="27">
        <f>IF(ISNUMBER('IAP Correction'!D39),'IAP Current'!D39*('IAP Correction'!D39+1),'IAP Current'!D39)</f>
        <v>39</v>
      </c>
      <c r="E39" s="27">
        <f>IF(ISNUMBER('IAP Correction'!E39),'IAP Current'!E39*('IAP Correction'!E39+1),'IAP Current'!E39)</f>
        <v>52</v>
      </c>
      <c r="F39" s="27">
        <f>IF(ISNUMBER('IAP Correction'!F39),'IAP Current'!F39*('IAP Correction'!F39+1),'IAP Current'!F39)</f>
        <v>61</v>
      </c>
      <c r="G39" s="27">
        <f>IF(ISNUMBER('IAP Correction'!G39),'IAP Current'!G39*('IAP Correction'!G39+1),'IAP Current'!G39)</f>
        <v>63</v>
      </c>
      <c r="H39" s="27">
        <f>IF(ISNUMBER('IAP Correction'!H39),'IAP Current'!H39*('IAP Correction'!H39+1),'IAP Current'!H39)</f>
        <v>66</v>
      </c>
      <c r="I39" s="27">
        <f>IF(ISNUMBER('IAP Correction'!I39),'IAP Current'!I39*('IAP Correction'!I39+1),'IAP Current'!I39)</f>
        <v>69</v>
      </c>
      <c r="J39" s="27">
        <f>IF(ISNUMBER('IAP Correction'!J39),'IAP Current'!J39*('IAP Correction'!J39+1),'IAP Current'!J39)</f>
        <v>71</v>
      </c>
      <c r="K39" s="27">
        <f>IF(ISNUMBER('IAP Correction'!K39),'IAP Current'!K39*('IAP Correction'!K39+1),'IAP Current'!K39)</f>
        <v>76</v>
      </c>
      <c r="L39" s="27">
        <f>IF(ISNUMBER('IAP Correction'!L39),'IAP Current'!L39*('IAP Correction'!L39+1),'IAP Current'!L39)</f>
        <v>82</v>
      </c>
      <c r="M39" s="27">
        <f>IF(ISNUMBER('IAP Correction'!M39),'IAP Current'!M39*('IAP Correction'!M39+1),'IAP Current'!M39)</f>
        <v>84</v>
      </c>
      <c r="N39" s="27">
        <f>IF(ISNUMBER('IAP Correction'!N39),'IAP Current'!N39*('IAP Correction'!N39+1),'IAP Current'!N39)</f>
        <v>86</v>
      </c>
      <c r="O39" s="27">
        <f>IF(ISNUMBER('IAP Correction'!O39),'IAP Current'!O39*('IAP Correction'!O39+1),'IAP Current'!O39)</f>
        <v>90</v>
      </c>
      <c r="P39" s="27">
        <f>IF(ISNUMBER('IAP Correction'!P39),'IAP Current'!P39*('IAP Correction'!P39+1),'IAP Current'!P39)</f>
        <v>97</v>
      </c>
      <c r="Q39" s="27">
        <f>IF(ISNUMBER('IAP Correction'!Q39),'IAP Current'!Q39*('IAP Correction'!Q39+1),'IAP Current'!Q39)</f>
        <v>102</v>
      </c>
      <c r="R39" s="27">
        <f>IF(ISNUMBER('IAP Correction'!R39),'IAP Current'!R39*('IAP Correction'!R39+1),'IAP Current'!R39)</f>
        <v>104</v>
      </c>
      <c r="S39" s="27">
        <f>IF(ISNUMBER('IAP Correction'!S39),'IAP Current'!S39*('IAP Correction'!S39+1),'IAP Current'!S39)</f>
        <v>116</v>
      </c>
      <c r="T39" s="27">
        <f>IF(ISNUMBER('IAP Correction'!T39),'IAP Current'!T39*('IAP Correction'!T39+1),'IAP Current'!T39)</f>
        <v>140</v>
      </c>
      <c r="U39" s="27">
        <f>IF(ISNUMBER('IAP Correction'!U39),'IAP Current'!U39*('IAP Correction'!U39+1),'IAP Current'!U39)</f>
        <v>190</v>
      </c>
      <c r="V39" s="27">
        <f>IF(ISNUMBER('IAP Correction'!V39),'IAP Current'!V39*('IAP Correction'!V39+1),'IAP Current'!V39)</f>
        <v>220</v>
      </c>
    </row>
    <row r="40" spans="1:22" x14ac:dyDescent="0.25">
      <c r="A40" s="15">
        <v>11600</v>
      </c>
      <c r="B40" s="27">
        <f>IF(ISNUMBER('IAP Correction'!B40),'IAP Current'!B40*('IAP Correction'!B40+1),'IAP Current'!B40)</f>
        <v>32</v>
      </c>
      <c r="C40" s="27">
        <f>IF(ISNUMBER('IAP Correction'!C40),'IAP Current'!C40*('IAP Correction'!C40+1),'IAP Current'!C40)</f>
        <v>36</v>
      </c>
      <c r="D40" s="27">
        <f>IF(ISNUMBER('IAP Correction'!D40),'IAP Current'!D40*('IAP Correction'!D40+1),'IAP Current'!D40)</f>
        <v>39</v>
      </c>
      <c r="E40" s="27">
        <f>IF(ISNUMBER('IAP Correction'!E40),'IAP Current'!E40*('IAP Correction'!E40+1),'IAP Current'!E40)</f>
        <v>52</v>
      </c>
      <c r="F40" s="27">
        <f>IF(ISNUMBER('IAP Correction'!F40),'IAP Current'!F40*('IAP Correction'!F40+1),'IAP Current'!F40)</f>
        <v>61</v>
      </c>
      <c r="G40" s="27">
        <f>IF(ISNUMBER('IAP Correction'!G40),'IAP Current'!G40*('IAP Correction'!G40+1),'IAP Current'!G40)</f>
        <v>63</v>
      </c>
      <c r="H40" s="27">
        <f>IF(ISNUMBER('IAP Correction'!H40),'IAP Current'!H40*('IAP Correction'!H40+1),'IAP Current'!H40)</f>
        <v>66</v>
      </c>
      <c r="I40" s="27">
        <f>IF(ISNUMBER('IAP Correction'!I40),'IAP Current'!I40*('IAP Correction'!I40+1),'IAP Current'!I40)</f>
        <v>69</v>
      </c>
      <c r="J40" s="27">
        <f>IF(ISNUMBER('IAP Correction'!J40),'IAP Current'!J40*('IAP Correction'!J40+1),'IAP Current'!J40)</f>
        <v>71</v>
      </c>
      <c r="K40" s="27">
        <f>IF(ISNUMBER('IAP Correction'!K40),'IAP Current'!K40*('IAP Correction'!K40+1),'IAP Current'!K40)</f>
        <v>76</v>
      </c>
      <c r="L40" s="27">
        <f>IF(ISNUMBER('IAP Correction'!L40),'IAP Current'!L40*('IAP Correction'!L40+1),'IAP Current'!L40)</f>
        <v>82</v>
      </c>
      <c r="M40" s="27">
        <f>IF(ISNUMBER('IAP Correction'!M40),'IAP Current'!M40*('IAP Correction'!M40+1),'IAP Current'!M40)</f>
        <v>84</v>
      </c>
      <c r="N40" s="27">
        <f>IF(ISNUMBER('IAP Correction'!N40),'IAP Current'!N40*('IAP Correction'!N40+1),'IAP Current'!N40)</f>
        <v>86</v>
      </c>
      <c r="O40" s="27">
        <f>IF(ISNUMBER('IAP Correction'!O40),'IAP Current'!O40*('IAP Correction'!O40+1),'IAP Current'!O40)</f>
        <v>90</v>
      </c>
      <c r="P40" s="27">
        <f>IF(ISNUMBER('IAP Correction'!P40),'IAP Current'!P40*('IAP Correction'!P40+1),'IAP Current'!P40)</f>
        <v>97</v>
      </c>
      <c r="Q40" s="27">
        <f>IF(ISNUMBER('IAP Correction'!Q40),'IAP Current'!Q40*('IAP Correction'!Q40+1),'IAP Current'!Q40)</f>
        <v>102</v>
      </c>
      <c r="R40" s="27">
        <f>IF(ISNUMBER('IAP Correction'!R40),'IAP Current'!R40*('IAP Correction'!R40+1),'IAP Current'!R40)</f>
        <v>104</v>
      </c>
      <c r="S40" s="27">
        <f>IF(ISNUMBER('IAP Correction'!S40),'IAP Current'!S40*('IAP Correction'!S40+1),'IAP Current'!S40)</f>
        <v>116</v>
      </c>
      <c r="T40" s="27">
        <f>IF(ISNUMBER('IAP Correction'!T40),'IAP Current'!T40*('IAP Correction'!T40+1),'IAP Current'!T40)</f>
        <v>140</v>
      </c>
      <c r="U40" s="27">
        <f>IF(ISNUMBER('IAP Correction'!U40),'IAP Current'!U40*('IAP Correction'!U40+1),'IAP Current'!U40)</f>
        <v>187</v>
      </c>
      <c r="V40" s="27">
        <f>IF(ISNUMBER('IAP Correction'!V40),'IAP Current'!V40*('IAP Correction'!V40+1),'IAP Current'!V40)</f>
        <v>217</v>
      </c>
    </row>
    <row r="41" spans="1:22" x14ac:dyDescent="0.25">
      <c r="A41" s="15">
        <v>12000</v>
      </c>
      <c r="B41" s="27">
        <f>IF(ISNUMBER('IAP Correction'!B41),'IAP Current'!B41*('IAP Correction'!B41+1),'IAP Current'!B41)</f>
        <v>32</v>
      </c>
      <c r="C41" s="27">
        <f>IF(ISNUMBER('IAP Correction'!C41),'IAP Current'!C41*('IAP Correction'!C41+1),'IAP Current'!C41)</f>
        <v>36</v>
      </c>
      <c r="D41" s="27">
        <f>IF(ISNUMBER('IAP Correction'!D41),'IAP Current'!D41*('IAP Correction'!D41+1),'IAP Current'!D41)</f>
        <v>39</v>
      </c>
      <c r="E41" s="27">
        <f>IF(ISNUMBER('IAP Correction'!E41),'IAP Current'!E41*('IAP Correction'!E41+1),'IAP Current'!E41)</f>
        <v>52</v>
      </c>
      <c r="F41" s="27">
        <f>IF(ISNUMBER('IAP Correction'!F41),'IAP Current'!F41*('IAP Correction'!F41+1),'IAP Current'!F41)</f>
        <v>61</v>
      </c>
      <c r="G41" s="27">
        <f>IF(ISNUMBER('IAP Correction'!G41),'IAP Current'!G41*('IAP Correction'!G41+1),'IAP Current'!G41)</f>
        <v>63</v>
      </c>
      <c r="H41" s="27">
        <f>IF(ISNUMBER('IAP Correction'!H41),'IAP Current'!H41*('IAP Correction'!H41+1),'IAP Current'!H41)</f>
        <v>66</v>
      </c>
      <c r="I41" s="27">
        <f>IF(ISNUMBER('IAP Correction'!I41),'IAP Current'!I41*('IAP Correction'!I41+1),'IAP Current'!I41)</f>
        <v>69</v>
      </c>
      <c r="J41" s="27">
        <f>IF(ISNUMBER('IAP Correction'!J41),'IAP Current'!J41*('IAP Correction'!J41+1),'IAP Current'!J41)</f>
        <v>71</v>
      </c>
      <c r="K41" s="27">
        <f>IF(ISNUMBER('IAP Correction'!K41),'IAP Current'!K41*('IAP Correction'!K41+1),'IAP Current'!K41)</f>
        <v>76</v>
      </c>
      <c r="L41" s="27">
        <f>IF(ISNUMBER('IAP Correction'!L41),'IAP Current'!L41*('IAP Correction'!L41+1),'IAP Current'!L41)</f>
        <v>82</v>
      </c>
      <c r="M41" s="27">
        <f>IF(ISNUMBER('IAP Correction'!M41),'IAP Current'!M41*('IAP Correction'!M41+1),'IAP Current'!M41)</f>
        <v>84</v>
      </c>
      <c r="N41" s="27">
        <f>IF(ISNUMBER('IAP Correction'!N41),'IAP Current'!N41*('IAP Correction'!N41+1),'IAP Current'!N41)</f>
        <v>86</v>
      </c>
      <c r="O41" s="27">
        <f>IF(ISNUMBER('IAP Correction'!O41),'IAP Current'!O41*('IAP Correction'!O41+1),'IAP Current'!O41)</f>
        <v>90</v>
      </c>
      <c r="P41" s="27">
        <f>IF(ISNUMBER('IAP Correction'!P41),'IAP Current'!P41*('IAP Correction'!P41+1),'IAP Current'!P41)</f>
        <v>97</v>
      </c>
      <c r="Q41" s="27">
        <f>IF(ISNUMBER('IAP Correction'!Q41),'IAP Current'!Q41*('IAP Correction'!Q41+1),'IAP Current'!Q41)</f>
        <v>102</v>
      </c>
      <c r="R41" s="27">
        <f>IF(ISNUMBER('IAP Correction'!R41),'IAP Current'!R41*('IAP Correction'!R41+1),'IAP Current'!R41)</f>
        <v>104</v>
      </c>
      <c r="S41" s="27">
        <f>IF(ISNUMBER('IAP Correction'!S41),'IAP Current'!S41*('IAP Correction'!S41+1),'IAP Current'!S41)</f>
        <v>116</v>
      </c>
      <c r="T41" s="27">
        <f>IF(ISNUMBER('IAP Correction'!T41),'IAP Current'!T41*('IAP Correction'!T41+1),'IAP Current'!T41)</f>
        <v>140</v>
      </c>
      <c r="U41" s="27">
        <f>IF(ISNUMBER('IAP Correction'!U41),'IAP Current'!U41*('IAP Correction'!U41+1),'IAP Current'!U41)</f>
        <v>187</v>
      </c>
      <c r="V41" s="27">
        <f>IF(ISNUMBER('IAP Correction'!V41),'IAP Current'!V41*('IAP Correction'!V41+1),'IAP Current'!V41)</f>
        <v>211</v>
      </c>
    </row>
    <row r="42" spans="1:22" x14ac:dyDescent="0.25">
      <c r="A42" s="15">
        <v>12400</v>
      </c>
      <c r="B42" s="27">
        <f>IF(ISNUMBER('IAP Correction'!B42),'IAP Current'!B42*('IAP Correction'!B42+1),'IAP Current'!B42)</f>
        <v>32</v>
      </c>
      <c r="C42" s="27">
        <f>IF(ISNUMBER('IAP Correction'!C42),'IAP Current'!C42*('IAP Correction'!C42+1),'IAP Current'!C42)</f>
        <v>36</v>
      </c>
      <c r="D42" s="27">
        <f>IF(ISNUMBER('IAP Correction'!D42),'IAP Current'!D42*('IAP Correction'!D42+1),'IAP Current'!D42)</f>
        <v>39</v>
      </c>
      <c r="E42" s="27">
        <f>IF(ISNUMBER('IAP Correction'!E42),'IAP Current'!E42*('IAP Correction'!E42+1),'IAP Current'!E42)</f>
        <v>52</v>
      </c>
      <c r="F42" s="27">
        <f>IF(ISNUMBER('IAP Correction'!F42),'IAP Current'!F42*('IAP Correction'!F42+1),'IAP Current'!F42)</f>
        <v>61</v>
      </c>
      <c r="G42" s="27">
        <f>IF(ISNUMBER('IAP Correction'!G42),'IAP Current'!G42*('IAP Correction'!G42+1),'IAP Current'!G42)</f>
        <v>63</v>
      </c>
      <c r="H42" s="27">
        <f>IF(ISNUMBER('IAP Correction'!H42),'IAP Current'!H42*('IAP Correction'!H42+1),'IAP Current'!H42)</f>
        <v>66</v>
      </c>
      <c r="I42" s="27">
        <f>IF(ISNUMBER('IAP Correction'!I42),'IAP Current'!I42*('IAP Correction'!I42+1),'IAP Current'!I42)</f>
        <v>69</v>
      </c>
      <c r="J42" s="27">
        <f>IF(ISNUMBER('IAP Correction'!J42),'IAP Current'!J42*('IAP Correction'!J42+1),'IAP Current'!J42)</f>
        <v>71</v>
      </c>
      <c r="K42" s="27">
        <f>IF(ISNUMBER('IAP Correction'!K42),'IAP Current'!K42*('IAP Correction'!K42+1),'IAP Current'!K42)</f>
        <v>76</v>
      </c>
      <c r="L42" s="27">
        <f>IF(ISNUMBER('IAP Correction'!L42),'IAP Current'!L42*('IAP Correction'!L42+1),'IAP Current'!L42)</f>
        <v>82</v>
      </c>
      <c r="M42" s="27">
        <f>IF(ISNUMBER('IAP Correction'!M42),'IAP Current'!M42*('IAP Correction'!M42+1),'IAP Current'!M42)</f>
        <v>84</v>
      </c>
      <c r="N42" s="27">
        <f>IF(ISNUMBER('IAP Correction'!N42),'IAP Current'!N42*('IAP Correction'!N42+1),'IAP Current'!N42)</f>
        <v>86</v>
      </c>
      <c r="O42" s="27">
        <f>IF(ISNUMBER('IAP Correction'!O42),'IAP Current'!O42*('IAP Correction'!O42+1),'IAP Current'!O42)</f>
        <v>90</v>
      </c>
      <c r="P42" s="27">
        <f>IF(ISNUMBER('IAP Correction'!P42),'IAP Current'!P42*('IAP Correction'!P42+1),'IAP Current'!P42)</f>
        <v>97</v>
      </c>
      <c r="Q42" s="27">
        <f>IF(ISNUMBER('IAP Correction'!Q42),'IAP Current'!Q42*('IAP Correction'!Q42+1),'IAP Current'!Q42)</f>
        <v>102</v>
      </c>
      <c r="R42" s="27">
        <f>IF(ISNUMBER('IAP Correction'!R42),'IAP Current'!R42*('IAP Correction'!R42+1),'IAP Current'!R42)</f>
        <v>104</v>
      </c>
      <c r="S42" s="27">
        <f>IF(ISNUMBER('IAP Correction'!S42),'IAP Current'!S42*('IAP Correction'!S42+1),'IAP Current'!S42)</f>
        <v>116</v>
      </c>
      <c r="T42" s="27">
        <f>IF(ISNUMBER('IAP Correction'!T42),'IAP Current'!T42*('IAP Correction'!T42+1),'IAP Current'!T42)</f>
        <v>140</v>
      </c>
      <c r="U42" s="27">
        <f>IF(ISNUMBER('IAP Correction'!U42),'IAP Current'!U42*('IAP Correction'!U42+1),'IAP Current'!U42)</f>
        <v>187</v>
      </c>
      <c r="V42" s="27">
        <f>IF(ISNUMBER('IAP Correction'!V42),'IAP Current'!V42*('IAP Correction'!V42+1),'IAP Current'!V42)</f>
        <v>211</v>
      </c>
    </row>
    <row r="43" spans="1:22" ht="13.8" thickBot="1" x14ac:dyDescent="0.3">
      <c r="A43" s="16">
        <v>12800</v>
      </c>
      <c r="B43" s="27">
        <f>IF(ISNUMBER('IAP Correction'!B43),'IAP Current'!B43*('IAP Correction'!B43+1),'IAP Current'!B43)</f>
        <v>32</v>
      </c>
      <c r="C43" s="27">
        <f>IF(ISNUMBER('IAP Correction'!C43),'IAP Current'!C43*('IAP Correction'!C43+1),'IAP Current'!C43)</f>
        <v>36</v>
      </c>
      <c r="D43" s="27">
        <f>IF(ISNUMBER('IAP Correction'!D43),'IAP Current'!D43*('IAP Correction'!D43+1),'IAP Current'!D43)</f>
        <v>39</v>
      </c>
      <c r="E43" s="27">
        <f>IF(ISNUMBER('IAP Correction'!E43),'IAP Current'!E43*('IAP Correction'!E43+1),'IAP Current'!E43)</f>
        <v>52</v>
      </c>
      <c r="F43" s="27">
        <f>IF(ISNUMBER('IAP Correction'!F43),'IAP Current'!F43*('IAP Correction'!F43+1),'IAP Current'!F43)</f>
        <v>61</v>
      </c>
      <c r="G43" s="27">
        <f>IF(ISNUMBER('IAP Correction'!G43),'IAP Current'!G43*('IAP Correction'!G43+1),'IAP Current'!G43)</f>
        <v>63</v>
      </c>
      <c r="H43" s="27">
        <f>IF(ISNUMBER('IAP Correction'!H43),'IAP Current'!H43*('IAP Correction'!H43+1),'IAP Current'!H43)</f>
        <v>66</v>
      </c>
      <c r="I43" s="27">
        <f>IF(ISNUMBER('IAP Correction'!I43),'IAP Current'!I43*('IAP Correction'!I43+1),'IAP Current'!I43)</f>
        <v>69</v>
      </c>
      <c r="J43" s="27">
        <f>IF(ISNUMBER('IAP Correction'!J43),'IAP Current'!J43*('IAP Correction'!J43+1),'IAP Current'!J43)</f>
        <v>71</v>
      </c>
      <c r="K43" s="27">
        <f>IF(ISNUMBER('IAP Correction'!K43),'IAP Current'!K43*('IAP Correction'!K43+1),'IAP Current'!K43)</f>
        <v>76</v>
      </c>
      <c r="L43" s="27">
        <f>IF(ISNUMBER('IAP Correction'!L43),'IAP Current'!L43*('IAP Correction'!L43+1),'IAP Current'!L43)</f>
        <v>82</v>
      </c>
      <c r="M43" s="27">
        <f>IF(ISNUMBER('IAP Correction'!M43),'IAP Current'!M43*('IAP Correction'!M43+1),'IAP Current'!M43)</f>
        <v>84</v>
      </c>
      <c r="N43" s="27">
        <f>IF(ISNUMBER('IAP Correction'!N43),'IAP Current'!N43*('IAP Correction'!N43+1),'IAP Current'!N43)</f>
        <v>86</v>
      </c>
      <c r="O43" s="27">
        <f>IF(ISNUMBER('IAP Correction'!O43),'IAP Current'!O43*('IAP Correction'!O43+1),'IAP Current'!O43)</f>
        <v>90</v>
      </c>
      <c r="P43" s="27">
        <f>IF(ISNUMBER('IAP Correction'!P43),'IAP Current'!P43*('IAP Correction'!P43+1),'IAP Current'!P43)</f>
        <v>97</v>
      </c>
      <c r="Q43" s="27">
        <f>IF(ISNUMBER('IAP Correction'!Q43),'IAP Current'!Q43*('IAP Correction'!Q43+1),'IAP Current'!Q43)</f>
        <v>102</v>
      </c>
      <c r="R43" s="27">
        <f>IF(ISNUMBER('IAP Correction'!R43),'IAP Current'!R43*('IAP Correction'!R43+1),'IAP Current'!R43)</f>
        <v>104</v>
      </c>
      <c r="S43" s="27">
        <f>IF(ISNUMBER('IAP Correction'!S43),'IAP Current'!S43*('IAP Correction'!S43+1),'IAP Current'!S43)</f>
        <v>116</v>
      </c>
      <c r="T43" s="27">
        <f>IF(ISNUMBER('IAP Correction'!T43),'IAP Current'!T43*('IAP Correction'!T43+1),'IAP Current'!T43)</f>
        <v>140</v>
      </c>
      <c r="U43" s="27">
        <f>IF(ISNUMBER('IAP Correction'!U43),'IAP Current'!U43*('IAP Correction'!U43+1),'IAP Current'!U43)</f>
        <v>251.21172839506175</v>
      </c>
      <c r="V43" s="27">
        <f>IF(ISNUMBER('IAP Correction'!V43),'IAP Current'!V43*('IAP Correction'!V43+1),'IAP Current'!V43)</f>
        <v>211</v>
      </c>
    </row>
  </sheetData>
  <sheetProtection algorithmName="SHA-512" hashValue="AffISpSp9Fye2OH4EhVhlZ+29fkoZZuE3eZ7Hp05HPl9nerSX1LSqSP0BpIi/KLyg/hCF/fdqW/CtKxJiGP79g==" saltValue="S8oMBU/S8AnxRCPNY1StaA==" spinCount="100000" sheet="1" objects="1" scenarios="1"/>
  <conditionalFormatting sqref="B2:V43">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DataLog</vt:lpstr>
      <vt:lpstr>MAIN</vt:lpstr>
      <vt:lpstr>TPS data</vt:lpstr>
      <vt:lpstr>IAP data</vt:lpstr>
      <vt:lpstr>TPS Current</vt:lpstr>
      <vt:lpstr>IAP Current</vt:lpstr>
      <vt:lpstr>Des TPS AFR</vt:lpstr>
      <vt:lpstr>Des IAP AFR</vt:lpstr>
      <vt:lpstr>TPS Correction</vt:lpstr>
      <vt:lpstr>IAP Correction</vt:lpstr>
      <vt:lpstr>Auto Correct TPS</vt:lpstr>
      <vt:lpstr>Auto Correct IAP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Jerad S. Ames</dc:creator>
  <cp:lastModifiedBy>Ames, Jerad (VooDoo)</cp:lastModifiedBy>
  <dcterms:created xsi:type="dcterms:W3CDTF">2023-11-13T13:09:58Z</dcterms:created>
  <dcterms:modified xsi:type="dcterms:W3CDTF">2023-12-14T03:38:41Z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ead8c9b4-da16-4fa6-b5d0-3e1e2a81ffff</vt:lpwstr>
  </property>
  <property fmtid="{D5CDD505-2E9C-101B-9397-08002B2CF9AE}" pid="3" name="Workbook type">
    <vt:lpwstr>Custom</vt:lpwstr>
  </property>
  <property fmtid="{D5CDD505-2E9C-101B-9397-08002B2CF9AE}" pid="4" name="Workbook version">
    <vt:lpwstr>Custom</vt:lpwstr>
  </property>
</Properties>
</file>